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GAC/"/>
    </mc:Choice>
  </mc:AlternateContent>
  <xr:revisionPtr revIDLastSave="475" documentId="13_ncr:1_{C42178CD-9C17-4EDF-9C60-C1D589C5B786}" xr6:coauthVersionLast="47" xr6:coauthVersionMax="47" xr10:uidLastSave="{C8EAD6B1-FE8B-F249-8C27-37ACB3F4FDE1}"/>
  <bookViews>
    <workbookView xWindow="0" yWindow="760" windowWidth="30240" windowHeight="17520" tabRatio="921" firstSheet="1" activeTab="3" xr2:uid="{00000000-000D-0000-FFFF-FFFF00000000}"/>
  </bookViews>
  <sheets>
    <sheet name="Title Page" sheetId="73" r:id="rId1"/>
    <sheet name="Index" sheetId="69" r:id="rId2"/>
    <sheet name="INPUT" sheetId="1" r:id="rId3"/>
    <sheet name="OUTPUT" sheetId="8" r:id="rId4"/>
    <sheet name="Critical Design Assumptions" sheetId="2" r:id="rId5"/>
    <sheet name="O&amp;M Assumptions" sheetId="48" r:id="rId6"/>
    <sheet name="Residuals Management" sheetId="60" r:id="rId7"/>
    <sheet name="Cost Data" sheetId="70" r:id="rId8"/>
    <sheet name="Indirect Assumptions" sheetId="55" r:id="rId9"/>
    <sheet name="Retrofit" sheetId="62" r:id="rId10"/>
    <sheet name="Contactor Constraints" sheetId="3" r:id="rId11"/>
    <sheet name="Backwash and Regeneration" sheetId="6" r:id="rId12"/>
    <sheet name="Pumps Pipe Structure" sheetId="4" r:id="rId13"/>
    <sheet name="Instrumentation and Control" sheetId="49" r:id="rId14"/>
    <sheet name="O&amp;M" sheetId="11" r:id="rId15"/>
    <sheet name="HVAC" sheetId="64" r:id="rId16"/>
    <sheet name="Indirect" sheetId="56" r:id="rId17"/>
    <sheet name="PFAS Reference" sheetId="68" r:id="rId18"/>
    <sheet name="Freundlich Reference" sheetId="58" r:id="rId19"/>
    <sheet name="Standard Inputs" sheetId="10" r:id="rId20"/>
    <sheet name="AutoSize" sheetId="57" r:id="rId21"/>
    <sheet name="Cost Equations" sheetId="12" r:id="rId22"/>
    <sheet name="Cost Coefficients" sheetId="72" r:id="rId23"/>
    <sheet name="Engineering Data" sheetId="71" r:id="rId24"/>
    <sheet name="Lookup Tables" sheetId="5" r:id="rId25"/>
  </sheets>
  <functionGroups builtInGroupCount="19"/>
  <definedNames>
    <definedName name="add_2nd_building">'Critical Design Assumptions'!$C$171</definedName>
    <definedName name="add_on">'Contactor Constraints'!$C$15</definedName>
    <definedName name="add_on_valid">'Lookup Tables'!$A$60:$A$61</definedName>
    <definedName name="add_pH_controls">'Critical Design Assumptions'!$C$116</definedName>
    <definedName name="add_pH_controls_small">'Critical Design Assumptions'!$C$117</definedName>
    <definedName name="add_ports">'Critical Design Assumptions'!$C$130</definedName>
    <definedName name="add_res_pipe_length">'Critical Design Assumptions'!$C$204</definedName>
    <definedName name="add_turb">'Critical Design Assumptions'!$C$122</definedName>
    <definedName name="add_turb_p">'Critical Design Assumptions'!$C$124</definedName>
    <definedName name="add_turb_small">'Critical Design Assumptions'!$C$123</definedName>
    <definedName name="add_turb_small_p">'Critical Design Assumptions'!$C$125</definedName>
    <definedName name="addon_cost">OUTPUT!$C$327</definedName>
    <definedName name="addon_I">INPUT!$G$106</definedName>
    <definedName name="af_units">INPUT!$H$30</definedName>
    <definedName name="air_changes_build1">HVAC!$C$12</definedName>
    <definedName name="air_changes_build2">HVAC!$C$13</definedName>
    <definedName name="Air_changes_chem_storage">'O&amp;M Assumptions'!$C$41</definedName>
    <definedName name="Air_changes_contactor">'O&amp;M Assumptions'!$C$39</definedName>
    <definedName name="Air_changes_office">'O&amp;M Assumptions'!$C$42</definedName>
    <definedName name="Air_changes_pump">'O&amp;M Assumptions'!$C$40</definedName>
    <definedName name="alarm_back">'Critical Design Assumptions'!$C$113</definedName>
    <definedName name="alarm_cost_cl">'Cost Data'!$B$6:$F$6</definedName>
    <definedName name="alarm_res">'Critical Design Assumptions'!$C$211</definedName>
    <definedName name="analog_inputs">'Instrumentation and Control'!$C$59</definedName>
    <definedName name="analog_outputs">'Instrumentation and Control'!$C$60</definedName>
    <definedName name="Annualized_Capital_Cost">OUTPUT!$C$415</definedName>
    <definedName name="Annualized_Cost">OUTPUT!$C$417</definedName>
    <definedName name="architectural_table_cl">'Engineering Data'!$A$5:$C$11</definedName>
    <definedName name="average_flow">'Contactor Constraints'!$C$7</definedName>
    <definedName name="average_flow_I">INPUT!$G$30</definedName>
    <definedName name="average_flow_rate">'Contactor Constraints'!$C$9</definedName>
    <definedName name="back_backfill_vol">'Backwash and Regeneration'!$C$24</definedName>
    <definedName name="back_basin_depth">'Backwash and Regeneration'!$C$20</definedName>
    <definedName name="back_basin_length">'Backwash and Regeneration'!$C$19</definedName>
    <definedName name="back_basin_op_depth">'Backwash and Regeneration'!$C$17</definedName>
    <definedName name="back_basin_vol">'Backwash and Regeneration'!$C$21</definedName>
    <definedName name="back_basin_width">'Backwash and Regeneration'!$C$18</definedName>
    <definedName name="back_basins">'Backwash and Regeneration'!$C$16</definedName>
    <definedName name="back_basins_default">'Critical Design Assumptions'!$C$64</definedName>
    <definedName name="back_chv_no_back">'Critical Design Assumptions'!$C$97</definedName>
    <definedName name="back_chv_pump">'Critical Design Assumptions'!$C$98</definedName>
    <definedName name="back_conc_vol">'Backwash and Regeneration'!$C$22</definedName>
    <definedName name="back_excavation_vol">'Backwash and Regeneration'!$C$23</definedName>
    <definedName name="back_freeboard">'Critical Design Assumptions'!$C$66</definedName>
    <definedName name="back_hrs_yr">'O&amp;M'!$C$59</definedName>
    <definedName name="back_interval">'Backwash and Regeneration'!$C$8</definedName>
    <definedName name="back_interval_I">INPUT!$G$83</definedName>
    <definedName name="back_meter_size">'Instrumentation and Control'!$C$39</definedName>
    <definedName name="back_multiplier">'Critical Design Assumptions'!$C$63</definedName>
    <definedName name="back_pipe_diam">'Pumps Pipe Structure'!$C$30</definedName>
    <definedName name="back_pipe_flow">'Pumps Pipe Structure'!$C$29</definedName>
    <definedName name="back_pipe_length">'Pumps Pipe Structure'!$C$28</definedName>
    <definedName name="back_pipe_mult">'Critical Design Assumptions'!$C$89</definedName>
    <definedName name="back_pump_cost_cl">'Cost Data'!$B$11:$F$24</definedName>
    <definedName name="back_pump_energy">'O&amp;M'!$C$60</definedName>
    <definedName name="back_pump_flow_total">'Pumps Pipe Structure'!$C$12</definedName>
    <definedName name="back_pump_head">'O&amp;M Assumptions'!$C$31</definedName>
    <definedName name="back_pump_hp">'O&amp;M'!$C$58</definedName>
    <definedName name="back_pump_mtl">'O&amp;M'!$C$7</definedName>
    <definedName name="back_pump_psi">'O&amp;M'!$C$57</definedName>
    <definedName name="back_pump_rating">'Pumps Pipe Structure'!$C$14</definedName>
    <definedName name="back_railing">'Backwash and Regeneration'!$C$25</definedName>
    <definedName name="back_ratio">'Critical Design Assumptions'!$C$65</definedName>
    <definedName name="back_tank_fp">'Pumps Pipe Structure'!$C$62</definedName>
    <definedName name="back_tank_vol">'Backwash and Regeneration'!$C$28</definedName>
    <definedName name="back_valve_size">'Instrumentation and Control'!$C$11</definedName>
    <definedName name="back_vol_ft">'Backwash and Regeneration'!$C$15</definedName>
    <definedName name="backfill_cost_cl">'Cost Data'!$B$29:$F$29</definedName>
    <definedName name="backfill_vol">'Contactor Constraints'!$C$75</definedName>
    <definedName name="backwash_pump_valid">'Lookup Tables'!$A$42:$A$44</definedName>
    <definedName name="backwash_pumps">'Pumps Pipe Structure'!$C$13</definedName>
    <definedName name="backwash_storage_valid">'Lookup Tables'!$A$46:$A$48</definedName>
    <definedName name="backwash_time">'Critical Design Assumptions'!$C$62</definedName>
    <definedName name="backwash_yr">'O&amp;M'!$C$17</definedName>
    <definedName name="basin_area">'Contactor Constraints'!$C$77</definedName>
    <definedName name="basin_conc_vol">'Contactor Constraints'!$C$73</definedName>
    <definedName name="basin_depth">'Contactor Constraints'!$C$68</definedName>
    <definedName name="basin_freeboard">'Critical Design Assumptions'!$C$33</definedName>
    <definedName name="basin_length">INPUT!$G$76</definedName>
    <definedName name="basin_op_depth">INPUT!$G$77</definedName>
    <definedName name="basin_vol">'Contactor Constraints'!$C$69</definedName>
    <definedName name="basin_width">INPUT!$G$75</definedName>
    <definedName name="bearing_area">Indirect!$C$53</definedName>
    <definedName name="bed_depth">INPUT!$G$57</definedName>
    <definedName name="bed_expansion">'Critical Design Assumptions'!$C$11</definedName>
    <definedName name="bed_life">'Backwash and Regeneration'!$C$36</definedName>
    <definedName name="bedding_cost_cl">'Cost Data'!$B$34:$F$34</definedName>
    <definedName name="bedding_depth">'Indirect Assumptions'!$C$37</definedName>
    <definedName name="bedding_pct">'Indirect Assumptions'!$C$38</definedName>
    <definedName name="bedding_vol">Indirect!$C$67</definedName>
    <definedName name="bldg_hi_cost_cl">'Cost Data'!$B$1087:$F$1111</definedName>
    <definedName name="bldg_hi_eq_1">'Cost Equations'!$C$207</definedName>
    <definedName name="bldg_hi_eq_1_r">'Cost Equations'!$C$233</definedName>
    <definedName name="bldg_hi_eq_2">'Cost Equations'!$C$220</definedName>
    <definedName name="bldg_hi_eq_2_r">'Cost Equations'!$C$237</definedName>
    <definedName name="bldg_lo_cost_cl">'Cost Data'!$B$1116:$F$1140</definedName>
    <definedName name="bldg_lo_eq_1">'Cost Equations'!$C$205</definedName>
    <definedName name="bldg_lo_eq_1_r">'Cost Equations'!$C$231</definedName>
    <definedName name="bldg_lo_eq_2">'Cost Equations'!$C$218</definedName>
    <definedName name="bldg_lo_eq_2_r">'Cost Equations'!$C$235</definedName>
    <definedName name="bldg_maint_cost">'O&amp;M'!$C$49</definedName>
    <definedName name="bldg_mid_cost_cl">'Cost Data'!$B$1145:$F$1169</definedName>
    <definedName name="bldg_mid_eq_1">'Cost Equations'!$C$206</definedName>
    <definedName name="bldg_mid_eq_1_r">'Cost Equations'!$C$232</definedName>
    <definedName name="bldg_mid_eq_2">'Cost Equations'!$C$219</definedName>
    <definedName name="bldg_mid_eq_2_r">'Cost Equations'!$C$236</definedName>
    <definedName name="bldg_shed_cost_cl">'Cost Data'!$B$1174:$F$1175</definedName>
    <definedName name="block_vol">Indirect!$C$58</definedName>
    <definedName name="booster_pump_maintenance">'O&amp;M Assumptions'!$C$6</definedName>
    <definedName name="booster_pumps">'Pumps Pipe Structure'!$C$9</definedName>
    <definedName name="bore_cost_cl">'Cost Data'!$B$39:$F$39</definedName>
    <definedName name="bore_depth">Indirect!$C$33</definedName>
    <definedName name="bore_depth_max">'Indirect Assumptions'!$C$55</definedName>
    <definedName name="bore_depth_min">'Indirect Assumptions'!$C$54</definedName>
    <definedName name="bore_depth_p">'Indirect Assumptions'!$C$53</definedName>
    <definedName name="bore_draw_cost_cl">'Cost Data'!$B$44:$F$44</definedName>
    <definedName name="bore_mob_cost_cl">'Cost Data'!$B$49:$F$49</definedName>
    <definedName name="bore_need">'Indirect Assumptions'!$C$57</definedName>
    <definedName name="bore_report_cost_cl">'Cost Data'!$B$54:$F$54</definedName>
    <definedName name="bore_rig_cost_cl">'Cost Data'!$B$59:$F$59</definedName>
    <definedName name="bp_flow_rate">'Contactor Constraints'!$C$10</definedName>
    <definedName name="bp_pct">'Critical Design Assumptions'!$C$58</definedName>
    <definedName name="bp_pipe_diam">'Pumps Pipe Structure'!$C$32</definedName>
    <definedName name="bp_pipe_length">'Pumps Pipe Structure'!$C$31</definedName>
    <definedName name="bp_pipe_mult">'Critical Design Assumptions'!$C$88</definedName>
    <definedName name="br_ins_pct">'Indirect Assumptions'!$C$103</definedName>
    <definedName name="bt_diam">'Pumps Pipe Structure'!$C$41</definedName>
    <definedName name="build_UL">OUTPUT!$AJ$317</definedName>
    <definedName name="build1_cfm">HVAC!$C$18</definedName>
    <definedName name="build1_cool">HVAC!$C$120</definedName>
    <definedName name="build1_cool_options">HVAC!$A$98:$L$99</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Structure'!$C$77</definedName>
    <definedName name="build1_heat">HVAC!$C$119</definedName>
    <definedName name="build1_heat_loss_yr">HVAC!$C$31</definedName>
    <definedName name="build1_heat_mbh">HVAC!$C$32</definedName>
    <definedName name="build1_heat_options">HVAC!$A$79:$L$84</definedName>
    <definedName name="build1_heat_zones">HVAC!$C$33</definedName>
    <definedName name="build1_need_cool">HVAC!$C$23</definedName>
    <definedName name="build1_need_heat">HVAC!$C$22</definedName>
    <definedName name="build1_row">HVAC!$C$118</definedName>
    <definedName name="build1_side">HVAC!$C$7</definedName>
    <definedName name="build1_zones">HVAC!$C$71</definedName>
    <definedName name="build2_cfm">HVAC!$C$19</definedName>
    <definedName name="build2_cool">HVAC!$C$134</definedName>
    <definedName name="build2_cool_options">HVAC!$A$103:$L$104</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Structure'!$C$78</definedName>
    <definedName name="build2_heat">HVAC!$C$133</definedName>
    <definedName name="build2_heat_loss_yr">HVAC!$C$38</definedName>
    <definedName name="build2_heat_mbh">HVAC!$C$39</definedName>
    <definedName name="build2_heat_options">HVAC!$A$88:$L$93</definedName>
    <definedName name="build2_heat_zones">HVAC!$C$40</definedName>
    <definedName name="build2_need_cool">HVAC!$C$25</definedName>
    <definedName name="build2_need_heat">HVAC!$C$24</definedName>
    <definedName name="build2_row">HVAC!$C$132</definedName>
    <definedName name="build2_side">HVAC!$C$8</definedName>
    <definedName name="build2_zones">HVAC!$C$72</definedName>
    <definedName name="building_cost">OUTPUT!$C$319</definedName>
    <definedName name="Building_height">HVAC!$C$6</definedName>
    <definedName name="Building_height_g">'Critical Design Assumptions'!$C$165</definedName>
    <definedName name="building_matl_rate_cl">'Cost Data'!$D$1268</definedName>
    <definedName name="buried_res_pipe_length">'Residuals Management'!$C$123</definedName>
    <definedName name="BV_definition">'Critical Design Assumptions'!$C$69</definedName>
    <definedName name="bypass_valve_size">'Instrumentation and Control'!$C$12</definedName>
    <definedName name="C_0">INPUT!$G$39</definedName>
    <definedName name="C_b">INPUT!$G$40</definedName>
    <definedName name="ceiling_clearance">'Critical Design Assumptions'!$C$170</definedName>
    <definedName name="chem_break_table_cl">'Engineering Data'!$A$16:$B$60</definedName>
    <definedName name="chem_cost_cl">'Cost Data'!$B$64:$F$123</definedName>
    <definedName name="chem_pipe_mult">'Critical Design Assumptions'!$C$90</definedName>
    <definedName name="ci_bfv_cost_cl">'Cost Data'!$B$128:$F$142</definedName>
    <definedName name="ci_bfv_eq">'Cost Equations'!$C$95</definedName>
    <definedName name="ci_bfv_eq_proc">'Cost Equations'!$C$98</definedName>
    <definedName name="ci_chv_cost_cl">'Cost Data'!$B$147:$F$155</definedName>
    <definedName name="ci_chv_eq_back">'Cost Equations'!$C$115</definedName>
    <definedName name="ci_chv_eq_bp">'Cost Equations'!$C$128</definedName>
    <definedName name="ci_chv_eq_in">'Cost Equations'!$C$125</definedName>
    <definedName name="ci_chv_eq_polymer">'Cost Equations'!$C$122</definedName>
    <definedName name="ci_chv_eq_res">'Cost Equations'!$C$118</definedName>
    <definedName name="ci_man_eq_back">'Cost Equations'!$C$101</definedName>
    <definedName name="ci_man_eq_bp">'Cost Equations'!$C$111</definedName>
    <definedName name="ci_man_eq_polymer">'Cost Equations'!$C$108</definedName>
    <definedName name="ci_man_eq_res">'Cost Equations'!$C$104</definedName>
    <definedName name="ci_mov_cost_cl">'Cost Data'!$B$160:$F$173</definedName>
    <definedName name="ci_mov_eq_back">'Cost Equations'!$C$81</definedName>
    <definedName name="ci_mov_eq_bp">'Cost Equations'!$C$91</definedName>
    <definedName name="ci_mov_eq_polymer">'Cost Equations'!$C$88</definedName>
    <definedName name="ci_mov_eq_res">'Cost Equations'!$C$84</definedName>
    <definedName name="ci_mov_eq_tank">'Cost Equations'!$C$78</definedName>
    <definedName name="cimp_mix_eq_coag">'Cost Equations'!$C$174</definedName>
    <definedName name="cimp_mix_eq_polymer">'Cost Equations'!$C$178</definedName>
    <definedName name="City_Index">OUTPUT!$C$351</definedName>
    <definedName name="Clerical_LOE">'O&amp;M'!$C$41</definedName>
    <definedName name="Clerical_percent">'O&amp;M Assumptions'!$C$11</definedName>
    <definedName name="cm_cost">Indirect!$C$93</definedName>
    <definedName name="cm_pump_rating_coag">'Residuals Management'!$C$78</definedName>
    <definedName name="cm_pump_rating_polymer">'Residuals Management'!$C$102</definedName>
    <definedName name="cm_pumps_coag">'Residuals Management'!$C$77</definedName>
    <definedName name="cm_pumps_polymer">'Residuals Management'!$C$101</definedName>
    <definedName name="cmix_hp_max">'Residuals Management'!$C$64</definedName>
    <definedName name="cmix_hp_per">'Critical Design Assumptions'!$C$180</definedName>
    <definedName name="cmount_mix_eq_coag">'Cost Equations'!$C$173</definedName>
    <definedName name="cmount_mix_eq_polymer">'Cost Equations'!$C$177</definedName>
    <definedName name="coag_chv_pump">'Critical Design Assumptions'!$C$102</definedName>
    <definedName name="coag_cmix_per_tank">'Residuals Management'!$C$73</definedName>
    <definedName name="coag_cmix_size">'Residuals Management'!$C$75</definedName>
    <definedName name="coag_cmixers">'Residuals Management'!$C$74</definedName>
    <definedName name="coag_coating_gal">'Residuals Management'!$C$89</definedName>
    <definedName name="coag_cont_fp">'Residuals Management'!$C$83</definedName>
    <definedName name="coag_cont_volume">'Residuals Management'!$C$82</definedName>
    <definedName name="coag_curb_concrete">'Residuals Management'!$C$88</definedName>
    <definedName name="coag_curb_height">'Residuals Management'!$C$84</definedName>
    <definedName name="coag_curb_len_long">'Residuals Management'!$C$86</definedName>
    <definedName name="coag_curb_len_short">'Residuals Management'!$C$87</definedName>
    <definedName name="coag_curb_thick">'Residuals Management'!$C$85</definedName>
    <definedName name="coag_day_gal">'Residuals Management'!$C$68</definedName>
    <definedName name="coag_day_lbs">'Residuals Management'!$C$67</definedName>
    <definedName name="coag_density">'Critical Design Assumptions'!$C$184</definedName>
    <definedName name="coag_dose">'Critical Design Assumptions'!$C$183</definedName>
    <definedName name="coag_pct">'Critical Design Assumptions'!$C$185</definedName>
    <definedName name="coag_pipe_diam">'Pumps Pipe Structure'!$C$35</definedName>
    <definedName name="coag_pipe_flow">'Pumps Pipe Structure'!$C$34</definedName>
    <definedName name="coag_pipe_length">'Pumps Pipe Structure'!$C$33</definedName>
    <definedName name="coag_purchase">'Residuals Management'!$C$190</definedName>
    <definedName name="coag_rate">'Residuals Management'!$C$76</definedName>
    <definedName name="coag_res">'Critical Design Assumptions'!$C$174</definedName>
    <definedName name="coag_spf">'Critical Design Assumptions'!$C$186</definedName>
    <definedName name="coag_st_diam">'Pumps Pipe Structure'!$C$46</definedName>
    <definedName name="coag_storage_gal">'Residuals Management'!$C$70</definedName>
    <definedName name="coag_storage_lbs">'Residuals Management'!$C$69</definedName>
    <definedName name="coag_storage_lbs_bulk">'Residuals Management'!$C$79</definedName>
    <definedName name="coag_tank_vol">'Residuals Management'!$C$72</definedName>
    <definedName name="coag_tanks">'Residuals Management'!$C$71</definedName>
    <definedName name="coag_TSSrem">'Critical Design Assumptions'!$C$191</definedName>
    <definedName name="coag_type">'Critical Design Assumptions'!$C$175</definedName>
    <definedName name="coag_valve_size">'Instrumentation and Control'!$C$13</definedName>
    <definedName name="coag_yr">'Residuals Management'!$C$183</definedName>
    <definedName name="Coeff_Kp">'Indirect Assumptions'!$C$35</definedName>
    <definedName name="comm_diam">INPUT!$G$60</definedName>
    <definedName name="comm_height_length">INPUT!$G$59</definedName>
    <definedName name="comm_load_rate">'Contactor Constraints'!$C$44</definedName>
    <definedName name="comm_SA">'Contactor Constraints'!$C$43</definedName>
    <definedName name="comm_vol">'Contactor Constraints'!$C$45</definedName>
    <definedName name="comm_vol_gal">'Contactor Constraints'!$C$46</definedName>
    <definedName name="comp_bed_depth">AutoSize!$C$74</definedName>
    <definedName name="comp_bed_depth_a">AutoSize!$E$160</definedName>
    <definedName name="comp_horiz_bed_depth">AutoSize!$E$71</definedName>
    <definedName name="comp_horiz_diam">AutoSize!$E$67</definedName>
    <definedName name="comp_horiz_expanded_bd">AutoSize!$C$66</definedName>
    <definedName name="comp_horiz_length">AutoSize!$E$69</definedName>
    <definedName name="comp_horiz_max_media">AutoSize!$C$42</definedName>
    <definedName name="comp_horiz_min_number">AutoSize!$C$47</definedName>
    <definedName name="comp_horiz_void_area">AutoSize!$C$65</definedName>
    <definedName name="comp_horiz_void_required">AutoSize!$C$41</definedName>
    <definedName name="comp_in_nlines">AutoSize!$C$51</definedName>
    <definedName name="comp_in_nlines_a">AutoSize!$C$152</definedName>
    <definedName name="comp_length_width_a">AutoSize!$E$157</definedName>
    <definedName name="comp_level_valid">'Lookup Tables'!$A$50:$A$53</definedName>
    <definedName name="comp_long_bed_depth">AutoSize!$E$68</definedName>
    <definedName name="comp_long_diam">AutoSize!$E$65</definedName>
    <definedName name="comp_long_length">AutoSize!$E$66</definedName>
    <definedName name="comp_max_bed_depth">AutoSize!$C$42</definedName>
    <definedName name="comp_max_bed_depth_a">AutoSize!$C$167</definedName>
    <definedName name="comp_max_horiz_bed_depth">AutoSize!$C$125</definedName>
    <definedName name="comp_max_horiz_diam">AutoSize!$C$109</definedName>
    <definedName name="comp_max_horiz_length">AutoSize!$C$117</definedName>
    <definedName name="comp_max_horiz_sa">AutoSize!$C$35</definedName>
    <definedName name="comp_max_length">AutoSize!$C$50</definedName>
    <definedName name="comp_max_length_a">AutoSize!$C$175</definedName>
    <definedName name="comp_max_sa_a">AutoSize!$C$171</definedName>
    <definedName name="comp_max_sa_vessel">AutoSize!$C$79</definedName>
    <definedName name="comp_max_vert_bed_depth">AutoSize!$C$103</definedName>
    <definedName name="comp_max_vert_diam">AutoSize!$C$95</definedName>
    <definedName name="comp_max_vert_height">AutoSize!$C$85</definedName>
    <definedName name="comp_max_vol">AutoSize!$C$32</definedName>
    <definedName name="comp_max_vol_length">AutoSize!$C$34</definedName>
    <definedName name="comp_max_width">AutoSize!$C$54</definedName>
    <definedName name="comp_max_width_a">AutoSize!$C$179</definedName>
    <definedName name="comp_min_bed_depth_a">AutoSize!$C$166</definedName>
    <definedName name="comp_min_horiz_bed_depth">AutoSize!$C$122</definedName>
    <definedName name="comp_min_horiz_diam">AutoSize!$C$106</definedName>
    <definedName name="comp_min_horiz_length">AutoSize!$C$114</definedName>
    <definedName name="comp_min_length_a">AutoSize!$C$174</definedName>
    <definedName name="comp_min_sa_a">AutoSize!$C$170</definedName>
    <definedName name="comp_min_sa_vessel">AutoSize!$C$78</definedName>
    <definedName name="comp_min_vert_bed_depth">AutoSize!$C$100</definedName>
    <definedName name="comp_min_vert_diam">AutoSize!$C$91</definedName>
    <definedName name="comp_min_vert_height">AutoSize!$C$82</definedName>
    <definedName name="comp_min_width_a">AutoSize!$C$178</definedName>
    <definedName name="comp_nlines_extra_search">AutoSize!$C$50</definedName>
    <definedName name="comp_nlines_extra_search_a">AutoSize!$C$151</definedName>
    <definedName name="comp_out_success">AutoSize!$C$128</definedName>
    <definedName name="comp_out_success_a">AutoSize!$C$182</definedName>
    <definedName name="comp_pv_max_sizes">'Cost Equations'!$P$7:$P$10</definedName>
    <definedName name="comp_round_sa">AutoSize!$C$15</definedName>
    <definedName name="comp_round_sa_a">AutoSize!$C$135</definedName>
    <definedName name="comp_sa_max">AutoSize!$C$17</definedName>
    <definedName name="comp_sa_max_a">AutoSize!$C$141</definedName>
    <definedName name="comp_sa_min">AutoSize!$C$16</definedName>
    <definedName name="comp_sa_min_a">AutoSize!$C$140</definedName>
    <definedName name="comp_sa_required_horiz">AutoSize!$C$37</definedName>
    <definedName name="comp_sa_required_vert">AutoSize!$C$24</definedName>
    <definedName name="comp_sa_required_vert_a">AutoSize!$C$143</definedName>
    <definedName name="comp_tank_geom">AutoSize!$C$55</definedName>
    <definedName name="comp_target_bed_depth_horiz">AutoSize!$C$36</definedName>
    <definedName name="comp_target_bed_depth_vert">AutoSize!$C$23</definedName>
    <definedName name="comp_target_bed_depth_vert_a">AutoSize!$C$142</definedName>
    <definedName name="comp_vert_bed_depth">AutoSize!$E$61</definedName>
    <definedName name="comp_vert_diam">AutoSize!$E$58</definedName>
    <definedName name="comp_vert_height">AutoSize!$E$62</definedName>
    <definedName name="comp_vert_max_media">AutoSize!$C$21</definedName>
    <definedName name="comp_vert_max_media_a">AutoSize!$C$139</definedName>
    <definedName name="comp_vert_max_sa">AutoSize!$C$22</definedName>
    <definedName name="comp_vert_min_number">AutoSize!$C$29</definedName>
    <definedName name="comp_vert_min_number_a">AutoSize!$C$148</definedName>
    <definedName name="comp_vol_required">AutoSize!$C$18</definedName>
    <definedName name="comp_vol_required_a">AutoSize!$C$136</definedName>
    <definedName name="comp_vol_required_stg1">AutoSize!$C$14</definedName>
    <definedName name="complexity">'Indirect Assumptions'!$C$82</definedName>
    <definedName name="component_level">'Instrumentation and Control'!$C$5</definedName>
    <definedName name="component_level_I">INPUT!$G$99</definedName>
    <definedName name="conc_basin_cost_cl">'Cost Data'!$B$178:$F$178</definedName>
    <definedName name="conc_coating_cost_cl">'Cost Data'!$B$183:$F$183</definedName>
    <definedName name="conc_pad_cost_cl">'Cost Data'!$B$188:$F$188</definedName>
    <definedName name="conc_thick">'Critical Design Assumptions'!$C$48</definedName>
    <definedName name="concrete">'Pumps Pipe Structure'!$C$80</definedName>
    <definedName name="construction_mgt_table_cl">'Engineering Data'!$A$65:$C$70</definedName>
    <definedName name="cont_int_eq">'Cost Equations'!$C$16</definedName>
    <definedName name="cont_top_cost_cl">'Cost Data'!$B$193:$F$205</definedName>
    <definedName name="contact_mat_per_vessel">'Contactor Constraints'!$C$39</definedName>
    <definedName name="contact_material">'Contactor Constraints'!$C$38</definedName>
    <definedName name="contam_I">INPUT!$G$4</definedName>
    <definedName name="contam_list">'Lookup Tables'!$B$19:$B$40</definedName>
    <definedName name="contam_lookup">'Lookup Tables'!$A$19:$B$40</definedName>
    <definedName name="contam_type">'Contactor Constraints'!$C$12</definedName>
    <definedName name="contingency_table_cl">'Engineering Data'!$A$75:$C$80</definedName>
    <definedName name="convert_concrete_cy_to_lbs_cl">'Engineering Data'!$C$83</definedName>
    <definedName name="convert_concrete_to_cement_cl">'Engineering Data'!$C$86</definedName>
    <definedName name="cool_DD">'O&amp;M Assumptions'!$C$54</definedName>
    <definedName name="cool_viload">'O&amp;M Assumptions'!$C$56</definedName>
    <definedName name="cooling">'O&amp;M'!$C$81</definedName>
    <definedName name="cooling_hp">'O&amp;M'!$C$82</definedName>
    <definedName name="cooling_matl_rate_cl">'Cost Data'!$D$1271</definedName>
    <definedName name="cooling_table">'Indirect Assumptions'!$A$127:$E$129</definedName>
    <definedName name="cooling_table_shed">'Indirect Assumptions'!$A$131:$E$133</definedName>
    <definedName name="COP">'O&amp;M Assumptions'!$C$58</definedName>
    <definedName name="cost_buildup_error">OUTPUT!$C$444</definedName>
    <definedName name="cpvc_pipe_cost_cl">'Cost Data'!$B$210:$F$225</definedName>
    <definedName name="cpvc_pipe_eq_back">'Cost Equations'!$C$46</definedName>
    <definedName name="cpvc_pipe_eq_bp">'Cost Equations'!$C$70</definedName>
    <definedName name="cpvc_pipe_eq_coag">'Cost Equations'!$C$62</definedName>
    <definedName name="cpvc_pipe_eq_in_out">'Cost Equations'!$C$52</definedName>
    <definedName name="cpvc_pipe_eq_polymer">'Cost Equations'!$C$65</definedName>
    <definedName name="cpvc_pipe_eq_proc">'Cost Equations'!$C$41</definedName>
    <definedName name="cpvc_pipe_eq_res">'Cost Equations'!$C$57</definedName>
    <definedName name="cs_pv_cost_cl">'Cost Data'!$B$230:$F$235</definedName>
    <definedName name="cs_pv_eq">'Cost Equations'!$C$8</definedName>
    <definedName name="csp_pv_cost_cl">'Cost Data'!$B$240:$F$245</definedName>
    <definedName name="csp_pv_eq">'Cost Equations'!$C$9</definedName>
    <definedName name="cstore_days">'Critical Design Assumptions'!$C$187</definedName>
    <definedName name="cstore_fp">'Pumps Pipe Structure'!$C$74</definedName>
    <definedName name="cul_indir_add_table">OUTPUT!$B$422:$C$423,OUTPUT!$B$425:$C$429,OUTPUT!$B$431:$C$432,OUTPUT!$B$437:$C$437,OUTPUT!$B$324:$C$326</definedName>
    <definedName name="cul_indir_mult_table">OUTPUT!$B$424:$C$424,OUTPUT!$B$433:$C$436</definedName>
    <definedName name="cul_om_table">OUTPUT!$B$363:$H$403</definedName>
    <definedName name="cul_overall_mult">OUTPUT!$B$351:$C$351</definedName>
    <definedName name="current_year_cl">'Cost Data'!$C$249</definedName>
    <definedName name="curve">'Critical Design Assumptions'!$C$5</definedName>
    <definedName name="D">'Backwash and Regeneration'!$C$35</definedName>
    <definedName name="deep_bore_need">'Indirect Assumptions'!$C$56</definedName>
    <definedName name="design_flow">'Contactor Constraints'!$C$6</definedName>
    <definedName name="design_flow_I">INPUT!$G$29</definedName>
    <definedName name="design_flow_rate">'Contactor Constraints'!$C$8</definedName>
    <definedName name="design_type">'Contactor Constraints'!$C$13</definedName>
    <definedName name="df_units">INPUT!$H$29</definedName>
    <definedName name="di_pipe_cost_cl">'Cost Data'!$B$254:$F$268</definedName>
    <definedName name="di_pipe_eq_in_out">'Cost Equations'!$C$51</definedName>
    <definedName name="di_pipe_eq_proc">'Cost Equations'!$C$40</definedName>
    <definedName name="diameter">'Contactor Constraints'!$C$51</definedName>
    <definedName name="diesel_cost_cl">'Cost Data'!$D$1274</definedName>
    <definedName name="diesel_eff">'O&amp;M Assumptions'!$C$62</definedName>
    <definedName name="diesel_heat_content">'O&amp;M Assumptions'!$C$66</definedName>
    <definedName name="diesel_non_eff">'O&amp;M Assumptions'!$C$61</definedName>
    <definedName name="dike_volume">'Residuals Management'!$C$172</definedName>
    <definedName name="dike_xsection">'Critical Design Assumptions'!$C$261</definedName>
    <definedName name="direct_cost">OUTPUT!$C$320</definedName>
    <definedName name="direct_for_UL">OUTPUT!$AG$317</definedName>
    <definedName name="Discount_rate">OUTPUT!$C$408</definedName>
    <definedName name="discrete_inputs">'Instrumentation and Control'!$C$57</definedName>
    <definedName name="discrete_outputs">'Instrumentation and Control'!$C$58</definedName>
    <definedName name="disp_freq">'Residuals Management'!$C$27</definedName>
    <definedName name="disposal_fee">'Residuals Management'!$C$214</definedName>
    <definedName name="disposal_miles">'Residuals Management'!$C$211</definedName>
    <definedName name="disposal_shipments">'Residuals Management'!$C$208</definedName>
    <definedName name="distance_above">'Contactor Constraints'!$C$29</definedName>
    <definedName name="dredging_freq">'Critical Design Assumptions'!$C$259</definedName>
    <definedName name="EBCT">'Contactor Constraints'!$C$14</definedName>
    <definedName name="EBCT_I">INPUT!$G$46</definedName>
    <definedName name="EBCT_O">INPUT!$G$47</definedName>
    <definedName name="EBCT_tank">'Contactor Constraints'!$C$27</definedName>
    <definedName name="EBCT_type">'Contactor Constraints'!$C$11</definedName>
    <definedName name="EBCT_type_I">INPUT!$G$45</definedName>
    <definedName name="eductor_size">'Pumps Pipe Structure'!$C$19</definedName>
    <definedName name="eductor_size_table">'Lookup Tables'!$A$6:$B$12</definedName>
    <definedName name="eductor_size_table_cl">'Engineering Data'!$A$91:$B$97</definedName>
    <definedName name="eductors">'Pumps Pipe Structure'!$C$18</definedName>
    <definedName name="EER">'O&amp;M Assumptions'!$C$63</definedName>
    <definedName name="effluent_TSS">'Critical Design Assumptions'!$C$221</definedName>
    <definedName name="elec_encl">'Critical Design Assumptions'!$C$131</definedName>
    <definedName name="elec_encl_cost_cl">'Cost Data'!$B$273:$F$273</definedName>
    <definedName name="elect_pct">'Indirect Assumptions'!$C$73</definedName>
    <definedName name="eloss_bw_pumps">HVAC!$C$45</definedName>
    <definedName name="eloss_pumps">HVAC!$C$43</definedName>
    <definedName name="energy_cost_cl">'Cost Data'!$D$1277</definedName>
    <definedName name="eng_pct_large">'Indirect Assumptions'!$C$87</definedName>
    <definedName name="eng_pct_medium">'Indirect Assumptions'!$C$86</definedName>
    <definedName name="eng_pct_small">'Indirect Assumptions'!$C$85</definedName>
    <definedName name="ep_backfill_vol">'Residuals Management'!$C$171</definedName>
    <definedName name="ep_cell_side">'Residuals Management'!$C$169</definedName>
    <definedName name="ep_cells">'Residuals Management'!$C$168</definedName>
    <definedName name="ep_depth">'Residuals Management'!$C$167</definedName>
    <definedName name="ep_dike_construct_cl">'Cost Data'!$D$277</definedName>
    <definedName name="ep_excavation_vol">'Residuals Management'!$C$170</definedName>
    <definedName name="ep_fp">'Pumps Pipe Structure'!$C$82</definedName>
    <definedName name="ep_freeboard">'Critical Design Assumptions'!$C$257</definedName>
    <definedName name="ep_liner_cost_cl">'Cost Data'!$B$282:$F$282</definedName>
    <definedName name="ep_overexcavate">'Critical Design Assumptions'!$C$258</definedName>
    <definedName name="ep_safety_factor">'Critical Design Assumptions'!$C$254</definedName>
    <definedName name="ep_solids">'Residuals Management'!$C$18</definedName>
    <definedName name="ep_solids_density">'Critical Design Assumptions'!$C$260</definedName>
    <definedName name="ep_solids_depth">'Residuals Management'!$C$165</definedName>
    <definedName name="ep_total_sa">'Residuals Management'!$C$164</definedName>
    <definedName name="ep_water_depth">'Residuals Management'!$C$166</definedName>
    <definedName name="eq_table_cl">'Cost Coefficients'!$A$6:$P$64</definedName>
    <definedName name="evap_ratio">'Critical Design Assumptions'!$C$251</definedName>
    <definedName name="ex_TSS_total">'Residuals Management'!$C$200</definedName>
    <definedName name="excavate_cost_cl">'Cost Data'!$B$287:$F$287</definedName>
    <definedName name="excavation_vol">'Contactor Constraints'!$C$74</definedName>
    <definedName name="facil_length">'Pumps Pipe Structure'!$C$81</definedName>
    <definedName name="fan_days_build1_large">'O&amp;M Assumptions'!$C$48</definedName>
    <definedName name="fan_days_build1_medium">'O&amp;M Assumptions'!$C$46</definedName>
    <definedName name="fan_days_build1_small">'O&amp;M Assumptions'!$C$44</definedName>
    <definedName name="fan_days_build2_large">'O&amp;M Assumptions'!$C$49</definedName>
    <definedName name="fan_days_build2_medium">'O&amp;M Assumptions'!$C$47</definedName>
    <definedName name="fan_days_build2_small">'O&amp;M Assumptions'!$C$45</definedName>
    <definedName name="Fan_pressure_drop">'O&amp;M Assumptions'!$C$43</definedName>
    <definedName name="fg_bwt_cost_cl">'Cost Data'!$B$292:$F$323</definedName>
    <definedName name="fg_bwt_eq">'Cost Equations'!$C$25</definedName>
    <definedName name="fg_coag_st_eq">'Cost Equations'!$C$33</definedName>
    <definedName name="fg_cst_cost_cl">'Cost Data'!$B$328:$F$357</definedName>
    <definedName name="fg_ht_eq">'Cost Equations'!$C$29</definedName>
    <definedName name="fg_polymer_st_eq">'Cost Equations'!$C$36</definedName>
    <definedName name="fg_pv_cost_cl">'Cost Data'!$B$362:$F$367</definedName>
    <definedName name="fg_pv_eq">'Cost Equations'!$C$10</definedName>
    <definedName name="filter_labor">'O&amp;M'!$C$36</definedName>
    <definedName name="filter_materials">'O&amp;M'!$C$8</definedName>
    <definedName name="final_num_tanks">'Contactor Constraints'!$C$35</definedName>
    <definedName name="finance_pct">'Indirect Assumptions'!$C$99</definedName>
    <definedName name="finance_pct_small">'Indirect Assumptions'!$C$100</definedName>
    <definedName name="fire_buffer">'Critical Design Assumptions'!$C$163</definedName>
    <definedName name="flow_per_vessel">'Contactor Constraints'!$C$31</definedName>
    <definedName name="fm_in">'Critical Design Assumptions'!$C$105</definedName>
    <definedName name="fm_in_addon">'Critical Design Assumptions'!$C$106</definedName>
    <definedName name="fm_lkp_back">'Instrumentation and Control'!$C$55</definedName>
    <definedName name="fm_lkp_io">'Instrumentation and Control'!$C$53</definedName>
    <definedName name="fm_lkp_proc">'Instrumentation and Control'!$C$54</definedName>
    <definedName name="fm_lkp_res">'Instrumentation and Control'!$C$56</definedName>
    <definedName name="fm_proc">'Critical Design Assumptions'!$C$107</definedName>
    <definedName name="fp_required">'Pumps Pipe Structure'!$C$76</definedName>
    <definedName name="free_board">'Critical Design Assumptions'!$C$20</definedName>
    <definedName name="freeboard_horiz_void">'Contactor Constraints'!$C$56</definedName>
    <definedName name="freund_1">INPUT!$G$37</definedName>
    <definedName name="freund_2">INPUT!$G$38</definedName>
    <definedName name="freund_type">'Backwash and Regeneration'!$C$5</definedName>
    <definedName name="freund_type_I">INPUT!$G$36</definedName>
    <definedName name="frost">'Indirect Assumptions'!$C$32</definedName>
    <definedName name="furnace_size">'Backwash and Regeneration'!$C$42</definedName>
    <definedName name="GAC">'Contactor Constraints'!$C$82</definedName>
    <definedName name="gac_cost_cl">'Cost Data'!$B$372:$F$374</definedName>
    <definedName name="GAC_density">'Critical Design Assumptions'!$C$70</definedName>
    <definedName name="GAC_each">'Contactor Constraints'!$C$81</definedName>
    <definedName name="gac_eq">'Cost Equations'!$C$180</definedName>
    <definedName name="GAC_makeup">'Backwash and Regeneration'!$C$45</definedName>
    <definedName name="gac_slurry_cost_cl">'Cost Data'!$B$379:$F$391</definedName>
    <definedName name="GAC_yr">'Backwash and Regeneration'!$C$43</definedName>
    <definedName name="gas_cost_cl">'Cost Data'!$D$1280</definedName>
    <definedName name="gas_eff">'O&amp;M Assumptions'!$C$60</definedName>
    <definedName name="gas_non_eff">'O&amp;M Assumptions'!$C$59</definedName>
    <definedName name="General_Oper_Labor">'O&amp;M'!$C$33</definedName>
    <definedName name="geotech_cost">Indirect!$C$45</definedName>
    <definedName name="GSOutput">OUTPUT!$A$25:$M$320</definedName>
    <definedName name="h2oflush_backwash_rate">'Critical Design Assumptions'!$C$61</definedName>
    <definedName name="haz_disposal_cost_cl">'Cost Data'!$D$1283</definedName>
    <definedName name="haz_miles">'Critical Design Assumptions'!$C$230</definedName>
    <definedName name="haz_regen_transp">'Residuals Management'!$C$232</definedName>
    <definedName name="haz_trans_min_cost_cl">'Cost Data'!$D$1286</definedName>
    <definedName name="haz_transportation_cost_cl">'Cost Data'!$D$1289</definedName>
    <definedName name="hazrad_annual_fee_cl">'Cost Data'!$B$1294:$C$1296</definedName>
    <definedName name="hazrad_disposal_cost_cl">'Cost Data'!$D$1299</definedName>
    <definedName name="hazrad_miles">'Critical Design Assumptions'!$C$232</definedName>
    <definedName name="hazrad_trans_min_cost_cl">'Cost Data'!$D$1302</definedName>
    <definedName name="hazrad_transportation_cost_cl">'Cost Data'!$D$1305</definedName>
    <definedName name="hbackfill_vol">'Residuals Management'!$C$49</definedName>
    <definedName name="hbasin_depth">'Residuals Management'!$C$45</definedName>
    <definedName name="hbasin_fp">'Pumps Pipe Structure'!$C$72</definedName>
    <definedName name="hbasin_length">'Residuals Management'!$C$44</definedName>
    <definedName name="hbasin_op_depth">'Residuals Management'!$C$42</definedName>
    <definedName name="hbasin_redun">'Residuals Management'!$C$38</definedName>
    <definedName name="hbasin_vol">'Residuals Management'!$C$46</definedName>
    <definedName name="hbasin_width">'Residuals Management'!$C$43</definedName>
    <definedName name="hbasins">'Residuals Management'!$C$39</definedName>
    <definedName name="hbasins_default">'Critical Design Assumptions'!$C$194</definedName>
    <definedName name="hconc_vol">'Residuals Management'!$C$47</definedName>
    <definedName name="hdpe_bwt_cost_cl">'Cost Data'!$B$396:$F$413</definedName>
    <definedName name="hdpe_bwt_eq">'Cost Equations'!$C$26</definedName>
    <definedName name="hdpe_ht_eq">'Cost Equations'!$C$30</definedName>
    <definedName name="head_tank">'Critical Design Assumptions'!$C$126</definedName>
    <definedName name="head_tank_small">'Critical Design Assumptions'!$C$127</definedName>
    <definedName name="headloss_cost_cl">'Cost Data'!$B$418:$F$418</definedName>
    <definedName name="heat_DD">'O&amp;M Assumptions'!$C$53</definedName>
    <definedName name="heat_viload">'O&amp;M Assumptions'!$C$55</definedName>
    <definedName name="heating">'O&amp;M'!$C$73</definedName>
    <definedName name="heating_diesel">'O&amp;M'!$C$77</definedName>
    <definedName name="heating_diesel_non">'O&amp;M'!$C$76</definedName>
    <definedName name="heating_gas">'O&amp;M'!$C$75</definedName>
    <definedName name="heating_gas_non">'O&amp;M'!$C$74</definedName>
    <definedName name="heating_hp">'O&amp;M'!$C$78</definedName>
    <definedName name="heating_matl_rate_cl">'Cost Data'!$D$1308</definedName>
    <definedName name="heating_table">'Indirect Assumptions'!$A$115:$E$117</definedName>
    <definedName name="heating_table_shed">'Indirect Assumptions'!$A$119:$E$121</definedName>
    <definedName name="height">'Contactor Constraints'!$C$50</definedName>
    <definedName name="hexcavation_vol">'Residuals Management'!$C$48</definedName>
    <definedName name="hh_size">OUTPUT!$C$410</definedName>
    <definedName name="himp_mix_eq">'Cost Equations'!$C$170</definedName>
    <definedName name="hmix_hp_max">'Residuals Management'!$C$56</definedName>
    <definedName name="hmix_hp_per">'Critical Design Assumptions'!$C$197</definedName>
    <definedName name="hmix_per_tank">'Residuals Management'!$C$55</definedName>
    <definedName name="hmix_size">'Residuals Management'!$C$58</definedName>
    <definedName name="hmixers">'Residuals Management'!$C$57</definedName>
    <definedName name="hmount_mix_eq">'Cost Equations'!$C$169</definedName>
    <definedName name="holding_freeboard">'Critical Design Assumptions'!$C$196</definedName>
    <definedName name="holding_ratio">'Critical Design Assumptions'!$C$195</definedName>
    <definedName name="hole_per_day">'Indirect Assumptions'!$C$61</definedName>
    <definedName name="hole_per_job">'Indirect Assumptions'!$C$60</definedName>
    <definedName name="hole_per_sf">'Indirect Assumptions'!$C$59</definedName>
    <definedName name="horiz_underdrain">'Critical Design Assumptions'!$C$21</definedName>
    <definedName name="horiz_void">'Contactor Constraints'!$C$58</definedName>
    <definedName name="horiz_vol_available">'Contactor Constraints'!$C$62</definedName>
    <definedName name="households">OUTPUT!$C$414</definedName>
    <definedName name="hp_EER">'O&amp;M Assumptions'!$C$64</definedName>
    <definedName name="hp_max_cool_cl">'Engineering Data'!$C$99</definedName>
    <definedName name="hp_max_heat_cl">'Engineering Data'!$C$102</definedName>
    <definedName name="hp_ok_1">HVAC!$C$74</definedName>
    <definedName name="hp_ok_2">HVAC!$C$75</definedName>
    <definedName name="hrailing">'Residuals Management'!$C$50</definedName>
    <definedName name="ht_diam">'Pumps Pipe Structure'!$C$45</definedName>
    <definedName name="ht_solids">'Residuals Management'!$C$21</definedName>
    <definedName name="ht_solids_density">'Critical Design Assumptions'!$C$189</definedName>
    <definedName name="htank_clean_pc">'Residuals Management'!$C$24</definedName>
    <definedName name="htank_clean_pct">'Critical Design Assumptions'!$C$192</definedName>
    <definedName name="htank_fp">'Pumps Pipe Structure'!$C$71</definedName>
    <definedName name="htank_TSSrem">'Critical Design Assumptions'!$C$190</definedName>
    <definedName name="htank_vol">'Residuals Management'!$C$35</definedName>
    <definedName name="htanks">'Residuals Management'!$C$34</definedName>
    <definedName name="htransfer_time">'Critical Design Assumptions'!$C$76</definedName>
    <definedName name="hvac_ac_cost_cl">'Cost Data'!$B$1180:$F$1183</definedName>
    <definedName name="hvac_ac_eq_1">'Cost Equations'!$C$215</definedName>
    <definedName name="hvac_ac_eq_2">'Cost Equations'!$C$228</definedName>
    <definedName name="hvac_elec_cost_cl">'Cost Data'!$B$1188:$F$1197</definedName>
    <definedName name="hvac_elec_eq_1">'Cost Equations'!$C$209</definedName>
    <definedName name="hvac_elec_eq_2">'Cost Equations'!$C$222</definedName>
    <definedName name="hvac_gas_cost_cl">'Cost Data'!$B$1202:$F$1208</definedName>
    <definedName name="hvac_gas_eq_1">'Cost Equations'!$C$211</definedName>
    <definedName name="hvac_gas_eq_2">'Cost Equations'!$C$224</definedName>
    <definedName name="hvac_gas_non_cost_cl">'Cost Data'!$B$1213:$F$1219</definedName>
    <definedName name="hvac_gas_non_eq_1">'Cost Equations'!$C$210</definedName>
    <definedName name="hvac_gas_non_eq_2">'Cost Equations'!$C$223</definedName>
    <definedName name="hvac_hp_cost_cl">'Cost Data'!$B$1224:$F$1243</definedName>
    <definedName name="hvac_hp_eq_1">'Cost Equations'!$C$216</definedName>
    <definedName name="hvac_hp_eq_2">'Cost Equations'!$C$229</definedName>
    <definedName name="hvac_oil_mid_cost_cl">'Cost Data'!$B$1248:$F$1254</definedName>
    <definedName name="hvac_oil_mid_eq_1">'Cost Equations'!$C$213</definedName>
    <definedName name="hvac_oil_mid_eq_2">'Cost Equations'!$C$226</definedName>
    <definedName name="hvac_oil_std_cost_cl">'Cost Data'!$B$1259:$F$1265</definedName>
    <definedName name="hvac_oil_std_eq_1">'Cost Equations'!$C$212</definedName>
    <definedName name="hvac_oil_std_eq_2">'Cost Equations'!$C$225</definedName>
    <definedName name="hvol_ft">'Residuals Management'!$C$41</definedName>
    <definedName name="i_c_pct">'Indirect Assumptions'!$C$76</definedName>
    <definedName name="imp_mix_cost_cl">'Cost Data'!$B$423:$F$432</definedName>
    <definedName name="in_chv">'Critical Design Assumptions'!$C$99</definedName>
    <definedName name="in_chv_addon">'Critical Design Assumptions'!$C$100</definedName>
    <definedName name="in_man">'Critical Design Assumptions'!$C$94</definedName>
    <definedName name="in_man_addon">'Critical Design Assumptions'!$C$95</definedName>
    <definedName name="in_meter_size">'Instrumentation and Control'!$C$37</definedName>
    <definedName name="in_out_pipe_diam">'Pumps Pipe Structure'!$C$24</definedName>
    <definedName name="in_out_pipe_flow">'Pumps Pipe Structure'!$C$23</definedName>
    <definedName name="in_out_pipe_length">'Pumps Pipe Structure'!$C$22</definedName>
    <definedName name="in_out_pipe_mult">'Critical Design Assumptions'!$C$86</definedName>
    <definedName name="in_valve_size">'Instrumentation and Control'!$C$9</definedName>
    <definedName name="include_add_res_pipe_addon">'Critical Design Assumptions'!$C$205</definedName>
    <definedName name="include_arch">'Indirect Assumptions'!$C$20</definedName>
    <definedName name="include_arch_small">'Indirect Assumptions'!$C$21</definedName>
    <definedName name="include_bond">'Indirect Assumptions'!$C$104</definedName>
    <definedName name="include_buildings">Indirect!$C$5</definedName>
    <definedName name="include_buildings_I">INPUT!$G$101</definedName>
    <definedName name="include_cm">'Indirect Assumptions'!$C$105</definedName>
    <definedName name="include_cm_pre">'Indirect Assumptions'!$C$106</definedName>
    <definedName name="include_cmix">'Critical Design Assumptions'!$C$182</definedName>
    <definedName name="include_conting_high">'Indirect Assumptions'!$C$81</definedName>
    <definedName name="include_conting_low">'Indirect Assumptions'!$C$79</definedName>
    <definedName name="include_conting_medium">'Indirect Assumptions'!$C$80</definedName>
    <definedName name="include_geo_high">'Indirect Assumptions'!$C$46</definedName>
    <definedName name="include_geo_high_g">'Indirect Assumptions'!$C$49</definedName>
    <definedName name="include_geo_low">'Indirect Assumptions'!$C$44</definedName>
    <definedName name="include_geo_low_g">'Indirect Assumptions'!$C$47</definedName>
    <definedName name="include_geo_medium">'Indirect Assumptions'!$C$45</definedName>
    <definedName name="include_geo_medium_g">'Indirect Assumptions'!$C$48</definedName>
    <definedName name="include_HVAC">HVAC!$C$9</definedName>
    <definedName name="include_HVAC_I">INPUT!$G$102</definedName>
    <definedName name="include_land">Indirect!$C$6</definedName>
    <definedName name="include_land_I">INPUT!$G$103</definedName>
    <definedName name="include_NEPA">'Indirect Assumptions'!$C$7</definedName>
    <definedName name="include_pad">'Indirect Assumptions'!$C$109</definedName>
    <definedName name="include_permits">'Indirect Assumptions'!$C$6</definedName>
    <definedName name="include_pilot">'Indirect Assumptions'!$C$10</definedName>
    <definedName name="include_pilot_addon">'Indirect Assumptions'!$C$11</definedName>
    <definedName name="include_sec_cont">'Critical Design Assumptions'!$C$213</definedName>
    <definedName name="include_sitework">'Indirect Assumptions'!$C$27</definedName>
    <definedName name="include_standby">'Indirect Assumptions'!$C$64</definedName>
    <definedName name="include_standby_addon">'Indirect Assumptions'!$C$66</definedName>
    <definedName name="include_standby_small">'Indirect Assumptions'!$C$65</definedName>
    <definedName name="include_yardpipe">'Indirect Assumptions'!$C$30</definedName>
    <definedName name="include_yardpipe_addon">'Indirect Assumptions'!$C$31</definedName>
    <definedName name="indirect_cost">OUTPUT!$C$347</definedName>
    <definedName name="indirect_cost_add">OUTPUT!$C$439</definedName>
    <definedName name="indirect_cost_mult">OUTPUT!$C$438</definedName>
    <definedName name="influent_TSS">'Critical Design Assumptions'!$C$220</definedName>
    <definedName name="inp_autosize_gravity">'Standard Inputs'!$Y$366:$AA$366</definedName>
    <definedName name="inp_autosize_pressure">'Standard Inputs'!$T$366:$W$366</definedName>
    <definedName name="inp_sel">'Standard Inputs'!$A$363:$AV$363</definedName>
    <definedName name="inp_used">'Standard Inputs'!$D$362:$AV$362</definedName>
    <definedName name="inp_used_gravity">'Standard Inputs'!$Y$362:$AA$362</definedName>
    <definedName name="inp_used_minimal">'Standard Inputs'!$D$362:$G$362</definedName>
    <definedName name="inp_used_nonvessel1">'Standard Inputs'!$D$362:$R$362</definedName>
    <definedName name="inp_used_nonvessel2">'Standard Inputs'!$AB$362:$AV$362</definedName>
    <definedName name="inp_used_pressure">'Standard Inputs'!$T$362:$W$362</definedName>
    <definedName name="inp_used_usersel">'Standard Inputs'!$A$362</definedName>
    <definedName name="Input_Checks">OUTPUT!$C$442:$AN$442</definedName>
    <definedName name="input_complete">INPUT!$C$20</definedName>
    <definedName name="input_status">INPUT!$G$19</definedName>
    <definedName name="input_vol_vess">'Contactor Constraints'!$C$63</definedName>
    <definedName name="inst_pct">'Indirect Assumptions'!$C$24</definedName>
    <definedName name="Kss">INPUT!$G$48</definedName>
    <definedName name="labor_table_cl">'Cost Data'!$B$1313:$G$1320</definedName>
    <definedName name="land_cost">'Pumps Pipe Structure'!$C$84</definedName>
    <definedName name="land_cost_cl">'Cost Data'!$B$1326:$D$1333</definedName>
    <definedName name="land_required">'Pumps Pipe Structure'!$C$83</definedName>
    <definedName name="laser_printer_cost_cl">'Cost Data'!$B$437:$F$437</definedName>
    <definedName name="legal_pct">'Indirect Assumptions'!$C$93</definedName>
    <definedName name="length_diam_ratio">'Critical Design Assumptions'!$C$22</definedName>
    <definedName name="level_switch">'Critical Design Assumptions'!$C$109</definedName>
    <definedName name="level_switch_g">'Critical Design Assumptions'!$C$111</definedName>
    <definedName name="level_switch_small">'Critical Design Assumptions'!$C$110</definedName>
    <definedName name="level_switch_small_g">'Critical Design Assumptions'!$C$112</definedName>
    <definedName name="lighting">'O&amp;M'!$C$69</definedName>
    <definedName name="lighting_energy_1">'O&amp;M'!$C$67</definedName>
    <definedName name="lighting_energy_2">'O&amp;M'!$C$68</definedName>
    <definedName name="lighting_power_high">'O&amp;M Assumptions'!$C$37</definedName>
    <definedName name="lighting_power_low">'O&amp;M Assumptions'!$C$35</definedName>
    <definedName name="lighting_power_mid">'O&amp;M Assumptions'!$C$36</definedName>
    <definedName name="liner_area">'Residuals Management'!$C$173</definedName>
    <definedName name="lines_pump_I">INPUT!$G$91</definedName>
    <definedName name="link_annc">OUTPUT!$A$406:$L$419</definedName>
    <definedName name="link_aoc">OUTPUT!$A$322:$L$327</definedName>
    <definedName name="link_bed_constraints">'Critical Design Assumptions'!$C$23:$C$24</definedName>
    <definedName name="link_bed_depth">'Critical Design Assumptions'!$C$34:$C$35</definedName>
    <definedName name="link_dcc">OUTPUT!$A$34:$L$320</definedName>
    <definedName name="link_dim_constraints">'Critical Design Assumptions'!$C$17:$C$21</definedName>
    <definedName name="link_icc">OUTPUT!$A$329:$L$347</definedName>
    <definedName name="link_length">'Critical Design Assumptions'!$C$38:$C$39</definedName>
    <definedName name="link_load">'Critical Design Assumptions'!$C$12:$C$13</definedName>
    <definedName name="link_omc">OUTPUT!$A$359:$L$404</definedName>
    <definedName name="link_output">OUTPUT!$A$1</definedName>
    <definedName name="link_tcc">OUTPUT!$A$349:$L$357</definedName>
    <definedName name="link_width">'Critical Design Assumptions'!$C$36:$C$37</definedName>
    <definedName name="load_max">'Critical Design Assumptions'!$C$13</definedName>
    <definedName name="load_min">'Critical Design Assumptions'!$C$12</definedName>
    <definedName name="low_sa">'Contactor Constraints'!$C$28</definedName>
    <definedName name="M">'Backwash and Regeneration'!$C$31</definedName>
    <definedName name="mag_fm_cost_cl">'Cost Data'!$B$442:$F$460</definedName>
    <definedName name="mag_fm_eq_back">'Cost Equations'!$C$156</definedName>
    <definedName name="mag_fm_eq_in">'Cost Equations'!$C$146</definedName>
    <definedName name="mag_fm_eq_proc">'Cost Equations'!$C$151</definedName>
    <definedName name="mag_fm_eq_res">'Cost Equations'!$C$161</definedName>
    <definedName name="makeup_rate">'Critical Design Assumptions'!$C$73</definedName>
    <definedName name="makeup_rate_off">'Critical Design Assumptions'!$C$74</definedName>
    <definedName name="Manager_LOE">'O&amp;M'!$C$40</definedName>
    <definedName name="Manager_percent">'O&amp;M Assumptions'!$C$10</definedName>
    <definedName name="manual">'Instrumentation and Control'!$C$6</definedName>
    <definedName name="manual_I">INPUT!$G$100</definedName>
    <definedName name="Materials_pct">'O&amp;M Assumptions'!$C$7</definedName>
    <definedName name="max_back_tank_size">'Backwash and Regeneration'!$C$26</definedName>
    <definedName name="max_bed_depth">'Critical Design Assumptions'!$C$24</definedName>
    <definedName name="max_chem_tank_size">'Residuals Management'!$C$60</definedName>
    <definedName name="max_chem_tank_size_noSS">'Residuals Management'!$C$61</definedName>
    <definedName name="max_cm_pump_size">'Residuals Management'!$C$62</definedName>
    <definedName name="max_cm_pump_size_noSS">'Residuals Management'!$C$63</definedName>
    <definedName name="max_comm_height">'Contactor Constraints'!$C$53</definedName>
    <definedName name="max_cool_cl">'Engineering Data'!$C$105</definedName>
    <definedName name="max_depth">'Critical Design Assumptions'!$C$34</definedName>
    <definedName name="max_diam">'Contactor Constraints'!$C$24</definedName>
    <definedName name="max_diam_override">'Critical Design Assumptions'!$C$18</definedName>
    <definedName name="max_diam_std_size">'Contactor Constraints'!$C$22</definedName>
    <definedName name="max_eductor_size">'Pumps Pipe Structure'!$C$17</definedName>
    <definedName name="max_ep_cell_area">'Critical Design Assumptions'!$C$255</definedName>
    <definedName name="max_excav_depth">Indirect!$C$32</definedName>
    <definedName name="max_furnace_size">'Backwash and Regeneration'!$C$40</definedName>
    <definedName name="max_heat_cl">'Engineering Data'!$C$108</definedName>
    <definedName name="max_height">'Critical Design Assumptions'!$C$17</definedName>
    <definedName name="max_htank_size">'Residuals Management'!$C$33</definedName>
    <definedName name="max_length">'Critical Design Assumptions'!$C$19</definedName>
    <definedName name="max_length_g">'Critical Design Assumptions'!$C$38</definedName>
    <definedName name="max_pump_size">'Pumps Pipe Structure'!$C$8</definedName>
    <definedName name="max_sa">'Contactor Constraints'!$C$28</definedName>
    <definedName name="max_sept_tank_vol">'Residuals Management'!$C$147</definedName>
    <definedName name="max_space_vessels">'Pumps Pipe Structure'!$C$48</definedName>
    <definedName name="max_space_vessels_cust">'Critical Design Assumptions'!$C$158</definedName>
    <definedName name="max_space_vessels_pre">'Critical Design Assumptions'!$C$159</definedName>
    <definedName name="max_vessel_diam_cl">'Engineering Data'!$C$111</definedName>
    <definedName name="max_waste_ship">'Critical Design Assumptions'!$C$228</definedName>
    <definedName name="max_width">'Critical Design Assumptions'!$C$36</definedName>
    <definedName name="media_changes">'O&amp;M'!$C$19</definedName>
    <definedName name="media_changes_cf">'O&amp;M'!$C$20</definedName>
    <definedName name="media_volume">'Contactor Constraints'!$C$80</definedName>
    <definedName name="media_volume_expanded">'Contactor Constraints'!$C$83</definedName>
    <definedName name="metal_cost_cl">'Cost Data'!$B$465:$F$468</definedName>
    <definedName name="min_avg_flow">'Critical Design Assumptions'!$C$6</definedName>
    <definedName name="min_basin_vol">'Contactor Constraints'!$C$66</definedName>
    <definedName name="min_bed_depth">'Critical Design Assumptions'!$C$23</definedName>
    <definedName name="min_chem_flow">'Critical Design Assumptions'!$C$55</definedName>
    <definedName name="min_cmix_hp">'Critical Design Assumptions'!$C$181</definedName>
    <definedName name="min_comm_height">'Contactor Constraints'!$C$52</definedName>
    <definedName name="min_depth">'Critical Design Assumptions'!$C$35</definedName>
    <definedName name="min_diam">'Contactor Constraints'!$C$23</definedName>
    <definedName name="min_ep_cells">'Critical Design Assumptions'!$C$256</definedName>
    <definedName name="min_hmix_hp">'Critical Design Assumptions'!$C$198</definedName>
    <definedName name="min_holes">'Indirect Assumptions'!$C$58</definedName>
    <definedName name="min_length_g">'Critical Design Assumptions'!$C$39</definedName>
    <definedName name="min_res_pipe_size">'Critical Design Assumptions'!$C$202</definedName>
    <definedName name="min_sept_disch_time">'Critical Design Assumptions'!$C$234</definedName>
    <definedName name="min_sept_tank_vol">'Critical Design Assumptions'!$C$235</definedName>
    <definedName name="min_standby">'Indirect Assumptions'!$C$70</definedName>
    <definedName name="min_trench_depth">'Indirect Assumptions'!$C$33</definedName>
    <definedName name="min_vessel_diam_cl">'Engineering Data'!$C$114</definedName>
    <definedName name="min_width">'Critical Design Assumptions'!$C$37</definedName>
    <definedName name="misc_pct">'Indirect Assumptions'!$C$90</definedName>
    <definedName name="Missing_Cost">OUTPUT!$C$443</definedName>
    <definedName name="mob_pct_large">'Indirect Assumptions'!$C$17</definedName>
    <definedName name="mob_pct_medium">'Indirect Assumptions'!$C$16</definedName>
    <definedName name="mob_pct_pre">'Indirect Assumptions'!$C$14</definedName>
    <definedName name="mob_pct_small">'Indirect Assumptions'!$C$15</definedName>
    <definedName name="mount_mix_cost_cl">'Cost Data'!$B$473:$F$480</definedName>
    <definedName name="N_0_e">'Backwash and Regeneration'!$C$33</definedName>
    <definedName name="need_cool">'Indirect Assumptions'!$C$69</definedName>
    <definedName name="need_heat">'Indirect Assumptions'!$C$68</definedName>
    <definedName name="NEPA_cost_cl">'Cost Data'!$B$1338:$C$1339</definedName>
    <definedName name="NEPA_SW_cost_cl">'Cost Data'!$D$1342</definedName>
    <definedName name="next_loc_marker">'Cost Data'!$A$1607</definedName>
    <definedName name="no_back_tank">'Backwash and Regeneration'!$C$10</definedName>
    <definedName name="no_back_tank_I">INPUT!$G$96</definedName>
    <definedName name="no_backwash">'Backwash and Regeneration'!$C$9</definedName>
    <definedName name="no_backwash_I">INPUT!$G$95</definedName>
    <definedName name="non_fire_buffer">'Critical Design Assumptions'!$C$162</definedName>
    <definedName name="non_haz_miles">'Critical Design Assumptions'!$C$229</definedName>
    <definedName name="nonhaz_disposal_cost_cl">'Cost Data'!$D$1345</definedName>
    <definedName name="nonhaz_transportation_cost_cl">'Cost Data'!$D$1348</definedName>
    <definedName name="NPDES_permit_cost_cl">'Cost Data'!$B$1354:$C$1356</definedName>
    <definedName name="NRD">'Contactor Constraints'!$C$34</definedName>
    <definedName name="NRD_back_pumps">'Critical Design Assumptions'!$C$53</definedName>
    <definedName name="NRD_basins_large">'Critical Design Assumptions'!$C$32</definedName>
    <definedName name="NRD_basins_medium">'Critical Design Assumptions'!$C$31</definedName>
    <definedName name="NRD_cm_pump">'Critical Design Assumptions'!$C$54</definedName>
    <definedName name="NRD_eductors">'Critical Design Assumptions'!$C$77</definedName>
    <definedName name="NRD_g">'Contactor Constraints'!$C$71</definedName>
    <definedName name="NRD_I">INPUT!$G$93</definedName>
    <definedName name="NRD_pumps">'Critical Design Assumptions'!$C$52</definedName>
    <definedName name="NRD_res_pump">'Critical Design Assumptions'!$C$201</definedName>
    <definedName name="NRD_small">'Critical Design Assumptions'!$C$10</definedName>
    <definedName name="NRD_small_1">'Critical Design Assumptions'!$C$9</definedName>
    <definedName name="num_back_tanks">'Backwash and Regeneration'!$C$27</definedName>
    <definedName name="num_furnaces">'Backwash and Regeneration'!$C$41</definedName>
    <definedName name="num_holes">Indirect!$C$35</definedName>
    <definedName name="num_pits">Indirect!$C$34</definedName>
    <definedName name="num_sept_tanks">'Residuals Management'!$C$148</definedName>
    <definedName name="Num_tanks">'Contactor Constraints'!$C$18</definedName>
    <definedName name="Num_tanks_I">INPUT!$G$49</definedName>
    <definedName name="num_treat_lines">'Contactor Constraints'!$C$32</definedName>
    <definedName name="off_regen_cost_cl">'Cost Data'!$B$485:$F$487</definedName>
    <definedName name="off_regen_eq">'Cost Equations'!$C$197</definedName>
    <definedName name="office_fp">'Pumps Pipe Structure'!$C$75</definedName>
    <definedName name="OM_City_Index">OUTPUT!$C$361</definedName>
    <definedName name="OM_cost">OUTPUT!$G$404</definedName>
    <definedName name="on_regen_cost_cl">'Cost Data'!$B$492:$F$499</definedName>
    <definedName name="on_regen_eq">'Cost Equations'!$C$183</definedName>
    <definedName name="Onsite_regeneration_fp">'Pumps Pipe Structure'!$C$67</definedName>
    <definedName name="op_fm_cost_cl">'Cost Data'!$B$504:$F$511</definedName>
    <definedName name="op_fm_eq_back">'Cost Equations'!$C$153</definedName>
    <definedName name="op_fm_eq_in">'Cost Equations'!$C$143</definedName>
    <definedName name="op_fm_eq_proc">'Cost Equations'!$C$148</definedName>
    <definedName name="op_fm_eq_res">'Cost Equations'!$C$158</definedName>
    <definedName name="op_interface_software_cost_cl">'Cost Data'!$B$516:$F$516</definedName>
    <definedName name="op_num_basins">'Contactor Constraints'!$C$67</definedName>
    <definedName name="op_num_tanks">'Contactor Constraints'!$C$33</definedName>
    <definedName name="Operator_LOE">'O&amp;M'!$C$39</definedName>
    <definedName name="output_db">OUTPUT!$A$38:$V$320</definedName>
    <definedName name="output_page">OUTPUT!$A$26:$M$314</definedName>
    <definedName name="overexcavate">'Critical Design Assumptions'!$C$47</definedName>
    <definedName name="pad_thick">'Critical Design Assumptions'!$C$168</definedName>
    <definedName name="pad_thick_small">'Critical Design Assumptions'!$C$169</definedName>
    <definedName name="pan_evap">'Critical Design Assumptions'!$C$250</definedName>
    <definedName name="pc_workstation_cost_cl">'Cost Data'!$B$521:$F$521</definedName>
    <definedName name="performance_bond_table_cl">'Engineering Data'!$A$119:$E$124</definedName>
    <definedName name="permit_cost">Indirect!$C$86</definedName>
    <definedName name="pH_controls">'Instrumentation and Control'!$C$45</definedName>
    <definedName name="pH_controls_g">'Critical Design Assumptions'!$C$114</definedName>
    <definedName name="pH_controls_small_g">'Critical Design Assumptions'!$C$115</definedName>
    <definedName name="pH_meter_cost_cl">'Cost Data'!$B$526:$F$526</definedName>
    <definedName name="pilot_cost_large_cl">'Cost Data'!$B$1421:$C$1448</definedName>
    <definedName name="pilot_cost_medium_cl">'Cost Data'!$B$1484:$C$1511</definedName>
    <definedName name="pilot_cost_small_cl">'Cost Data'!$B$1518:$C$1545</definedName>
    <definedName name="pipe_size_table_cl">'Engineering Data'!$A$130:$B$150</definedName>
    <definedName name="pit_cost_cl">'Cost Data'!$B$531:$F$531</definedName>
    <definedName name="pit_depth">'Indirect Assumptions'!$C$52</definedName>
    <definedName name="pit_length">'Indirect Assumptions'!$C$50</definedName>
    <definedName name="pit_width">'Indirect Assumptions'!$C$51</definedName>
    <definedName name="pl_coag_st_eq">'Cost Equations'!$C$32</definedName>
    <definedName name="pl_cst_cost_cl">'Cost Data'!$B$536:$F$562</definedName>
    <definedName name="pl_polymer_st_eq">'Cost Equations'!$C$35</definedName>
    <definedName name="plant_intel_software_cost_cl">'Cost Data'!$B$567:$F$567</definedName>
    <definedName name="plc_base_expansion">'Instrumentation and Control'!$C$70</definedName>
    <definedName name="plc_base_expansion_controller">'Instrumentation and Control'!$C$71</definedName>
    <definedName name="plc_base_expansion_controller_cost_cl">'Cost Data'!$B$572:$F$572</definedName>
    <definedName name="plc_base_expansion_cost_cl">'Cost Data'!$B$577:$F$577</definedName>
    <definedName name="plc_combination_analog">'Instrumentation and Control'!$C$64</definedName>
    <definedName name="plc_combination_analog_cost_cl">'Cost Data'!$B$582:$F$582</definedName>
    <definedName name="plc_cpu">'Instrumentation and Control'!$C$65</definedName>
    <definedName name="plc_cpu_addon">'Critical Design Assumptions'!$C$144</definedName>
    <definedName name="plc_cpu_cost_cl">'Cost Data'!$B$587:$F$587</definedName>
    <definedName name="plc_cpu_standalone">'Critical Design Assumptions'!$C$143</definedName>
    <definedName name="plc_data_software_cost_cl">'Cost Data'!$B$592:$F$592</definedName>
    <definedName name="plc_discrete_input">'Instrumentation and Control'!$C$63</definedName>
    <definedName name="plc_discrete_input_cost_cl">'Cost Data'!$B$597:$F$597</definedName>
    <definedName name="plc_discrete_output">'Instrumentation and Control'!$C$62</definedName>
    <definedName name="plc_discrete_output_cost_cl">'Cost Data'!$B$602:$F$602</definedName>
    <definedName name="plc_ethernet">'Instrumentation and Control'!$C$66</definedName>
    <definedName name="plc_ethernet_addon">'Critical Design Assumptions'!$C$146</definedName>
    <definedName name="plc_ethernet_cost_cl">'Cost Data'!$B$607:$F$607</definedName>
    <definedName name="plc_ethernet_standalone">'Critical Design Assumptions'!$C$145</definedName>
    <definedName name="plc_expansions">'Instrumentation and Control'!$C$68</definedName>
    <definedName name="plc_interface">'Instrumentation and Control'!$C$72</definedName>
    <definedName name="plc_interface_addon">'Critical Design Assumptions'!$C$148</definedName>
    <definedName name="plc_interface_standalone">'Critical Design Assumptions'!$C$147</definedName>
    <definedName name="plc_op_interface_cost_cl">'Cost Data'!$B$612:$F$613</definedName>
    <definedName name="plc_rack">'Instrumentation and Control'!$C$69</definedName>
    <definedName name="plc_rack_addon">'Critical Design Assumptions'!$C$142</definedName>
    <definedName name="plc_rack_cost_cl">'Cost Data'!$B$618:$F$618</definedName>
    <definedName name="plc_slots">'Instrumentation and Control'!$C$67</definedName>
    <definedName name="plc_software_cost_cl">'Cost Data'!$B$623:$F$623</definedName>
    <definedName name="polymer_chv_pump">'Critical Design Assumptions'!$C$103</definedName>
    <definedName name="polymer_cmix_per_tank">'Residuals Management'!$C$97</definedName>
    <definedName name="polymer_cmix_size">'Residuals Management'!$C$99</definedName>
    <definedName name="polymer_cmixers">'Residuals Management'!$C$98</definedName>
    <definedName name="polymer_day">'Residuals Management'!$C$92</definedName>
    <definedName name="polymer_density">'Critical Design Assumptions'!$C$178</definedName>
    <definedName name="polymer_dose">'Critical Design Assumptions'!$C$177</definedName>
    <definedName name="polymer_fp">'Pumps Pipe Structure'!$C$73</definedName>
    <definedName name="polymer_pipe_diam">'Pumps Pipe Structure'!$C$38</definedName>
    <definedName name="polymer_pipe_flow">'Pumps Pipe Structure'!$C$37</definedName>
    <definedName name="polymer_pipe_length">'Pumps Pipe Structure'!$C$36</definedName>
    <definedName name="polymer_purchase">'Residuals Management'!$C$196</definedName>
    <definedName name="polymer_rate">'Residuals Management'!$C$100</definedName>
    <definedName name="polymer_spf">'Critical Design Assumptions'!$C$179</definedName>
    <definedName name="polymer_st_diam">'Pumps Pipe Structure'!$C$47</definedName>
    <definedName name="polymer_storage">'Residuals Management'!$C$93</definedName>
    <definedName name="polymer_storage_lbs">'Residuals Management'!$C$94</definedName>
    <definedName name="polymer_tank_vol">'Residuals Management'!$C$96</definedName>
    <definedName name="polymer_tanks">'Residuals Management'!$C$95</definedName>
    <definedName name="polymer_valve_size">'Instrumentation and Control'!$C$14</definedName>
    <definedName name="polymer_yr">'Residuals Management'!$C$184</definedName>
    <definedName name="port_mix_cost_cl">'Cost Data'!$B$628:$F$629</definedName>
    <definedName name="port_table">'Critical Design Assumptions'!$B$296:$F$307</definedName>
    <definedName name="ports">'Instrumentation and Control'!$C$49</definedName>
    <definedName name="ports_bp">'Critical Design Assumptions'!$C$129</definedName>
    <definedName name="ports_tank">'Critical Design Assumptions'!$C$128</definedName>
    <definedName name="POTW_base_cost_avg_cl">'Cost Data'!$D$1548</definedName>
    <definedName name="POTW_base_cost_typ_cl">'Cost Data'!$D$1551</definedName>
    <definedName name="POTW_base_fee">'Critical Design Assumptions'!$C$223</definedName>
    <definedName name="POTW_fee">'Residuals Management'!$C$204</definedName>
    <definedName name="POTW_rate_type">'Critical Design Assumptions'!$C$222</definedName>
    <definedName name="POTW_TSS_cost_avg_cl">'Cost Data'!$D$1554</definedName>
    <definedName name="POTW_TSS_cost_typ_cl">'Cost Data'!$D$1557</definedName>
    <definedName name="POTW_TSS_fee">'Critical Design Assumptions'!$C$225</definedName>
    <definedName name="POTW_TSS_limit">'Critical Design Assumptions'!$C$226</definedName>
    <definedName name="POTW_vol_cost_avg_cl">'Cost Data'!$D$1560</definedName>
    <definedName name="POTW_vol_cost_typ_cl">'Cost Data'!$D$1563</definedName>
    <definedName name="POTW_volume_fee">'Critical Design Assumptions'!$C$224</definedName>
    <definedName name="pp_chv_cost_cl">'Cost Data'!$B$634:$F$645</definedName>
    <definedName name="pp_chv_eq_back">'Cost Equations'!$C$113</definedName>
    <definedName name="pp_chv_eq_bp">'Cost Equations'!$C$126</definedName>
    <definedName name="pp_chv_eq_coag">'Cost Equations'!$C$119</definedName>
    <definedName name="pp_chv_eq_in">'Cost Equations'!$C$123</definedName>
    <definedName name="pp_chv_eq_polymer">'Cost Equations'!$C$120</definedName>
    <definedName name="pp_chv_eq_res">'Cost Equations'!$C$116</definedName>
    <definedName name="pp_man_cost_cl">'Cost Data'!$B$650:$F$666</definedName>
    <definedName name="pp_man_eq">'Cost Equations'!$C$93</definedName>
    <definedName name="pp_man_eq_back">'Cost Equations'!$C$99</definedName>
    <definedName name="pp_man_eq_bp">'Cost Equations'!$C$109</definedName>
    <definedName name="pp_man_eq_coag">'Cost Equations'!$C$105</definedName>
    <definedName name="pp_man_eq_polymer">'Cost Equations'!$C$106</definedName>
    <definedName name="pp_man_eq_proc">'Cost Equations'!$C$96</definedName>
    <definedName name="pp_man_eq_res">'Cost Equations'!$C$102</definedName>
    <definedName name="pp_mov_cost_cl">'Cost Data'!$B$671:$F$688</definedName>
    <definedName name="pp_mov_eq_back">'Cost Equations'!$C$79</definedName>
    <definedName name="pp_mov_eq_bp">'Cost Equations'!$C$89</definedName>
    <definedName name="pp_mov_eq_coag">'Cost Equations'!$C$85</definedName>
    <definedName name="pp_mov_eq_polymer">'Cost Equations'!$C$86</definedName>
    <definedName name="pp_mov_eq_res">'Cost Equations'!$C$82</definedName>
    <definedName name="pp_mov_eq_tank">'Cost Equations'!$C$76</definedName>
    <definedName name="precip">'Critical Design Assumptions'!$C$252</definedName>
    <definedName name="pretreat_permit_cost_cl">'Cost Data'!$C$1566</definedName>
    <definedName name="_xlnm.Print_Area" localSheetId="4">'Critical Design Assumptions'!$A$295:$F$307</definedName>
    <definedName name="_xlnm.Print_Area" localSheetId="3">OUTPUT!$A$178:$D$209</definedName>
    <definedName name="printer_addon">'Critical Design Assumptions'!$C$155</definedName>
    <definedName name="printer_ratio">'Critical Design Assumptions'!$C$154</definedName>
    <definedName name="printers">'Instrumentation and Control'!$C$75</definedName>
    <definedName name="proc_man_vessel">'Critical Design Assumptions'!$C$96</definedName>
    <definedName name="proc_man_vessel_cont">'Instrumentation and Control'!$C$25</definedName>
    <definedName name="proc_meter_size">'Instrumentation and Control'!$C$38</definedName>
    <definedName name="proc_MOV_vessel">'Instrumentation and Control'!$C$16</definedName>
    <definedName name="proc_pipe_diam">'Pumps Pipe Structure'!$C$27</definedName>
    <definedName name="proc_pipe_flow">'Pumps Pipe Structure'!$C$26</definedName>
    <definedName name="proc_pipe_length">'Pumps Pipe Structure'!$C$25</definedName>
    <definedName name="proc_pipe_mult">'Critical Design Assumptions'!$C$87</definedName>
    <definedName name="process_cost">OUTPUT!$C$318</definedName>
    <definedName name="prop_fm_cost_cl">'Cost Data'!$B$693:$F$707</definedName>
    <definedName name="prop_fm_eq_back">'Cost Equations'!$C$154</definedName>
    <definedName name="prop_fm_eq_in">'Cost Equations'!$C$144</definedName>
    <definedName name="prop_fm_eq_proc">'Cost Equations'!$C$149</definedName>
    <definedName name="prop_fm_eq_res">'Cost Equations'!$C$159</definedName>
    <definedName name="pump_cost_cl">'Cost Data'!$B$712:$F$725</definedName>
    <definedName name="pump_dim_table_cl">'Engineering Data'!$A$155:$D$158</definedName>
    <definedName name="pump_efficiency">'O&amp;M Assumptions'!$C$33</definedName>
    <definedName name="pump_energy">'O&amp;M'!$C$55</definedName>
    <definedName name="pump_eq">'Cost Equations'!$C$130</definedName>
    <definedName name="pump_eq_back">'Cost Equations'!$C$131</definedName>
    <definedName name="pump_fp">'Pumps Pipe Structure'!$C$66</definedName>
    <definedName name="pump_head">'O&amp;M Assumptions'!$C$30</definedName>
    <definedName name="pump_hp">'O&amp;M'!$C$53</definedName>
    <definedName name="pump_mtl">'O&amp;M'!$C$6</definedName>
    <definedName name="pump_rating">'Pumps Pipe Structure'!$C$7</definedName>
    <definedName name="pump_safety_factor">'Critical Design Assumptions'!$C$51</definedName>
    <definedName name="pvc_coag_empump_eq">'Cost Equations'!$C$135</definedName>
    <definedName name="pvc_coag_mmpump_eq">'Cost Equations'!$C$134</definedName>
    <definedName name="pvc_empump_cost_cl">'Cost Data'!$B$730:$F$741</definedName>
    <definedName name="pvc_mmpump_cost_cl">'Cost Data'!$B$746:$F$758</definedName>
    <definedName name="pvc_pipe_cost_cl">'Cost Data'!$B$763:$F$784</definedName>
    <definedName name="pvc_pipe_eq_back">'Cost Equations'!$C$47</definedName>
    <definedName name="pvc_pipe_eq_bp">'Cost Equations'!$C$71</definedName>
    <definedName name="pvc_pipe_eq_coag">'Cost Equations'!$C$63</definedName>
    <definedName name="pvc_pipe_eq_in_out">'Cost Equations'!$C$53</definedName>
    <definedName name="pvc_pipe_eq_polymer">'Cost Equations'!$C$66</definedName>
    <definedName name="pvc_pipe_eq_proc">'Cost Equations'!$C$42</definedName>
    <definedName name="pvc_pipe_eq_res">'Cost Equations'!$C$58</definedName>
    <definedName name="pvc_polymer_empump_eq">'Cost Equations'!$C$139</definedName>
    <definedName name="pvc_polymer_mmpump_eq">'Cost Equations'!$C$137</definedName>
    <definedName name="QL">'Backwash and Regeneration'!$C$32</definedName>
    <definedName name="r_air_changes_build1">Retrofit!$C$94</definedName>
    <definedName name="r_air_changes_build2">Retrofit!$C$95</definedName>
    <definedName name="r_bed_life">Retrofit!$C$13</definedName>
    <definedName name="r_bldg_maint_cost">Retrofit!$C$83</definedName>
    <definedName name="r_build1_fp">Retrofit!$C$55</definedName>
    <definedName name="r_build2_fp">Retrofit!$C$56</definedName>
    <definedName name="r_C_0">INPUT!$G$113</definedName>
    <definedName name="r_C_b">INPUT!$G$114</definedName>
    <definedName name="R_ceiling">'O&amp;M Assumptions'!$C$52</definedName>
    <definedName name="r_concrete">Retrofit!$C$61</definedName>
    <definedName name="r_disp_freq">Retrofit!$C$20</definedName>
    <definedName name="r_disposal_fee">Retrofit!$C$33</definedName>
    <definedName name="r_freund_1">INPUT!$G$111</definedName>
    <definedName name="r_freund_2">INPUT!$G$112</definedName>
    <definedName name="r_freund_type">Retrofit!$C$6</definedName>
    <definedName name="r_freund_type_I">INPUT!$G$110</definedName>
    <definedName name="r_furnace_lighting">Retrofit!$C$92</definedName>
    <definedName name="r_GAC_makeup">Retrofit!$C$18</definedName>
    <definedName name="r_GAC_yr">Retrofit!$C$16</definedName>
    <definedName name="r_haz_regen_transp">Retrofit!$C$38</definedName>
    <definedName name="r_inc_build1_fp">Retrofit!$C$57</definedName>
    <definedName name="r_inc_build2_fp">Retrofit!$C$58</definedName>
    <definedName name="r_inc_fp_required">Retrofit!$C$54</definedName>
    <definedName name="r_inc_Operator_LOE">Retrofit!$C$24</definedName>
    <definedName name="r_inc_regen_capacity">Retrofit!$C$49</definedName>
    <definedName name="r_inc_std_power">Retrofit!$C$43</definedName>
    <definedName name="r_inc_total_fp">Retrofit!$C$60</definedName>
    <definedName name="r_land_required">Retrofit!$C$62</definedName>
    <definedName name="r_lighting">Retrofit!$C$40</definedName>
    <definedName name="r_media_changes">Retrofit!$C$22</definedName>
    <definedName name="r_media_changes_cf">Retrofit!$C$23</definedName>
    <definedName name="r_N_0_e">Retrofit!$C$10</definedName>
    <definedName name="r_new_furnace">Retrofit!$C$50</definedName>
    <definedName name="r_off_regen_eq">'Cost Equations'!$C$199</definedName>
    <definedName name="r_on_regen_eq">'Cost Equations'!$C$184</definedName>
    <definedName name="r_onsite_regeneration_fp">Retrofit!$C$53</definedName>
    <definedName name="r_permit_cost">Retrofit!$C$72</definedName>
    <definedName name="r_regen_capacity">Retrofit!$C$48</definedName>
    <definedName name="r_regen_day">Retrofit!$C$15</definedName>
    <definedName name="r_regen_energy">Retrofit!$C$88</definedName>
    <definedName name="r_regen_labor">Retrofit!$C$87</definedName>
    <definedName name="r_regen_materials">Retrofit!$C$86</definedName>
    <definedName name="r_regen_ng">Retrofit!$C$89</definedName>
    <definedName name="r_regen_yr">Retrofit!$C$17</definedName>
    <definedName name="r_replace_gac_eq">'Cost Equations'!$C$198</definedName>
    <definedName name="r_sitework_cost">Retrofit!$C$75</definedName>
    <definedName name="r_spent_media_yr">Retrofit!$C$21</definedName>
    <definedName name="r_std_lighting">Retrofit!$C$41</definedName>
    <definedName name="r_std_power">Retrofit!$C$42</definedName>
    <definedName name="r_std_power_cost">Retrofit!$C$44</definedName>
    <definedName name="r_std_vent">Retrofit!$C$102</definedName>
    <definedName name="r_total_fp">Retrofit!$C$59</definedName>
    <definedName name="r_ventilation">Retrofit!$C$98</definedName>
    <definedName name="R_wall">'O&amp;M Assumptions'!$C$51</definedName>
    <definedName name="rad_annual_fee_cl">'Cost Data'!$B$1571:$C$1573</definedName>
    <definedName name="rad_disposal_cost_cl">'Cost Data'!$D$1576</definedName>
    <definedName name="rad_miles">'Critical Design Assumptions'!$C$231</definedName>
    <definedName name="rad_trans_min_cost_cl">'Cost Data'!$D$1579</definedName>
    <definedName name="rad_transportation_cost_cl">'Cost Data'!$D$1582</definedName>
    <definedName name="railing">'Contactor Constraints'!$C$76</definedName>
    <definedName name="Reduction">'Indirect Assumptions'!$C$36</definedName>
    <definedName name="redund_freq">'Critical Design Assumptions'!$C$16</definedName>
    <definedName name="regen_backfill_vol">'Backwash and Regeneration'!$C$83</definedName>
    <definedName name="regen_basin_depth">'Backwash and Regeneration'!$C$79</definedName>
    <definedName name="regen_basin_length">'Backwash and Regeneration'!$C$78</definedName>
    <definedName name="regen_basin_op_depth">'Backwash and Regeneration'!$C$76</definedName>
    <definedName name="regen_basin_vol">'Backwash and Regeneration'!$C$80</definedName>
    <definedName name="regen_basin_width">'Backwash and Regeneration'!$C$77</definedName>
    <definedName name="regen_capacity">'Backwash and Regeneration'!$C$39</definedName>
    <definedName name="regen_conc_vol">'Backwash and Regeneration'!$C$81</definedName>
    <definedName name="regen_day">'Backwash and Regeneration'!$C$38</definedName>
    <definedName name="regen_energy">'O&amp;M'!$C$63</definedName>
    <definedName name="regen_excavation_vol">'Backwash and Regeneration'!$C$82</definedName>
    <definedName name="regen_labor">'O&amp;M'!$C$37</definedName>
    <definedName name="regen_materials">'O&amp;M'!$C$9</definedName>
    <definedName name="regen_ng">'O&amp;M'!$C$64</definedName>
    <definedName name="regen_railing">'Backwash and Regeneration'!$C$84</definedName>
    <definedName name="regen_redund">'Critical Design Assumptions'!$C$72</definedName>
    <definedName name="regen_runtime">'Critical Design Assumptions'!$C$71</definedName>
    <definedName name="regen_storage">'Backwash and Regeneration'!$C$50</definedName>
    <definedName name="regen_storage_bv">'Critical Design Assumptions'!$C$80</definedName>
    <definedName name="regen_tank_vol">'Backwash and Regeneration'!$C$86</definedName>
    <definedName name="regen_tanks">'Backwash and Regeneration'!$C$85</definedName>
    <definedName name="regen_type">'Backwash and Regeneration'!$C$6</definedName>
    <definedName name="regen_type_I">INPUT!$G$86</definedName>
    <definedName name="regen_yr">'Backwash and Regeneration'!$C$44</definedName>
    <definedName name="Regenerated_GAC_storage_fp">'Pumps Pipe Structure'!$C$70</definedName>
    <definedName name="replace_gac_eq">'Cost Equations'!$C$196</definedName>
    <definedName name="res_bearing_area">'Residuals Management'!$C$126</definedName>
    <definedName name="res_block_vol">'Residuals Management'!$C$131</definedName>
    <definedName name="res_cap_factor">'Critical Design Assumptions'!$C$193</definedName>
    <definedName name="res_chv_no_pump">'Critical Design Assumptions'!$C$207</definedName>
    <definedName name="res_chv_pump">'Critical Design Assumptions'!$C$206</definedName>
    <definedName name="res_coag_settle_time">'Critical Design Assumptions'!$C$176</definedName>
    <definedName name="res_eductor_size">'Residuals Management'!$C$114</definedName>
    <definedName name="res_eductors">'Residuals Management'!$C$112</definedName>
    <definedName name="res_eff_transfer_rate">'Residuals Management'!$C$113</definedName>
    <definedName name="res_flow">'Residuals Management'!$C$13</definedName>
    <definedName name="res_flow_actual">'Residuals Management'!$C$12</definedName>
    <definedName name="res_flow_annual">'Residuals Management'!$C$14</definedName>
    <definedName name="res_holding">'Residuals Management'!$C$52</definedName>
    <definedName name="res_meter_size">'Residuals Management'!$C$144</definedName>
    <definedName name="res_MOV_pump">'Critical Design Assumptions'!$C$274</definedName>
    <definedName name="res_MOV_tank">'Critical Design Assumptions'!$C$275</definedName>
    <definedName name="res_pipe_bedding_vol">'Residuals Management'!$C$136</definedName>
    <definedName name="res_pipe_diam">'Residuals Management'!$C$122</definedName>
    <definedName name="res_pipe_length">'Residuals Management'!$C$121</definedName>
    <definedName name="res_pipe_mult">'Critical Design Assumptions'!$C$203</definedName>
    <definedName name="res_pump_addon">'Critical Design Assumptions'!$C$200</definedName>
    <definedName name="res_pump_energy">'Residuals Management'!$C$179</definedName>
    <definedName name="res_pump_eq">'Cost Equations'!$C$132</definedName>
    <definedName name="res_pump_mtl">'Residuals Management'!$C$180</definedName>
    <definedName name="res_pump_psi">'O&amp;M Assumptions'!$C$32</definedName>
    <definedName name="res_pump_rating">'Residuals Management'!$C$106</definedName>
    <definedName name="res_pumps">'Residuals Management'!$C$105</definedName>
    <definedName name="res_s1_opt">'Residuals Management'!$C$6</definedName>
    <definedName name="res_s1_opt_I">INPUT!$G$85</definedName>
    <definedName name="res_s1_valid">'Lookup Tables'!$A$66:$A$67</definedName>
    <definedName name="res_s2_opt">'Residuals Management'!$C$5</definedName>
    <definedName name="res_s2_opt_I">INPUT!$G$84</definedName>
    <definedName name="res_seductor_eq">'Cost Equations'!$C$166</definedName>
    <definedName name="res_slurry_eq">'Cost Equations'!$C$165</definedName>
    <definedName name="res_slurry_pumps">'Residuals Management'!$C$111</definedName>
    <definedName name="res_sol_validation">'Lookup Tables'!$A$69:$A$72</definedName>
    <definedName name="res_solids">'Residuals Management'!$C$24</definedName>
    <definedName name="res_stagger_time">'Residuals Management'!$C$11</definedName>
    <definedName name="res_thrust_force">'Residuals Management'!$C$125</definedName>
    <definedName name="res_transfer_method">'Critical Design Assumptions'!$C$199</definedName>
    <definedName name="res_transfer_rate">'Residuals Management'!$C$109</definedName>
    <definedName name="res_transfer_rate_gal">'Residuals Management'!$C$110</definedName>
    <definedName name="res_trench_area">'Residuals Management'!$C$132</definedName>
    <definedName name="res_trench_vol">'Residuals Management'!$C$134</definedName>
    <definedName name="res_trn_depth">'Residuals Management'!$C$124</definedName>
    <definedName name="res_valve_size">'Residuals Management'!$C$139</definedName>
    <definedName name="res_vol">'Residuals Management'!$C$10</definedName>
    <definedName name="resist_eff">'O&amp;M Assumptions'!$C$57</definedName>
    <definedName name="retrofit">Retrofit!$C$5</definedName>
    <definedName name="retrofit_I">INPUT!$G$109</definedName>
    <definedName name="retrofit_valid">'Lookup Tables'!$A$63:$A$64</definedName>
    <definedName name="risers">'Critical Design Assumptions'!$C$46</definedName>
    <definedName name="rt_diam">'Pumps Pipe Structure'!$C$44</definedName>
    <definedName name="S_back_pump">'Critical Design Assumptions'!$C$138</definedName>
    <definedName name="S_booster_pump">'Critical Design Assumptions'!$C$137</definedName>
    <definedName name="S_eductor">'Critical Design Assumptions'!$C$139</definedName>
    <definedName name="S_mixer">'Critical Design Assumptions'!$C$209</definedName>
    <definedName name="S_res_pump">'Critical Design Assumptions'!$C$208</definedName>
    <definedName name="S_slurry">'Critical Design Assumptions'!$C$140</definedName>
    <definedName name="SA">'Contactor Constraints'!$C$40</definedName>
    <definedName name="sec_cont_coating_cvg">'Critical Design Assumptions'!$C$218</definedName>
    <definedName name="sec_cont_freeboard">'Critical Design Assumptions'!$C$216</definedName>
    <definedName name="sec_cont_max_thick">'Critical Design Assumptions'!$C$217</definedName>
    <definedName name="sec_cont_pct_of_largest">'Critical Design Assumptions'!$C$214</definedName>
    <definedName name="sec_cont_pct_of_total">'Critical Design Assumptions'!$C$215</definedName>
    <definedName name="seductor_cost_cl">'Cost Data'!$B$789:$F$796</definedName>
    <definedName name="seductor_eq">'Cost Equations'!$C$164</definedName>
    <definedName name="sept_buffer">'Critical Design Assumptions'!$C$245</definedName>
    <definedName name="sept_design_flow">'Residuals Management'!$C$150</definedName>
    <definedName name="sept_dist_boxes">'Residuals Management'!$C$159</definedName>
    <definedName name="sept_dist_connections">'Critical Design Assumptions'!$C$247</definedName>
    <definedName name="sept_distbox_cost_cl">'Cost Data'!$B$801:$F$801</definedName>
    <definedName name="sept_distpipe_cost_cl">'Cost Data'!$B$806:$F$806</definedName>
    <definedName name="sept_fp">'Residuals Management'!$C$161</definedName>
    <definedName name="sept_gravel_cost_cl">'Cost Data'!$D$810</definedName>
    <definedName name="sept_gravel_d">'Critical Design Assumptions'!$C$244</definedName>
    <definedName name="sept_gravel_d_below">'Critical Design Assumptions'!$C$240</definedName>
    <definedName name="sept_gravel_vol">'Residuals Management'!$C$155</definedName>
    <definedName name="sept_infil_area">'Residuals Management'!$C$151</definedName>
    <definedName name="sept_LTAR">'Critical Design Assumptions'!$C$237</definedName>
    <definedName name="sept_max_trench_l">'Critical Design Assumptions'!$C$242</definedName>
    <definedName name="sept_min_trenches">'Critical Design Assumptions'!$C$241</definedName>
    <definedName name="sept_overexcav">'Critical Design Assumptions'!$C$246</definedName>
    <definedName name="sept_pipe_diam">'Critical Design Assumptions'!$C$248</definedName>
    <definedName name="sept_pipe_length">'Residuals Management'!$C$160</definedName>
    <definedName name="sept_tank_exav_vol">'Residuals Management'!$C$158</definedName>
    <definedName name="sept_tank_excav_cost_cl">'Cost Data'!$D$814</definedName>
    <definedName name="sept_tank_sf">'Critical Design Assumptions'!$C$236</definedName>
    <definedName name="sept_tank_side">'Residuals Management'!$C$157</definedName>
    <definedName name="sept_tank_vol">'Residuals Management'!$C$149</definedName>
    <definedName name="sept_trench_bot_area">'Residuals Management'!$C$152</definedName>
    <definedName name="sept_trench_d">'Critical Design Assumptions'!$C$239</definedName>
    <definedName name="sept_trench_dist">'Critical Design Assumptions'!$C$243</definedName>
    <definedName name="sept_trench_excav_cost_cl">'Cost Data'!$D$818</definedName>
    <definedName name="sept_trench_excav_vol">'Residuals Management'!$C$156</definedName>
    <definedName name="sept_trench_l">'Residuals Management'!$C$154</definedName>
    <definedName name="sept_trench_w">'Critical Design Assumptions'!$C$238</definedName>
    <definedName name="sept_trenches">'Residuals Management'!$C$153</definedName>
    <definedName name="septic_disp_freq">'Residuals Management'!$C$23</definedName>
    <definedName name="septic_disposal_cost_cl">'Cost Data'!$D$1585</definedName>
    <definedName name="septic_disposal_fee">'Residuals Management'!$C$227</definedName>
    <definedName name="septic_tank_cost_cl">'Cost Data'!$B$823:$F$836</definedName>
    <definedName name="septic_tank_eq">'Cost Equations'!$C$201</definedName>
    <definedName name="shifts_day">'Critical Design Assumptions'!$C$152</definedName>
    <definedName name="sitework_cost">Indirect!$C$47</definedName>
    <definedName name="sitework_sf_cl">'Cost Data'!$D$840</definedName>
    <definedName name="slurry_eq">'Cost Equations'!$C$163</definedName>
    <definedName name="soil_dens">'Indirect Assumptions'!$C$34</definedName>
    <definedName name="sol_disp_freq">'Residuals Management'!$C$22</definedName>
    <definedName name="sol_disposal_fee">'Residuals Management'!$C$224</definedName>
    <definedName name="sol_disposal_miles">'Residuals Management'!$C$221</definedName>
    <definedName name="sol_disposal_shipments">'Residuals Management'!$C$218</definedName>
    <definedName name="solids_haz">'Residuals Management'!$C$7</definedName>
    <definedName name="solids_haz_I">INPUT!$G$88</definedName>
    <definedName name="solids_method">'Critical Design Assumptions'!$C$227</definedName>
    <definedName name="solids_pad_area">'Residuals Management'!$C$117</definedName>
    <definedName name="solids_pad_concrete">'Residuals Management'!$C$118</definedName>
    <definedName name="solids_storage_height">'Critical Design Assumptions'!$C$188</definedName>
    <definedName name="source_select">OUTPUT!$C$409</definedName>
    <definedName name="space_bt">'Pumps Pipe Structure'!$C$50</definedName>
    <definedName name="space_coag_st">'Pumps Pipe Structure'!$C$55</definedName>
    <definedName name="space_ht">'Pumps Pipe Structure'!$C$54</definedName>
    <definedName name="space_office">'Critical Design Assumptions'!$C$166</definedName>
    <definedName name="space_office_small">'Critical Design Assumptions'!$C$167</definedName>
    <definedName name="space_polymer_st">'Pumps Pipe Structure'!$C$56</definedName>
    <definedName name="space_pumps">'Pumps Pipe Structure'!$C$57</definedName>
    <definedName name="space_pumps_cust">'Critical Design Assumptions'!$C$160</definedName>
    <definedName name="space_pumps_pre">'Critical Design Assumptions'!$C$161</definedName>
    <definedName name="space_rt">'Pumps Pipe Structure'!$C$53</definedName>
    <definedName name="space_st">'Pumps Pipe Structure'!$C$52</definedName>
    <definedName name="space_vessels">'Pumps Pipe Structure'!$C$49</definedName>
    <definedName name="space_vt">'Pumps Pipe Structure'!$C$51</definedName>
    <definedName name="spent_backfill_vol">'Backwash and Regeneration'!$C$71</definedName>
    <definedName name="spent_basin_depth">'Backwash and Regeneration'!$C$67</definedName>
    <definedName name="spent_basin_length">'Backwash and Regeneration'!$C$66</definedName>
    <definedName name="spent_basin_op_depth">'Backwash and Regeneration'!$C$64</definedName>
    <definedName name="spent_basin_vol">'Backwash and Regeneration'!$C$68</definedName>
    <definedName name="spent_basin_width">'Backwash and Regeneration'!$C$65</definedName>
    <definedName name="spent_conc_vol">'Backwash and Regeneration'!$C$69</definedName>
    <definedName name="spent_excavation_vol">'Backwash and Regeneration'!$C$70</definedName>
    <definedName name="Spent_GAC_storage_fp">'Pumps Pipe Structure'!$C$69</definedName>
    <definedName name="spent_media">'Residuals Management'!$C$28</definedName>
    <definedName name="spent_media_yr">'Residuals Management'!$C$29</definedName>
    <definedName name="spent_railing">'Backwash and Regeneration'!$C$72</definedName>
    <definedName name="spent_storage">'Backwash and Regeneration'!$C$49</definedName>
    <definedName name="spent_storage_bv">'Critical Design Assumptions'!$C$79</definedName>
    <definedName name="spent_tank_vol">'Backwash and Regeneration'!$C$74</definedName>
    <definedName name="spent_tanks">'Backwash and Regeneration'!$C$73</definedName>
    <definedName name="ss_cat">OUTPUT!$C$4</definedName>
    <definedName name="ss_cat2">HVAC!$C$5</definedName>
    <definedName name="ss_chv_cost_cl">'Cost Data'!$B$845:$F$859</definedName>
    <definedName name="ss_chv_eq_back">'Cost Equations'!$C$114</definedName>
    <definedName name="ss_chv_eq_bp">'Cost Equations'!$C$127</definedName>
    <definedName name="ss_chv_eq_in">'Cost Equations'!$C$124</definedName>
    <definedName name="ss_chv_eq_polymer">'Cost Equations'!$C$121</definedName>
    <definedName name="ss_chv_eq_res">'Cost Equations'!$C$117</definedName>
    <definedName name="ss_cst_cost_cl">'Cost Data'!$B$864:$F$873</definedName>
    <definedName name="ss_empump_cost_cl">'Cost Data'!$B$878:$F$891</definedName>
    <definedName name="ss_man_cost_cl">'Cost Data'!$B$896:$F$904</definedName>
    <definedName name="ss_man_eq">'Cost Equations'!$C$94</definedName>
    <definedName name="ss_man_eq_back">'Cost Equations'!$C$100</definedName>
    <definedName name="ss_man_eq_bp">'Cost Equations'!$C$110</definedName>
    <definedName name="ss_man_eq_polymer">'Cost Equations'!$C$107</definedName>
    <definedName name="ss_man_eq_proc">'Cost Equations'!$C$97</definedName>
    <definedName name="ss_man_eq_res">'Cost Equations'!$C$103</definedName>
    <definedName name="ss_mmpump_cost_cl">'Cost Data'!$B$909:$F$921</definedName>
    <definedName name="ss_mov_cost_cl">'Cost Data'!$B$926:$F$941</definedName>
    <definedName name="ss_mov_eq_back">'Cost Equations'!$C$80</definedName>
    <definedName name="ss_mov_eq_bp">'Cost Equations'!$C$90</definedName>
    <definedName name="ss_mov_eq_polymer">'Cost Equations'!$C$87</definedName>
    <definedName name="ss_mov_eq_res">'Cost Equations'!$C$83</definedName>
    <definedName name="ss_mov_eq_tank">'Cost Equations'!$C$77</definedName>
    <definedName name="ss_pipe_cost_cl">'Cost Data'!$B$946:$F$963</definedName>
    <definedName name="ss_pipe_eq_back">'Cost Equations'!$C$48</definedName>
    <definedName name="ss_pipe_eq_bp">'Cost Equations'!$C$72</definedName>
    <definedName name="ss_pipe_eq_in_out">'Cost Equations'!$C$54</definedName>
    <definedName name="ss_pipe_eq_polymer">'Cost Equations'!$C$67</definedName>
    <definedName name="ss_pipe_eq_proc">'Cost Equations'!$C$43</definedName>
    <definedName name="ss_pipe_eq_res">'Cost Equations'!$C$59</definedName>
    <definedName name="ss_polymer_empump_eq">'Cost Equations'!$C$140</definedName>
    <definedName name="ss_polymer_mmpump_eq">'Cost Equations'!$C$138</definedName>
    <definedName name="ss_polymer_st_eq">'Cost Equations'!$C$37</definedName>
    <definedName name="ss_pv_cost_cl">'Cost Data'!$B$968:$F$973</definedName>
    <definedName name="ss_pv_eq">'Cost Equations'!$C$7</definedName>
    <definedName name="st_bwt_cost_cl">'Cost Data'!$B$978:$F$987</definedName>
    <definedName name="st_bwt_eq">'Cost Equations'!$C$24</definedName>
    <definedName name="st_diam">'Pumps Pipe Structure'!$C$43</definedName>
    <definedName name="st_ht_eq">'Cost Equations'!$C$28</definedName>
    <definedName name="st_pipe_cost_cl">'Cost Data'!$B$992:$F$1010</definedName>
    <definedName name="st_pipe_eq_back">'Cost Equations'!$C$49</definedName>
    <definedName name="st_pipe_eq_bp">'Cost Equations'!$C$73</definedName>
    <definedName name="st_pipe_eq_in_out">'Cost Equations'!$C$55</definedName>
    <definedName name="st_pipe_eq_polymer">'Cost Equations'!$C$68</definedName>
    <definedName name="st_pipe_eq_proc">'Cost Equations'!$C$44</definedName>
    <definedName name="st_pipe_eq_res">'Cost Equations'!$C$60</definedName>
    <definedName name="st_rt_eq">'Cost Equations'!$C$193</definedName>
    <definedName name="st_st_eq">'Cost Equations'!$C$190</definedName>
    <definedName name="st_vt_eq">'Cost Equations'!$C$187</definedName>
    <definedName name="stake_out_cost_cl">'Cost Data'!$B$1015:$F$1015</definedName>
    <definedName name="std_base">Indirect!$C$13</definedName>
    <definedName name="std_cool">Indirect!$C$25</definedName>
    <definedName name="std_design_params">'Standard Inputs'!$A$8:$AV$360</definedName>
    <definedName name="std_gen_cost_cl">'Cost Data'!$B$1020:$F$1040</definedName>
    <definedName name="std_heat">Indirect!$C$19</definedName>
    <definedName name="std_power">Indirect!$C$27</definedName>
    <definedName name="std_power_cost">Indirect!$C$28</definedName>
    <definedName name="std_safety_factor">'Indirect Assumptions'!$C$67</definedName>
    <definedName name="storage_basins">'Critical Design Assumptions'!$C$81</definedName>
    <definedName name="storage_freeboard">'Critical Design Assumptions'!$C$83</definedName>
    <definedName name="storage_ratio">'Critical Design Assumptions'!$C$82</definedName>
    <definedName name="surface_loading_rate_g">'Contactor Constraints'!$C$70</definedName>
    <definedName name="SW_permit_cost_cl">'Cost Data'!$B$1590:$C$1592</definedName>
    <definedName name="switch_cost_cl">'Cost Data'!$B$1045:$F$1045</definedName>
    <definedName name="system_automation_valid">'Lookup Tables'!$A$55:$A$58</definedName>
    <definedName name="system_cost">OUTPUT!$C$357</definedName>
    <definedName name="TAC_pct_cap">Indirect!$C$96</definedName>
    <definedName name="TAC_pct_OM">Indirect!$C$97</definedName>
    <definedName name="tank_geom">'Contactor Constraints'!$C$19</definedName>
    <definedName name="tank_geom_I">INPUT!$G$58</definedName>
    <definedName name="tank_solids_valid">'Critical Design Assumptions'!$A$244:$A$245</definedName>
    <definedName name="tank_valid">'Critical Design Assumptions'!$A$241:$A$242</definedName>
    <definedName name="tank_valve_size">'Instrumentation and Control'!$C$10</definedName>
    <definedName name="target_bed_depth_horiz">'Critical Design Assumptions'!$C$27</definedName>
    <definedName name="target_bed_depth_over">'Critical Design Assumptions'!$C$26</definedName>
    <definedName name="target_bed_depth_over_g">'Critical Design Assumptions'!$C$42</definedName>
    <definedName name="target_bed_depth_over_g_UVAOP">'Critical Design Assumptions'!$C$43</definedName>
    <definedName name="target_bed_depth_under">'Critical Design Assumptions'!$C$25</definedName>
    <definedName name="target_bed_depth_under_g">'Critical Design Assumptions'!$C$40</definedName>
    <definedName name="target_bed_depth_under_g_UVAOP">'Critical Design Assumptions'!$C$41</definedName>
    <definedName name="tax_pct">'Indirect Assumptions'!$C$96</definedName>
    <definedName name="TDB_link">'Lookup Tables'!$A$74</definedName>
    <definedName name="TDB_link_isotherm">'Lookup Tables'!$A$76</definedName>
    <definedName name="TDB_link_table_cl">'Engineering Data'!$A$162:$B$200</definedName>
    <definedName name="tech_fp">Indirect!$C$31</definedName>
    <definedName name="tech_name">OUTPUT!$C$5</definedName>
    <definedName name="temp_meter_cost_cl">'Cost Data'!$B$1050:$F$1050</definedName>
    <definedName name="temp_meters">'Critical Design Assumptions'!$C$118</definedName>
    <definedName name="temp_meters_small">'Critical Design Assumptions'!$C$119</definedName>
    <definedName name="thrust_block_table_cl">'Engineering Data'!$A$206:$B$222</definedName>
    <definedName name="thrust_force">Indirect!$C$52</definedName>
    <definedName name="Top_bottom_Vessel_space">'Critical Design Assumptions'!$C$164</definedName>
    <definedName name="tot_back_alarm">'Instrumentation and Control'!$C$44</definedName>
    <definedName name="tot_back_chv">'Instrumentation and Control'!$C$33</definedName>
    <definedName name="tot_back_man">'Instrumentation and Control'!$C$27</definedName>
    <definedName name="tot_back_MOVs">'Instrumentation and Control'!$C$18</definedName>
    <definedName name="tot_bp_chv">'Critical Design Assumptions'!$C$101</definedName>
    <definedName name="tot_bp_man">'Instrumentation and Control'!$C$28</definedName>
    <definedName name="tot_bp_MOVs">'Instrumentation and Control'!$C$19</definedName>
    <definedName name="tot_chem">'O&amp;M'!$C$18</definedName>
    <definedName name="tot_coag_chv">'Instrumentation and Control'!$C$34</definedName>
    <definedName name="tot_coag_man">'Instrumentation and Control'!$C$29</definedName>
    <definedName name="tot_coag_MOVs">'Instrumentation and Control'!$C$20</definedName>
    <definedName name="tot_fm_back">'Critical Design Assumptions'!$C$108</definedName>
    <definedName name="tot_fm_in">'Instrumentation and Control'!$C$41</definedName>
    <definedName name="tot_fm_proc">'Instrumentation and Control'!$C$40</definedName>
    <definedName name="tot_fm_res">'Critical Design Assumptions'!$C$210</definedName>
    <definedName name="tot_head_sens">'Instrumentation and Control'!$C$48</definedName>
    <definedName name="tot_in_chv">'Instrumentation and Control'!$C$32</definedName>
    <definedName name="tot_in_man">'Instrumentation and Control'!$C$24</definedName>
    <definedName name="tot_inst">'O&amp;M'!$C$12</definedName>
    <definedName name="tot_inst_maint">'O&amp;M'!$C$13</definedName>
    <definedName name="tot_level_switch">'Instrumentation and Control'!$C$43</definedName>
    <definedName name="tot_MOVs">'Instrumentation and Control'!$C$22</definedName>
    <definedName name="tot_polymer_chv">'Instrumentation and Control'!$C$35</definedName>
    <definedName name="tot_polymer_man">'Instrumentation and Control'!$C$30</definedName>
    <definedName name="tot_polymer_MOVs">'Instrumentation and Control'!$C$21</definedName>
    <definedName name="tot_proc_man">'Instrumentation and Control'!$C$26</definedName>
    <definedName name="tot_proc_MOVs">'Instrumentation and Control'!$C$17</definedName>
    <definedName name="tot_pumps">'O&amp;M'!$C$14</definedName>
    <definedName name="tot_pumps_maint">'O&amp;M'!$C$15</definedName>
    <definedName name="tot_res_alarm">'Residuals Management'!$C$143</definedName>
    <definedName name="tot_res_chv">'Residuals Management'!$C$142</definedName>
    <definedName name="tot_switches">'Instrumentation and Control'!$C$50</definedName>
    <definedName name="tot_temp_meters">'Instrumentation and Control'!$C$46</definedName>
    <definedName name="tot_turb_meters">'Instrumentation and Control'!$C$47</definedName>
    <definedName name="tot_valves">'O&amp;M'!$C$16</definedName>
    <definedName name="total_backwash">'Backwash and Regeneration'!$C$14</definedName>
    <definedName name="total_booster_pumps">'Pumps Pipe Structure'!$C$10</definedName>
    <definedName name="total_direct_depreciation">OUTPUT!$AH$317</definedName>
    <definedName name="total_fp">'Pumps Pipe Structure'!$C$79</definedName>
    <definedName name="total_hvol_ft">'Residuals Management'!$C$40</definedName>
    <definedName name="total_num_basins">'Contactor Constraints'!$C$72</definedName>
    <definedName name="total_res_man">'Residuals Management'!$C$141</definedName>
    <definedName name="total_res_MOVs">'Residuals Management'!$C$140</definedName>
    <definedName name="transfer_method">'Pumps Pipe Structure'!$C$5</definedName>
    <definedName name="transfer_method_I">INPUT!$G$87</definedName>
    <definedName name="transfer_rate" localSheetId="11">'Pumps Pipe Structure'!$C$16</definedName>
    <definedName name="transfer_rate">'Pumps Pipe Structure'!$C$16</definedName>
    <definedName name="transfer_time">'Critical Design Assumptions'!$C$75</definedName>
    <definedName name="trench_angle">'Indirect Assumptions'!$C$39</definedName>
    <definedName name="trench_area">Indirect!$C$59</definedName>
    <definedName name="trench_depth">Indirect!$C$51</definedName>
    <definedName name="trench_vol">Indirect!$C$64</definedName>
    <definedName name="TSS_residuals">'Residuals Management'!$C$17</definedName>
    <definedName name="TSS_residuals_dis">'Residuals Management'!$C$199</definedName>
    <definedName name="turb_tank">'Critical Design Assumptions'!$C$120</definedName>
    <definedName name="turb_tank_g">'Critical Design Assumptions'!$C$121</definedName>
    <definedName name="turbidimeter_cost_cl">'Cost Data'!$B$1055:$F$1055</definedName>
    <definedName name="UBC_mult_table_cl">'Cost Data'!$B$1597:$D$1604</definedName>
    <definedName name="uloe_autoback">'O&amp;M Assumptions'!$C$20</definedName>
    <definedName name="uloe_chem_maint">'O&amp;M Assumptions'!$C$27</definedName>
    <definedName name="uloe_fp">'O&amp;M Assumptions'!$C$19</definedName>
    <definedName name="uloe_inst">'O&amp;M Assumptions'!$C$15</definedName>
    <definedName name="uloe_inst_auto">'O&amp;M Assumptions'!$C$16</definedName>
    <definedName name="uloe_inst_maint">'O&amp;M Assumptions'!$C$24</definedName>
    <definedName name="uloe_pump">'O&amp;M Assumptions'!$C$17</definedName>
    <definedName name="uloe_pump_maint">'O&amp;M Assumptions'!$C$25</definedName>
    <definedName name="uloe_throwaway">'O&amp;M Assumptions'!$C$21</definedName>
    <definedName name="uloe_valve">'O&amp;M Assumptions'!$C$18</definedName>
    <definedName name="uloe_valve_maint">'O&amp;M Assumptions'!$C$26</definedName>
    <definedName name="underdrain_horiz_void">'Contactor Constraints'!$C$57</definedName>
    <definedName name="ups">'Instrumentation and Control'!$C$73</definedName>
    <definedName name="ups_addon">'Critical Design Assumptions'!$C$150</definedName>
    <definedName name="ups_cost_cl">'Cost Data'!$B$1060:$F$1060</definedName>
    <definedName name="ups_standalone">'Critical Design Assumptions'!$C$149</definedName>
    <definedName name="use_autosize">INPUT!$B$56</definedName>
    <definedName name="use_autosizeA">INPUT!$B$74</definedName>
    <definedName name="use_column">OUTPUT!$L$40:$L$314</definedName>
    <definedName name="useful_life">OUTPUT!$C$413</definedName>
    <definedName name="v">'Backwash and Regeneration'!$C$34</definedName>
    <definedName name="v_diam">'Critical Design Assumptions'!$C$17</definedName>
    <definedName name="valve_table">'Critical Design Assumptions'!$B$267:$E$290</definedName>
    <definedName name="ven_fm_cost_cl">'Cost Data'!$B$1065:$F$1082</definedName>
    <definedName name="ven_fm_eq_back">'Cost Equations'!$C$155</definedName>
    <definedName name="ven_fm_eq_in">'Cost Equations'!$C$145</definedName>
    <definedName name="ven_fm_eq_proc">'Cost Equations'!$C$150</definedName>
    <definedName name="ven_fm_eq_res">'Cost Equations'!$C$160</definedName>
    <definedName name="ventilation">HVAC!$C$16</definedName>
    <definedName name="vert_vol_available">'Contactor Constraints'!$C$61</definedName>
    <definedName name="vessel_fp">'Pumps Pipe Structure'!$C$61</definedName>
    <definedName name="vessel_size_table_cl">'Engineering Data'!$A$230:$C$252</definedName>
    <definedName name="Vessel_thickness">'Critical Design Assumptions'!$C$28</definedName>
    <definedName name="virgin_backfill_vol">'Backwash and Regeneration'!$C$59</definedName>
    <definedName name="virgin_basin_depth">'Backwash and Regeneration'!$C$55</definedName>
    <definedName name="virgin_basin_length">'Backwash and Regeneration'!$C$54</definedName>
    <definedName name="virgin_basin_op_depth">'Backwash and Regeneration'!$C$52</definedName>
    <definedName name="virgin_basin_vol">'Backwash and Regeneration'!$C$56</definedName>
    <definedName name="virgin_basin_width">'Backwash and Regeneration'!$C$53</definedName>
    <definedName name="virgin_conc_vol">'Backwash and Regeneration'!$C$57</definedName>
    <definedName name="virgin_excavation_vol">'Backwash and Regeneration'!$C$58</definedName>
    <definedName name="Virgin_GAC_storage_fp">'Pumps Pipe Structure'!$C$68</definedName>
    <definedName name="virgin_railing">'Backwash and Regeneration'!$C$60</definedName>
    <definedName name="virgin_storage">'Backwash and Regeneration'!$C$48</definedName>
    <definedName name="virgin_storage_bv">'Critical Design Assumptions'!$C$78</definedName>
    <definedName name="virgin_tank_vol">'Backwash and Regeneration'!$C$62</definedName>
    <definedName name="virgin_tanks">'Backwash and Regeneration'!$C$61</definedName>
    <definedName name="void_above">'Contactor Constraints'!$C$30</definedName>
    <definedName name="vt_diam">'Pumps Pipe Structure'!$C$42</definedName>
    <definedName name="waste_heat_bw_pumps">HVAC!$C$46</definedName>
    <definedName name="waste_heat_pumps">HVAC!$C$44</definedName>
    <definedName name="water_flush">'Backwash and Regeneration'!$C$13</definedName>
    <definedName name="Weekly_labor">'O&amp;M Assumptions'!$C$12</definedName>
    <definedName name="winter_days">'Critical Design Assumptions'!$C$253</definedName>
    <definedName name="workstation_addon">'Critical Design Assumptions'!$C$153</definedName>
    <definedName name="workstation_ratio">'Critical Design Assumptions'!$C$151</definedName>
    <definedName name="workstations">'Instrumentation and Control'!$C$74</definedName>
    <definedName name="yard_cost">Indirect!$C$75</definedName>
    <definedName name="yard_in">'Indirect Assumptions'!$C$40</definedName>
    <definedName name="yard_out">'Indirect Assumptions'!$C$41</definedName>
    <definedName name="yard_pipe_diam">Indirect!$C$50</definedName>
    <definedName name="yard_pipe_length">Indirect!$C$65</definedName>
    <definedName name="yes_no_valid">'Lookup Tables'!$A$78:$A$80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18" i="8" l="1"/>
  <c r="C81" i="3"/>
  <c r="I248" i="8" l="1"/>
  <c r="E376" i="8"/>
  <c r="E381" i="8" l="1"/>
  <c r="E365" i="8"/>
  <c r="I12" i="1" l="1"/>
  <c r="I13" i="1"/>
  <c r="I14" i="1"/>
  <c r="I15" i="1"/>
  <c r="I16" i="1"/>
  <c r="I17" i="1"/>
  <c r="I18" i="1"/>
  <c r="I11" i="1"/>
  <c r="A76" i="5"/>
  <c r="A74" i="5"/>
  <c r="Q237" i="12"/>
  <c r="P237" i="12"/>
  <c r="O237" i="12"/>
  <c r="N237" i="12"/>
  <c r="M237" i="12"/>
  <c r="L237" i="12"/>
  <c r="K237" i="12"/>
  <c r="J237" i="12"/>
  <c r="I237" i="12"/>
  <c r="H237" i="12"/>
  <c r="G237" i="12"/>
  <c r="F237" i="12"/>
  <c r="Q236" i="12"/>
  <c r="P236" i="12"/>
  <c r="O236" i="12"/>
  <c r="N236" i="12"/>
  <c r="M236" i="12"/>
  <c r="L236" i="12"/>
  <c r="K236" i="12"/>
  <c r="J236" i="12"/>
  <c r="I236" i="12"/>
  <c r="H236" i="12"/>
  <c r="G236" i="12"/>
  <c r="F236" i="12"/>
  <c r="Q235" i="12"/>
  <c r="P235" i="12"/>
  <c r="O235" i="12"/>
  <c r="N235" i="12"/>
  <c r="M235" i="12"/>
  <c r="L235" i="12"/>
  <c r="K235" i="12"/>
  <c r="J235" i="12"/>
  <c r="I235" i="12"/>
  <c r="H235" i="12"/>
  <c r="G235" i="12"/>
  <c r="F235" i="12"/>
  <c r="Q233" i="12"/>
  <c r="P233" i="12"/>
  <c r="O233" i="12"/>
  <c r="N233" i="12"/>
  <c r="M233" i="12"/>
  <c r="L233" i="12"/>
  <c r="K233" i="12"/>
  <c r="J233" i="12"/>
  <c r="I233" i="12"/>
  <c r="H233" i="12"/>
  <c r="G233" i="12"/>
  <c r="F233" i="12"/>
  <c r="Q232" i="12"/>
  <c r="P232" i="12"/>
  <c r="O232" i="12"/>
  <c r="N232" i="12"/>
  <c r="M232" i="12"/>
  <c r="L232" i="12"/>
  <c r="K232" i="12"/>
  <c r="J232" i="12"/>
  <c r="I232" i="12"/>
  <c r="H232" i="12"/>
  <c r="G232" i="12"/>
  <c r="F232" i="12"/>
  <c r="Q231" i="12"/>
  <c r="P231" i="12"/>
  <c r="O231" i="12"/>
  <c r="N231" i="12"/>
  <c r="M231" i="12"/>
  <c r="L231" i="12"/>
  <c r="K231" i="12"/>
  <c r="J231" i="12"/>
  <c r="I231" i="12"/>
  <c r="H231" i="12"/>
  <c r="G231" i="12"/>
  <c r="F231" i="12"/>
  <c r="Q228" i="12"/>
  <c r="P228" i="12"/>
  <c r="O228" i="12"/>
  <c r="N228" i="12"/>
  <c r="M228" i="12"/>
  <c r="L228" i="12"/>
  <c r="K228" i="12"/>
  <c r="J228" i="12"/>
  <c r="I228" i="12"/>
  <c r="H228" i="12"/>
  <c r="G228" i="12"/>
  <c r="F228" i="12"/>
  <c r="Q226" i="12"/>
  <c r="P226" i="12"/>
  <c r="O226" i="12"/>
  <c r="N226" i="12"/>
  <c r="M226" i="12"/>
  <c r="L226" i="12"/>
  <c r="K226" i="12"/>
  <c r="J226" i="12"/>
  <c r="I226" i="12"/>
  <c r="H226" i="12"/>
  <c r="G226" i="12"/>
  <c r="F226" i="12"/>
  <c r="Q225" i="12"/>
  <c r="P225" i="12"/>
  <c r="O225" i="12"/>
  <c r="N225" i="12"/>
  <c r="M225" i="12"/>
  <c r="L225" i="12"/>
  <c r="K225" i="12"/>
  <c r="J225" i="12"/>
  <c r="I225" i="12"/>
  <c r="H225" i="12"/>
  <c r="G225" i="12"/>
  <c r="F225" i="12"/>
  <c r="Q224" i="12"/>
  <c r="P224" i="12"/>
  <c r="O224" i="12"/>
  <c r="N224" i="12"/>
  <c r="M224" i="12"/>
  <c r="L224" i="12"/>
  <c r="K224" i="12"/>
  <c r="J224" i="12"/>
  <c r="I224" i="12"/>
  <c r="H224" i="12"/>
  <c r="G224" i="12"/>
  <c r="F224" i="12"/>
  <c r="Q223" i="12"/>
  <c r="P223" i="12"/>
  <c r="O223" i="12"/>
  <c r="N223" i="12"/>
  <c r="M223" i="12"/>
  <c r="L223" i="12"/>
  <c r="K223" i="12"/>
  <c r="J223" i="12"/>
  <c r="I223" i="12"/>
  <c r="H223" i="12"/>
  <c r="G223" i="12"/>
  <c r="F223" i="12"/>
  <c r="Q222" i="12"/>
  <c r="P222" i="12"/>
  <c r="O222" i="12"/>
  <c r="N222" i="12"/>
  <c r="M222" i="12"/>
  <c r="L222" i="12"/>
  <c r="K222" i="12"/>
  <c r="J222" i="12"/>
  <c r="I222" i="12"/>
  <c r="H222" i="12"/>
  <c r="G222" i="12"/>
  <c r="F222" i="12"/>
  <c r="Q220" i="12"/>
  <c r="P220" i="12"/>
  <c r="O220" i="12"/>
  <c r="N220" i="12"/>
  <c r="M220" i="12"/>
  <c r="L220" i="12"/>
  <c r="K220" i="12"/>
  <c r="J220" i="12"/>
  <c r="I220" i="12"/>
  <c r="H220" i="12"/>
  <c r="G220" i="12"/>
  <c r="F220" i="12"/>
  <c r="Q219" i="12"/>
  <c r="P219" i="12"/>
  <c r="O219" i="12"/>
  <c r="N219" i="12"/>
  <c r="M219" i="12"/>
  <c r="L219" i="12"/>
  <c r="K219" i="12"/>
  <c r="J219" i="12"/>
  <c r="I219" i="12"/>
  <c r="H219" i="12"/>
  <c r="G219" i="12"/>
  <c r="F219" i="12"/>
  <c r="Q218" i="12"/>
  <c r="P218" i="12"/>
  <c r="O218" i="12"/>
  <c r="N218" i="12"/>
  <c r="M218" i="12"/>
  <c r="L218" i="12"/>
  <c r="K218" i="12"/>
  <c r="J218" i="12"/>
  <c r="I218" i="12"/>
  <c r="H218" i="12"/>
  <c r="G218" i="12"/>
  <c r="F218" i="12"/>
  <c r="Q215" i="12"/>
  <c r="P215" i="12"/>
  <c r="O215" i="12"/>
  <c r="N215" i="12"/>
  <c r="M215" i="12"/>
  <c r="L215" i="12"/>
  <c r="K215" i="12"/>
  <c r="J215" i="12"/>
  <c r="I215" i="12"/>
  <c r="H215" i="12"/>
  <c r="G215" i="12"/>
  <c r="F215" i="12"/>
  <c r="Q213" i="12"/>
  <c r="P213" i="12"/>
  <c r="O213" i="12"/>
  <c r="N213" i="12"/>
  <c r="M213" i="12"/>
  <c r="L213" i="12"/>
  <c r="K213" i="12"/>
  <c r="J213" i="12"/>
  <c r="I213" i="12"/>
  <c r="H213" i="12"/>
  <c r="G213" i="12"/>
  <c r="F213" i="12"/>
  <c r="Q212" i="12"/>
  <c r="P212" i="12"/>
  <c r="O212" i="12"/>
  <c r="N212" i="12"/>
  <c r="M212" i="12"/>
  <c r="L212" i="12"/>
  <c r="K212" i="12"/>
  <c r="J212" i="12"/>
  <c r="I212" i="12"/>
  <c r="H212" i="12"/>
  <c r="G212" i="12"/>
  <c r="F212" i="12"/>
  <c r="Q211" i="12"/>
  <c r="P211" i="12"/>
  <c r="O211" i="12"/>
  <c r="N211" i="12"/>
  <c r="M211" i="12"/>
  <c r="L211" i="12"/>
  <c r="K211" i="12"/>
  <c r="J211" i="12"/>
  <c r="I211" i="12"/>
  <c r="H211" i="12"/>
  <c r="G211" i="12"/>
  <c r="F211" i="12"/>
  <c r="Q210" i="12"/>
  <c r="P210" i="12"/>
  <c r="O210" i="12"/>
  <c r="N210" i="12"/>
  <c r="M210" i="12"/>
  <c r="L210" i="12"/>
  <c r="K210" i="12"/>
  <c r="J210" i="12"/>
  <c r="I210" i="12"/>
  <c r="H210" i="12"/>
  <c r="G210" i="12"/>
  <c r="F210" i="12"/>
  <c r="Q209" i="12"/>
  <c r="P209" i="12"/>
  <c r="O209" i="12"/>
  <c r="N209" i="12"/>
  <c r="M209" i="12"/>
  <c r="L209" i="12"/>
  <c r="K209" i="12"/>
  <c r="J209" i="12"/>
  <c r="I209" i="12"/>
  <c r="H209" i="12"/>
  <c r="G209" i="12"/>
  <c r="F209" i="12"/>
  <c r="Q207" i="12"/>
  <c r="P207" i="12"/>
  <c r="O207" i="12"/>
  <c r="N207" i="12"/>
  <c r="M207" i="12"/>
  <c r="L207" i="12"/>
  <c r="K207" i="12"/>
  <c r="J207" i="12"/>
  <c r="I207" i="12"/>
  <c r="H207" i="12"/>
  <c r="G207" i="12"/>
  <c r="F207" i="12"/>
  <c r="Q206" i="12"/>
  <c r="P206" i="12"/>
  <c r="O206" i="12"/>
  <c r="N206" i="12"/>
  <c r="M206" i="12"/>
  <c r="L206" i="12"/>
  <c r="K206" i="12"/>
  <c r="J206" i="12"/>
  <c r="I206" i="12"/>
  <c r="H206" i="12"/>
  <c r="G206" i="12"/>
  <c r="F206" i="12"/>
  <c r="Q205" i="12"/>
  <c r="P205" i="12"/>
  <c r="O205" i="12"/>
  <c r="N205" i="12"/>
  <c r="M205" i="12"/>
  <c r="L205" i="12"/>
  <c r="K205" i="12"/>
  <c r="J205" i="12"/>
  <c r="I205" i="12"/>
  <c r="H205" i="12"/>
  <c r="G205" i="12"/>
  <c r="F205" i="12"/>
  <c r="Q204" i="12"/>
  <c r="P204" i="12"/>
  <c r="O204" i="12"/>
  <c r="N204" i="12"/>
  <c r="M204" i="12"/>
  <c r="L204" i="12"/>
  <c r="K204" i="12"/>
  <c r="J204" i="12"/>
  <c r="I204" i="12"/>
  <c r="H204" i="12"/>
  <c r="G204" i="12"/>
  <c r="F204" i="12"/>
  <c r="Q203" i="12"/>
  <c r="P203" i="12"/>
  <c r="O203" i="12"/>
  <c r="N203" i="12"/>
  <c r="M203" i="12"/>
  <c r="L203" i="12"/>
  <c r="K203" i="12"/>
  <c r="J203" i="12"/>
  <c r="I203" i="12"/>
  <c r="H203" i="12"/>
  <c r="G203" i="12"/>
  <c r="F203" i="12"/>
  <c r="Q201" i="12"/>
  <c r="P201" i="12"/>
  <c r="O201" i="12"/>
  <c r="N201" i="12"/>
  <c r="M201" i="12"/>
  <c r="L201" i="12"/>
  <c r="K201" i="12"/>
  <c r="J201" i="12"/>
  <c r="I201" i="12"/>
  <c r="H201" i="12"/>
  <c r="G201" i="12"/>
  <c r="F201" i="12"/>
  <c r="Q199" i="12"/>
  <c r="P199" i="12"/>
  <c r="O199" i="12"/>
  <c r="N199" i="12"/>
  <c r="M199" i="12"/>
  <c r="L199" i="12"/>
  <c r="K199" i="12"/>
  <c r="J199" i="12"/>
  <c r="I199" i="12"/>
  <c r="H199" i="12"/>
  <c r="G199" i="12"/>
  <c r="F199" i="12"/>
  <c r="Q198" i="12"/>
  <c r="P198" i="12"/>
  <c r="O198" i="12"/>
  <c r="N198" i="12"/>
  <c r="M198" i="12"/>
  <c r="L198" i="12"/>
  <c r="K198" i="12"/>
  <c r="J198" i="12"/>
  <c r="I198" i="12"/>
  <c r="H198" i="12"/>
  <c r="G198" i="12"/>
  <c r="F198" i="12"/>
  <c r="Q197" i="12"/>
  <c r="P197" i="12"/>
  <c r="O197" i="12"/>
  <c r="N197" i="12"/>
  <c r="M197" i="12"/>
  <c r="L197" i="12"/>
  <c r="K197" i="12"/>
  <c r="J197" i="12"/>
  <c r="I197" i="12"/>
  <c r="H197" i="12"/>
  <c r="G197" i="12"/>
  <c r="F197" i="12"/>
  <c r="Q196" i="12"/>
  <c r="P196" i="12"/>
  <c r="O196" i="12"/>
  <c r="N196" i="12"/>
  <c r="M196" i="12"/>
  <c r="L196" i="12"/>
  <c r="K196" i="12"/>
  <c r="J196" i="12"/>
  <c r="I196" i="12"/>
  <c r="H196" i="12"/>
  <c r="G196" i="12"/>
  <c r="F196" i="12"/>
  <c r="Q193" i="12"/>
  <c r="P193" i="12"/>
  <c r="O193" i="12"/>
  <c r="N193" i="12"/>
  <c r="M193" i="12"/>
  <c r="L193" i="12"/>
  <c r="K193" i="12"/>
  <c r="J193" i="12"/>
  <c r="I193" i="12"/>
  <c r="H193" i="12"/>
  <c r="G193" i="12"/>
  <c r="F193" i="12"/>
  <c r="Q190" i="12"/>
  <c r="P190" i="12"/>
  <c r="O190" i="12"/>
  <c r="N190" i="12"/>
  <c r="M190" i="12"/>
  <c r="L190" i="12"/>
  <c r="K190" i="12"/>
  <c r="J190" i="12"/>
  <c r="I190" i="12"/>
  <c r="H190" i="12"/>
  <c r="G190" i="12"/>
  <c r="F190" i="12"/>
  <c r="Q187" i="12"/>
  <c r="P187" i="12"/>
  <c r="O187" i="12"/>
  <c r="N187" i="12"/>
  <c r="M187" i="12"/>
  <c r="L187" i="12"/>
  <c r="K187" i="12"/>
  <c r="J187" i="12"/>
  <c r="I187" i="12"/>
  <c r="H187" i="12"/>
  <c r="G187" i="12"/>
  <c r="F187" i="12"/>
  <c r="Q184" i="12"/>
  <c r="P184" i="12"/>
  <c r="O184" i="12"/>
  <c r="N184" i="12"/>
  <c r="M184" i="12"/>
  <c r="L184" i="12"/>
  <c r="K184" i="12"/>
  <c r="J184" i="12"/>
  <c r="I184" i="12"/>
  <c r="H184" i="12"/>
  <c r="G184" i="12"/>
  <c r="F184" i="12"/>
  <c r="Q183" i="12"/>
  <c r="P183" i="12"/>
  <c r="O183" i="12"/>
  <c r="N183" i="12"/>
  <c r="M183" i="12"/>
  <c r="L183" i="12"/>
  <c r="K183" i="12"/>
  <c r="J183" i="12"/>
  <c r="I183" i="12"/>
  <c r="H183" i="12"/>
  <c r="G183" i="12"/>
  <c r="F183" i="12"/>
  <c r="Q180" i="12"/>
  <c r="P180" i="12"/>
  <c r="O180" i="12"/>
  <c r="N180" i="12"/>
  <c r="M180" i="12"/>
  <c r="L180" i="12"/>
  <c r="K180" i="12"/>
  <c r="J180" i="12"/>
  <c r="I180" i="12"/>
  <c r="H180" i="12"/>
  <c r="G180" i="12"/>
  <c r="F180" i="12"/>
  <c r="Q178" i="12"/>
  <c r="P178" i="12"/>
  <c r="O178" i="12"/>
  <c r="N178" i="12"/>
  <c r="M178" i="12"/>
  <c r="L178" i="12"/>
  <c r="K178" i="12"/>
  <c r="J178" i="12"/>
  <c r="I178" i="12"/>
  <c r="H178" i="12"/>
  <c r="G178" i="12"/>
  <c r="F178" i="12"/>
  <c r="Q177" i="12"/>
  <c r="P177" i="12"/>
  <c r="O177" i="12"/>
  <c r="N177" i="12"/>
  <c r="M177" i="12"/>
  <c r="L177" i="12"/>
  <c r="K177" i="12"/>
  <c r="J177" i="12"/>
  <c r="I177" i="12"/>
  <c r="H177" i="12"/>
  <c r="G177" i="12"/>
  <c r="F177" i="12"/>
  <c r="Q174" i="12"/>
  <c r="P174" i="12"/>
  <c r="O174" i="12"/>
  <c r="N174" i="12"/>
  <c r="M174" i="12"/>
  <c r="L174" i="12"/>
  <c r="K174" i="12"/>
  <c r="J174" i="12"/>
  <c r="I174" i="12"/>
  <c r="H174" i="12"/>
  <c r="G174" i="12"/>
  <c r="F174" i="12"/>
  <c r="Q173" i="12"/>
  <c r="P173" i="12"/>
  <c r="O173" i="12"/>
  <c r="N173" i="12"/>
  <c r="M173" i="12"/>
  <c r="L173" i="12"/>
  <c r="K173" i="12"/>
  <c r="J173" i="12"/>
  <c r="I173" i="12"/>
  <c r="H173" i="12"/>
  <c r="G173" i="12"/>
  <c r="F173" i="12"/>
  <c r="Q170" i="12"/>
  <c r="P170" i="12"/>
  <c r="O170" i="12"/>
  <c r="N170" i="12"/>
  <c r="M170" i="12"/>
  <c r="L170" i="12"/>
  <c r="K170" i="12"/>
  <c r="J170" i="12"/>
  <c r="I170" i="12"/>
  <c r="H170" i="12"/>
  <c r="G170" i="12"/>
  <c r="F170" i="12"/>
  <c r="Q169" i="12"/>
  <c r="P169" i="12"/>
  <c r="O169" i="12"/>
  <c r="N169" i="12"/>
  <c r="M169" i="12"/>
  <c r="L169" i="12"/>
  <c r="K169" i="12"/>
  <c r="J169" i="12"/>
  <c r="I169" i="12"/>
  <c r="H169" i="12"/>
  <c r="G169" i="12"/>
  <c r="F169" i="12"/>
  <c r="Q166" i="12"/>
  <c r="P166" i="12"/>
  <c r="O166" i="12"/>
  <c r="N166" i="12"/>
  <c r="M166" i="12"/>
  <c r="L166" i="12"/>
  <c r="K166" i="12"/>
  <c r="J166" i="12"/>
  <c r="I166" i="12"/>
  <c r="H166" i="12"/>
  <c r="G166" i="12"/>
  <c r="F166" i="12"/>
  <c r="Q165" i="12"/>
  <c r="P165" i="12"/>
  <c r="O165" i="12"/>
  <c r="N165" i="12"/>
  <c r="M165" i="12"/>
  <c r="L165" i="12"/>
  <c r="K165" i="12"/>
  <c r="J165" i="12"/>
  <c r="I165" i="12"/>
  <c r="H165" i="12"/>
  <c r="G165" i="12"/>
  <c r="F165" i="12"/>
  <c r="Q164" i="12"/>
  <c r="P164" i="12"/>
  <c r="O164" i="12"/>
  <c r="N164" i="12"/>
  <c r="M164" i="12"/>
  <c r="L164" i="12"/>
  <c r="K164" i="12"/>
  <c r="J164" i="12"/>
  <c r="I164" i="12"/>
  <c r="H164" i="12"/>
  <c r="G164" i="12"/>
  <c r="F164" i="12"/>
  <c r="Q163" i="12"/>
  <c r="P163" i="12"/>
  <c r="O163" i="12"/>
  <c r="N163" i="12"/>
  <c r="M163" i="12"/>
  <c r="L163" i="12"/>
  <c r="K163" i="12"/>
  <c r="J163" i="12"/>
  <c r="I163" i="12"/>
  <c r="H163" i="12"/>
  <c r="G163" i="12"/>
  <c r="F163" i="12"/>
  <c r="Q161" i="12"/>
  <c r="P161" i="12"/>
  <c r="O161" i="12"/>
  <c r="N161" i="12"/>
  <c r="M161" i="12"/>
  <c r="L161" i="12"/>
  <c r="K161" i="12"/>
  <c r="J161" i="12"/>
  <c r="I161" i="12"/>
  <c r="H161" i="12"/>
  <c r="G161" i="12"/>
  <c r="F161" i="12"/>
  <c r="Q160" i="12"/>
  <c r="P160" i="12"/>
  <c r="O160" i="12"/>
  <c r="N160" i="12"/>
  <c r="M160" i="12"/>
  <c r="L160" i="12"/>
  <c r="K160" i="12"/>
  <c r="J160" i="12"/>
  <c r="I160" i="12"/>
  <c r="H160" i="12"/>
  <c r="G160" i="12"/>
  <c r="F160" i="12"/>
  <c r="Q159" i="12"/>
  <c r="P159" i="12"/>
  <c r="O159" i="12"/>
  <c r="N159" i="12"/>
  <c r="M159" i="12"/>
  <c r="L159" i="12"/>
  <c r="K159" i="12"/>
  <c r="J159" i="12"/>
  <c r="I159" i="12"/>
  <c r="H159" i="12"/>
  <c r="G159" i="12"/>
  <c r="F159" i="12"/>
  <c r="Q158" i="12"/>
  <c r="P158" i="12"/>
  <c r="O158" i="12"/>
  <c r="N158" i="12"/>
  <c r="M158" i="12"/>
  <c r="L158" i="12"/>
  <c r="K158" i="12"/>
  <c r="J158" i="12"/>
  <c r="I158" i="12"/>
  <c r="H158" i="12"/>
  <c r="G158" i="12"/>
  <c r="F158" i="12"/>
  <c r="Q156" i="12"/>
  <c r="P156" i="12"/>
  <c r="O156" i="12"/>
  <c r="N156" i="12"/>
  <c r="M156" i="12"/>
  <c r="L156" i="12"/>
  <c r="K156" i="12"/>
  <c r="J156" i="12"/>
  <c r="I156" i="12"/>
  <c r="H156" i="12"/>
  <c r="G156" i="12"/>
  <c r="F156" i="12"/>
  <c r="Q155" i="12"/>
  <c r="P155" i="12"/>
  <c r="O155" i="12"/>
  <c r="N155" i="12"/>
  <c r="M155" i="12"/>
  <c r="L155" i="12"/>
  <c r="K155" i="12"/>
  <c r="J155" i="12"/>
  <c r="I155" i="12"/>
  <c r="H155" i="12"/>
  <c r="G155" i="12"/>
  <c r="F155" i="12"/>
  <c r="Q154" i="12"/>
  <c r="P154" i="12"/>
  <c r="O154" i="12"/>
  <c r="N154" i="12"/>
  <c r="M154" i="12"/>
  <c r="L154" i="12"/>
  <c r="K154" i="12"/>
  <c r="J154" i="12"/>
  <c r="I154" i="12"/>
  <c r="H154" i="12"/>
  <c r="G154" i="12"/>
  <c r="F154" i="12"/>
  <c r="Q153" i="12"/>
  <c r="P153" i="12"/>
  <c r="O153" i="12"/>
  <c r="N153" i="12"/>
  <c r="M153" i="12"/>
  <c r="L153" i="12"/>
  <c r="K153" i="12"/>
  <c r="J153" i="12"/>
  <c r="I153" i="12"/>
  <c r="H153" i="12"/>
  <c r="G153" i="12"/>
  <c r="F153" i="12"/>
  <c r="Q151" i="12"/>
  <c r="P151" i="12"/>
  <c r="O151" i="12"/>
  <c r="N151" i="12"/>
  <c r="M151" i="12"/>
  <c r="L151" i="12"/>
  <c r="K151" i="12"/>
  <c r="J151" i="12"/>
  <c r="I151" i="12"/>
  <c r="H151" i="12"/>
  <c r="G151" i="12"/>
  <c r="F151" i="12"/>
  <c r="Q150" i="12"/>
  <c r="P150" i="12"/>
  <c r="O150" i="12"/>
  <c r="N150" i="12"/>
  <c r="M150" i="12"/>
  <c r="L150" i="12"/>
  <c r="K150" i="12"/>
  <c r="J150" i="12"/>
  <c r="I150" i="12"/>
  <c r="H150" i="12"/>
  <c r="G150" i="12"/>
  <c r="F150" i="12"/>
  <c r="Q149" i="12"/>
  <c r="P149" i="12"/>
  <c r="O149" i="12"/>
  <c r="N149" i="12"/>
  <c r="M149" i="12"/>
  <c r="L149" i="12"/>
  <c r="K149" i="12"/>
  <c r="J149" i="12"/>
  <c r="I149" i="12"/>
  <c r="H149" i="12"/>
  <c r="G149" i="12"/>
  <c r="F149" i="12"/>
  <c r="Q148" i="12"/>
  <c r="P148" i="12"/>
  <c r="O148" i="12"/>
  <c r="N148" i="12"/>
  <c r="M148" i="12"/>
  <c r="L148" i="12"/>
  <c r="K148" i="12"/>
  <c r="J148" i="12"/>
  <c r="I148" i="12"/>
  <c r="H148" i="12"/>
  <c r="G148" i="12"/>
  <c r="F148" i="12"/>
  <c r="Q146" i="12"/>
  <c r="P146" i="12"/>
  <c r="O146" i="12"/>
  <c r="N146" i="12"/>
  <c r="M146" i="12"/>
  <c r="L146" i="12"/>
  <c r="K146" i="12"/>
  <c r="J146" i="12"/>
  <c r="I146" i="12"/>
  <c r="H146" i="12"/>
  <c r="G146" i="12"/>
  <c r="F146" i="12"/>
  <c r="Q145" i="12"/>
  <c r="P145" i="12"/>
  <c r="O145" i="12"/>
  <c r="N145" i="12"/>
  <c r="M145" i="12"/>
  <c r="L145" i="12"/>
  <c r="K145" i="12"/>
  <c r="J145" i="12"/>
  <c r="I145" i="12"/>
  <c r="H145" i="12"/>
  <c r="G145" i="12"/>
  <c r="F145" i="12"/>
  <c r="Q144" i="12"/>
  <c r="P144" i="12"/>
  <c r="O144" i="12"/>
  <c r="N144" i="12"/>
  <c r="M144" i="12"/>
  <c r="L144" i="12"/>
  <c r="K144" i="12"/>
  <c r="J144" i="12"/>
  <c r="I144" i="12"/>
  <c r="H144" i="12"/>
  <c r="G144" i="12"/>
  <c r="F144" i="12"/>
  <c r="Q143" i="12"/>
  <c r="P143" i="12"/>
  <c r="O143" i="12"/>
  <c r="N143" i="12"/>
  <c r="M143" i="12"/>
  <c r="L143" i="12"/>
  <c r="K143" i="12"/>
  <c r="J143" i="12"/>
  <c r="I143" i="12"/>
  <c r="H143" i="12"/>
  <c r="G143" i="12"/>
  <c r="F143" i="12"/>
  <c r="Q140" i="12"/>
  <c r="P140" i="12"/>
  <c r="O140" i="12"/>
  <c r="N140" i="12"/>
  <c r="M140" i="12"/>
  <c r="L140" i="12"/>
  <c r="K140" i="12"/>
  <c r="J140" i="12"/>
  <c r="I140" i="12"/>
  <c r="H140" i="12"/>
  <c r="G140" i="12"/>
  <c r="F140" i="12"/>
  <c r="Q139" i="12"/>
  <c r="P139" i="12"/>
  <c r="O139" i="12"/>
  <c r="N139" i="12"/>
  <c r="M139" i="12"/>
  <c r="L139" i="12"/>
  <c r="K139" i="12"/>
  <c r="J139" i="12"/>
  <c r="I139" i="12"/>
  <c r="H139" i="12"/>
  <c r="G139" i="12"/>
  <c r="F139" i="12"/>
  <c r="Q138" i="12"/>
  <c r="P138" i="12"/>
  <c r="O138" i="12"/>
  <c r="N138" i="12"/>
  <c r="M138" i="12"/>
  <c r="L138" i="12"/>
  <c r="K138" i="12"/>
  <c r="J138" i="12"/>
  <c r="I138" i="12"/>
  <c r="H138" i="12"/>
  <c r="G138" i="12"/>
  <c r="F138" i="12"/>
  <c r="Q137" i="12"/>
  <c r="P137" i="12"/>
  <c r="O137" i="12"/>
  <c r="N137" i="12"/>
  <c r="M137" i="12"/>
  <c r="L137" i="12"/>
  <c r="K137" i="12"/>
  <c r="J137" i="12"/>
  <c r="I137" i="12"/>
  <c r="H137" i="12"/>
  <c r="G137" i="12"/>
  <c r="F137" i="12"/>
  <c r="Q135" i="12"/>
  <c r="P135" i="12"/>
  <c r="O135" i="12"/>
  <c r="N135" i="12"/>
  <c r="M135" i="12"/>
  <c r="L135" i="12"/>
  <c r="K135" i="12"/>
  <c r="J135" i="12"/>
  <c r="I135" i="12"/>
  <c r="H135" i="12"/>
  <c r="G135" i="12"/>
  <c r="F135" i="12"/>
  <c r="Q134" i="12"/>
  <c r="P134" i="12"/>
  <c r="O134" i="12"/>
  <c r="N134" i="12"/>
  <c r="M134" i="12"/>
  <c r="L134" i="12"/>
  <c r="K134" i="12"/>
  <c r="J134" i="12"/>
  <c r="I134" i="12"/>
  <c r="H134" i="12"/>
  <c r="G134" i="12"/>
  <c r="F134" i="12"/>
  <c r="Q132" i="12"/>
  <c r="P132" i="12"/>
  <c r="O132" i="12"/>
  <c r="N132" i="12"/>
  <c r="M132" i="12"/>
  <c r="L132" i="12"/>
  <c r="K132" i="12"/>
  <c r="J132" i="12"/>
  <c r="I132" i="12"/>
  <c r="H132" i="12"/>
  <c r="G132" i="12"/>
  <c r="F132" i="12"/>
  <c r="Q131" i="12"/>
  <c r="P131" i="12"/>
  <c r="O131" i="12"/>
  <c r="N131" i="12"/>
  <c r="M131" i="12"/>
  <c r="L131" i="12"/>
  <c r="K131" i="12"/>
  <c r="J131" i="12"/>
  <c r="I131" i="12"/>
  <c r="H131" i="12"/>
  <c r="G131" i="12"/>
  <c r="F131" i="12"/>
  <c r="Q130" i="12"/>
  <c r="P130" i="12"/>
  <c r="O130" i="12"/>
  <c r="N130" i="12"/>
  <c r="M130" i="12"/>
  <c r="L130" i="12"/>
  <c r="K130" i="12"/>
  <c r="J130" i="12"/>
  <c r="I130" i="12"/>
  <c r="H130" i="12"/>
  <c r="G130" i="12"/>
  <c r="F130" i="12"/>
  <c r="Q128" i="12"/>
  <c r="P128" i="12"/>
  <c r="O128" i="12"/>
  <c r="N128" i="12"/>
  <c r="M128" i="12"/>
  <c r="L128" i="12"/>
  <c r="K128" i="12"/>
  <c r="J128" i="12"/>
  <c r="I128" i="12"/>
  <c r="H128" i="12"/>
  <c r="G128" i="12"/>
  <c r="F128" i="12"/>
  <c r="Q127" i="12"/>
  <c r="P127" i="12"/>
  <c r="O127" i="12"/>
  <c r="N127" i="12"/>
  <c r="M127" i="12"/>
  <c r="L127" i="12"/>
  <c r="K127" i="12"/>
  <c r="J127" i="12"/>
  <c r="I127" i="12"/>
  <c r="H127" i="12"/>
  <c r="G127" i="12"/>
  <c r="F127" i="12"/>
  <c r="Q126" i="12"/>
  <c r="P126" i="12"/>
  <c r="O126" i="12"/>
  <c r="N126" i="12"/>
  <c r="M126" i="12"/>
  <c r="L126" i="12"/>
  <c r="K126" i="12"/>
  <c r="J126" i="12"/>
  <c r="I126" i="12"/>
  <c r="H126" i="12"/>
  <c r="G126" i="12"/>
  <c r="F126" i="12"/>
  <c r="Q125" i="12"/>
  <c r="P125" i="12"/>
  <c r="O125" i="12"/>
  <c r="N125" i="12"/>
  <c r="M125" i="12"/>
  <c r="L125" i="12"/>
  <c r="K125" i="12"/>
  <c r="J125" i="12"/>
  <c r="I125" i="12"/>
  <c r="H125" i="12"/>
  <c r="G125" i="12"/>
  <c r="F125" i="12"/>
  <c r="Q124" i="12"/>
  <c r="P124" i="12"/>
  <c r="O124" i="12"/>
  <c r="N124" i="12"/>
  <c r="M124" i="12"/>
  <c r="L124" i="12"/>
  <c r="K124" i="12"/>
  <c r="J124" i="12"/>
  <c r="I124" i="12"/>
  <c r="H124" i="12"/>
  <c r="G124" i="12"/>
  <c r="F124" i="12"/>
  <c r="Q123" i="12"/>
  <c r="P123" i="12"/>
  <c r="O123" i="12"/>
  <c r="N123" i="12"/>
  <c r="M123" i="12"/>
  <c r="L123" i="12"/>
  <c r="K123" i="12"/>
  <c r="J123" i="12"/>
  <c r="I123" i="12"/>
  <c r="H123" i="12"/>
  <c r="G123" i="12"/>
  <c r="F123" i="12"/>
  <c r="Q122" i="12"/>
  <c r="P122" i="12"/>
  <c r="O122" i="12"/>
  <c r="N122" i="12"/>
  <c r="M122" i="12"/>
  <c r="L122" i="12"/>
  <c r="K122" i="12"/>
  <c r="J122" i="12"/>
  <c r="I122" i="12"/>
  <c r="H122" i="12"/>
  <c r="G122" i="12"/>
  <c r="F122" i="12"/>
  <c r="Q121" i="12"/>
  <c r="P121" i="12"/>
  <c r="O121" i="12"/>
  <c r="N121" i="12"/>
  <c r="M121" i="12"/>
  <c r="L121" i="12"/>
  <c r="K121" i="12"/>
  <c r="J121" i="12"/>
  <c r="I121" i="12"/>
  <c r="H121" i="12"/>
  <c r="G121" i="12"/>
  <c r="F121" i="12"/>
  <c r="Q120" i="12"/>
  <c r="P120" i="12"/>
  <c r="O120" i="12"/>
  <c r="N120" i="12"/>
  <c r="M120" i="12"/>
  <c r="L120" i="12"/>
  <c r="K120" i="12"/>
  <c r="J120" i="12"/>
  <c r="I120" i="12"/>
  <c r="H120" i="12"/>
  <c r="G120" i="12"/>
  <c r="F120" i="12"/>
  <c r="Q119" i="12"/>
  <c r="P119" i="12"/>
  <c r="O119" i="12"/>
  <c r="N119" i="12"/>
  <c r="M119" i="12"/>
  <c r="L119" i="12"/>
  <c r="K119" i="12"/>
  <c r="J119" i="12"/>
  <c r="I119" i="12"/>
  <c r="H119" i="12"/>
  <c r="G119" i="12"/>
  <c r="F119" i="12"/>
  <c r="Q118" i="12"/>
  <c r="P118" i="12"/>
  <c r="O118" i="12"/>
  <c r="N118" i="12"/>
  <c r="M118" i="12"/>
  <c r="L118" i="12"/>
  <c r="K118" i="12"/>
  <c r="J118" i="12"/>
  <c r="I118" i="12"/>
  <c r="H118" i="12"/>
  <c r="G118" i="12"/>
  <c r="F118" i="12"/>
  <c r="Q117" i="12"/>
  <c r="P117" i="12"/>
  <c r="O117" i="12"/>
  <c r="N117" i="12"/>
  <c r="M117" i="12"/>
  <c r="L117" i="12"/>
  <c r="K117" i="12"/>
  <c r="J117" i="12"/>
  <c r="I117" i="12"/>
  <c r="H117" i="12"/>
  <c r="G117" i="12"/>
  <c r="F117" i="12"/>
  <c r="Q116" i="12"/>
  <c r="P116" i="12"/>
  <c r="O116" i="12"/>
  <c r="N116" i="12"/>
  <c r="M116" i="12"/>
  <c r="L116" i="12"/>
  <c r="K116" i="12"/>
  <c r="J116" i="12"/>
  <c r="I116" i="12"/>
  <c r="H116" i="12"/>
  <c r="G116" i="12"/>
  <c r="F116" i="12"/>
  <c r="Q115" i="12"/>
  <c r="P115" i="12"/>
  <c r="O115" i="12"/>
  <c r="N115" i="12"/>
  <c r="M115" i="12"/>
  <c r="L115" i="12"/>
  <c r="K115" i="12"/>
  <c r="J115" i="12"/>
  <c r="I115" i="12"/>
  <c r="H115" i="12"/>
  <c r="G115" i="12"/>
  <c r="F115" i="12"/>
  <c r="Q114" i="12"/>
  <c r="P114" i="12"/>
  <c r="O114" i="12"/>
  <c r="N114" i="12"/>
  <c r="M114" i="12"/>
  <c r="L114" i="12"/>
  <c r="K114" i="12"/>
  <c r="J114" i="12"/>
  <c r="I114" i="12"/>
  <c r="H114" i="12"/>
  <c r="G114" i="12"/>
  <c r="F114" i="12"/>
  <c r="Q113" i="12"/>
  <c r="P113" i="12"/>
  <c r="O113" i="12"/>
  <c r="N113" i="12"/>
  <c r="M113" i="12"/>
  <c r="L113" i="12"/>
  <c r="K113" i="12"/>
  <c r="J113" i="12"/>
  <c r="I113" i="12"/>
  <c r="H113" i="12"/>
  <c r="G113" i="12"/>
  <c r="F113" i="12"/>
  <c r="Q110" i="12"/>
  <c r="P110" i="12"/>
  <c r="O110" i="12"/>
  <c r="N110" i="12"/>
  <c r="M110" i="12"/>
  <c r="L110" i="12"/>
  <c r="K110" i="12"/>
  <c r="J110" i="12"/>
  <c r="I110" i="12"/>
  <c r="H110" i="12"/>
  <c r="G110" i="12"/>
  <c r="F110" i="12"/>
  <c r="Q107" i="12"/>
  <c r="P107" i="12"/>
  <c r="O107" i="12"/>
  <c r="N107" i="12"/>
  <c r="M107" i="12"/>
  <c r="L107" i="12"/>
  <c r="K107" i="12"/>
  <c r="J107" i="12"/>
  <c r="I107" i="12"/>
  <c r="H107" i="12"/>
  <c r="G107" i="12"/>
  <c r="F107" i="12"/>
  <c r="Q103" i="12"/>
  <c r="P103" i="12"/>
  <c r="O103" i="12"/>
  <c r="N103" i="12"/>
  <c r="M103" i="12"/>
  <c r="L103" i="12"/>
  <c r="K103" i="12"/>
  <c r="J103" i="12"/>
  <c r="I103" i="12"/>
  <c r="H103" i="12"/>
  <c r="G103" i="12"/>
  <c r="F103" i="12"/>
  <c r="Q100" i="12"/>
  <c r="P100" i="12"/>
  <c r="O100" i="12"/>
  <c r="N100" i="12"/>
  <c r="M100" i="12"/>
  <c r="L100" i="12"/>
  <c r="K100" i="12"/>
  <c r="J100" i="12"/>
  <c r="I100" i="12"/>
  <c r="H100" i="12"/>
  <c r="G100" i="12"/>
  <c r="F100" i="12"/>
  <c r="Q97" i="12"/>
  <c r="P97" i="12"/>
  <c r="O97" i="12"/>
  <c r="N97" i="12"/>
  <c r="M97" i="12"/>
  <c r="L97" i="12"/>
  <c r="K97" i="12"/>
  <c r="J97" i="12"/>
  <c r="I97" i="12"/>
  <c r="H97" i="12"/>
  <c r="G97" i="12"/>
  <c r="F97" i="12"/>
  <c r="Q94" i="12"/>
  <c r="P94" i="12"/>
  <c r="O94" i="12"/>
  <c r="N94" i="12"/>
  <c r="M94" i="12"/>
  <c r="L94" i="12"/>
  <c r="K94" i="12"/>
  <c r="J94" i="12"/>
  <c r="I94" i="12"/>
  <c r="H94" i="12"/>
  <c r="G94" i="12"/>
  <c r="F94" i="12"/>
  <c r="Q91" i="12"/>
  <c r="P91" i="12"/>
  <c r="O91" i="12"/>
  <c r="N91" i="12"/>
  <c r="M91" i="12"/>
  <c r="L91" i="12"/>
  <c r="K91" i="12"/>
  <c r="J91" i="12"/>
  <c r="I91" i="12"/>
  <c r="H91" i="12"/>
  <c r="G91" i="12"/>
  <c r="F91" i="12"/>
  <c r="Q90" i="12"/>
  <c r="P90" i="12"/>
  <c r="O90" i="12"/>
  <c r="N90" i="12"/>
  <c r="M90" i="12"/>
  <c r="L90" i="12"/>
  <c r="K90" i="12"/>
  <c r="J90" i="12"/>
  <c r="I90" i="12"/>
  <c r="H90" i="12"/>
  <c r="G90" i="12"/>
  <c r="F90" i="12"/>
  <c r="Q88" i="12"/>
  <c r="P88" i="12"/>
  <c r="O88" i="12"/>
  <c r="N88" i="12"/>
  <c r="M88" i="12"/>
  <c r="L88" i="12"/>
  <c r="K88" i="12"/>
  <c r="J88" i="12"/>
  <c r="I88" i="12"/>
  <c r="H88" i="12"/>
  <c r="G88" i="12"/>
  <c r="F88" i="12"/>
  <c r="Q87" i="12"/>
  <c r="P87" i="12"/>
  <c r="O87" i="12"/>
  <c r="N87" i="12"/>
  <c r="M87" i="12"/>
  <c r="L87" i="12"/>
  <c r="K87" i="12"/>
  <c r="J87" i="12"/>
  <c r="I87" i="12"/>
  <c r="H87" i="12"/>
  <c r="G87" i="12"/>
  <c r="F87" i="12"/>
  <c r="Q84" i="12"/>
  <c r="P84" i="12"/>
  <c r="O84" i="12"/>
  <c r="N84" i="12"/>
  <c r="M84" i="12"/>
  <c r="L84" i="12"/>
  <c r="K84" i="12"/>
  <c r="J84" i="12"/>
  <c r="I84" i="12"/>
  <c r="H84" i="12"/>
  <c r="G84" i="12"/>
  <c r="F84" i="12"/>
  <c r="Q83" i="12"/>
  <c r="P83" i="12"/>
  <c r="O83" i="12"/>
  <c r="N83" i="12"/>
  <c r="M83" i="12"/>
  <c r="L83" i="12"/>
  <c r="K83" i="12"/>
  <c r="J83" i="12"/>
  <c r="I83" i="12"/>
  <c r="H83" i="12"/>
  <c r="G83" i="12"/>
  <c r="F83" i="12"/>
  <c r="Q81" i="12"/>
  <c r="P81" i="12"/>
  <c r="O81" i="12"/>
  <c r="N81" i="12"/>
  <c r="M81" i="12"/>
  <c r="L81" i="12"/>
  <c r="K81" i="12"/>
  <c r="J81" i="12"/>
  <c r="I81" i="12"/>
  <c r="H81" i="12"/>
  <c r="G81" i="12"/>
  <c r="F81" i="12"/>
  <c r="Q80" i="12"/>
  <c r="P80" i="12"/>
  <c r="O80" i="12"/>
  <c r="N80" i="12"/>
  <c r="M80" i="12"/>
  <c r="L80" i="12"/>
  <c r="K80" i="12"/>
  <c r="J80" i="12"/>
  <c r="I80" i="12"/>
  <c r="H80" i="12"/>
  <c r="G80" i="12"/>
  <c r="F80" i="12"/>
  <c r="Q78" i="12"/>
  <c r="P78" i="12"/>
  <c r="O78" i="12"/>
  <c r="N78" i="12"/>
  <c r="M78" i="12"/>
  <c r="L78" i="12"/>
  <c r="K78" i="12"/>
  <c r="J78" i="12"/>
  <c r="I78" i="12"/>
  <c r="H78" i="12"/>
  <c r="G78" i="12"/>
  <c r="F78" i="12"/>
  <c r="Q77" i="12"/>
  <c r="P77" i="12"/>
  <c r="O77" i="12"/>
  <c r="N77" i="12"/>
  <c r="M77" i="12"/>
  <c r="L77" i="12"/>
  <c r="K77" i="12"/>
  <c r="J77" i="12"/>
  <c r="I77" i="12"/>
  <c r="H77" i="12"/>
  <c r="G77" i="12"/>
  <c r="F77" i="12"/>
  <c r="Q73" i="12"/>
  <c r="P73" i="12"/>
  <c r="O73" i="12"/>
  <c r="N73" i="12"/>
  <c r="M73" i="12"/>
  <c r="L73" i="12"/>
  <c r="K73" i="12"/>
  <c r="J73" i="12"/>
  <c r="I73" i="12"/>
  <c r="H73" i="12"/>
  <c r="G73" i="12"/>
  <c r="F73" i="12"/>
  <c r="Q72" i="12"/>
  <c r="P72" i="12"/>
  <c r="O72" i="12"/>
  <c r="N72" i="12"/>
  <c r="M72" i="12"/>
  <c r="L72" i="12"/>
  <c r="K72" i="12"/>
  <c r="J72" i="12"/>
  <c r="I72" i="12"/>
  <c r="H72" i="12"/>
  <c r="G72" i="12"/>
  <c r="F72" i="12"/>
  <c r="Q71" i="12"/>
  <c r="P71" i="12"/>
  <c r="O71" i="12"/>
  <c r="N71" i="12"/>
  <c r="M71" i="12"/>
  <c r="L71" i="12"/>
  <c r="K71" i="12"/>
  <c r="J71" i="12"/>
  <c r="I71" i="12"/>
  <c r="H71" i="12"/>
  <c r="G71" i="12"/>
  <c r="F71" i="12"/>
  <c r="Q70" i="12"/>
  <c r="P70" i="12"/>
  <c r="O70" i="12"/>
  <c r="N70" i="12"/>
  <c r="M70" i="12"/>
  <c r="L70" i="12"/>
  <c r="K70" i="12"/>
  <c r="J70" i="12"/>
  <c r="I70" i="12"/>
  <c r="H70" i="12"/>
  <c r="G70" i="12"/>
  <c r="F70" i="12"/>
  <c r="Q68" i="12"/>
  <c r="P68" i="12"/>
  <c r="O68" i="12"/>
  <c r="N68" i="12"/>
  <c r="M68" i="12"/>
  <c r="L68" i="12"/>
  <c r="K68" i="12"/>
  <c r="J68" i="12"/>
  <c r="I68" i="12"/>
  <c r="H68" i="12"/>
  <c r="G68" i="12"/>
  <c r="F68" i="12"/>
  <c r="Q67" i="12"/>
  <c r="P67" i="12"/>
  <c r="O67" i="12"/>
  <c r="N67" i="12"/>
  <c r="M67" i="12"/>
  <c r="L67" i="12"/>
  <c r="K67" i="12"/>
  <c r="J67" i="12"/>
  <c r="I67" i="12"/>
  <c r="H67" i="12"/>
  <c r="G67" i="12"/>
  <c r="F67" i="12"/>
  <c r="Q66" i="12"/>
  <c r="P66" i="12"/>
  <c r="O66" i="12"/>
  <c r="N66" i="12"/>
  <c r="M66" i="12"/>
  <c r="L66" i="12"/>
  <c r="K66" i="12"/>
  <c r="J66" i="12"/>
  <c r="I66" i="12"/>
  <c r="H66" i="12"/>
  <c r="G66" i="12"/>
  <c r="F66" i="12"/>
  <c r="Q65" i="12"/>
  <c r="P65" i="12"/>
  <c r="O65" i="12"/>
  <c r="N65" i="12"/>
  <c r="M65" i="12"/>
  <c r="L65" i="12"/>
  <c r="K65" i="12"/>
  <c r="J65" i="12"/>
  <c r="I65" i="12"/>
  <c r="H65" i="12"/>
  <c r="G65" i="12"/>
  <c r="F65" i="12"/>
  <c r="Q63" i="12"/>
  <c r="P63" i="12"/>
  <c r="O63" i="12"/>
  <c r="N63" i="12"/>
  <c r="M63" i="12"/>
  <c r="L63" i="12"/>
  <c r="K63" i="12"/>
  <c r="J63" i="12"/>
  <c r="I63" i="12"/>
  <c r="H63" i="12"/>
  <c r="G63" i="12"/>
  <c r="F63" i="12"/>
  <c r="Q62" i="12"/>
  <c r="P62" i="12"/>
  <c r="O62" i="12"/>
  <c r="N62" i="12"/>
  <c r="M62" i="12"/>
  <c r="L62" i="12"/>
  <c r="K62" i="12"/>
  <c r="J62" i="12"/>
  <c r="I62" i="12"/>
  <c r="H62" i="12"/>
  <c r="G62" i="12"/>
  <c r="F62" i="12"/>
  <c r="Q60" i="12"/>
  <c r="P60" i="12"/>
  <c r="O60" i="12"/>
  <c r="N60" i="12"/>
  <c r="M60" i="12"/>
  <c r="L60" i="12"/>
  <c r="K60" i="12"/>
  <c r="J60" i="12"/>
  <c r="I60" i="12"/>
  <c r="H60" i="12"/>
  <c r="G60" i="12"/>
  <c r="F60" i="12"/>
  <c r="Q59" i="12"/>
  <c r="P59" i="12"/>
  <c r="O59" i="12"/>
  <c r="N59" i="12"/>
  <c r="M59" i="12"/>
  <c r="L59" i="12"/>
  <c r="K59" i="12"/>
  <c r="J59" i="12"/>
  <c r="I59" i="12"/>
  <c r="H59" i="12"/>
  <c r="G59" i="12"/>
  <c r="F59" i="12"/>
  <c r="Q58" i="12"/>
  <c r="P58" i="12"/>
  <c r="O58" i="12"/>
  <c r="N58" i="12"/>
  <c r="M58" i="12"/>
  <c r="L58" i="12"/>
  <c r="K58" i="12"/>
  <c r="J58" i="12"/>
  <c r="I58" i="12"/>
  <c r="H58" i="12"/>
  <c r="G58" i="12"/>
  <c r="F58" i="12"/>
  <c r="Q57" i="12"/>
  <c r="P57" i="12"/>
  <c r="O57" i="12"/>
  <c r="N57" i="12"/>
  <c r="M57" i="12"/>
  <c r="L57" i="12"/>
  <c r="K57" i="12"/>
  <c r="J57" i="12"/>
  <c r="I57" i="12"/>
  <c r="H57" i="12"/>
  <c r="G57" i="12"/>
  <c r="F57" i="12"/>
  <c r="Q55" i="12"/>
  <c r="P55" i="12"/>
  <c r="O55" i="12"/>
  <c r="N55" i="12"/>
  <c r="M55" i="12"/>
  <c r="L55" i="12"/>
  <c r="K55" i="12"/>
  <c r="J55" i="12"/>
  <c r="I55" i="12"/>
  <c r="H55" i="12"/>
  <c r="G55" i="12"/>
  <c r="F55" i="12"/>
  <c r="Q54" i="12"/>
  <c r="P54" i="12"/>
  <c r="O54" i="12"/>
  <c r="N54" i="12"/>
  <c r="M54" i="12"/>
  <c r="L54" i="12"/>
  <c r="K54" i="12"/>
  <c r="J54" i="12"/>
  <c r="I54" i="12"/>
  <c r="H54" i="12"/>
  <c r="G54" i="12"/>
  <c r="F54" i="12"/>
  <c r="Q53" i="12"/>
  <c r="P53" i="12"/>
  <c r="O53" i="12"/>
  <c r="N53" i="12"/>
  <c r="M53" i="12"/>
  <c r="L53" i="12"/>
  <c r="K53" i="12"/>
  <c r="J53" i="12"/>
  <c r="I53" i="12"/>
  <c r="H53" i="12"/>
  <c r="G53" i="12"/>
  <c r="F53" i="12"/>
  <c r="Q52" i="12"/>
  <c r="P52" i="12"/>
  <c r="O52" i="12"/>
  <c r="N52" i="12"/>
  <c r="M52" i="12"/>
  <c r="L52" i="12"/>
  <c r="K52" i="12"/>
  <c r="J52" i="12"/>
  <c r="I52" i="12"/>
  <c r="H52" i="12"/>
  <c r="G52" i="12"/>
  <c r="F52" i="12"/>
  <c r="Q51" i="12"/>
  <c r="P51" i="12"/>
  <c r="O51" i="12"/>
  <c r="N51" i="12"/>
  <c r="M51" i="12"/>
  <c r="L51" i="12"/>
  <c r="K51" i="12"/>
  <c r="J51" i="12"/>
  <c r="I51" i="12"/>
  <c r="H51" i="12"/>
  <c r="G51" i="12"/>
  <c r="F51" i="12"/>
  <c r="Q49" i="12"/>
  <c r="P49" i="12"/>
  <c r="O49" i="12"/>
  <c r="N49" i="12"/>
  <c r="M49" i="12"/>
  <c r="L49" i="12"/>
  <c r="K49" i="12"/>
  <c r="J49" i="12"/>
  <c r="I49" i="12"/>
  <c r="H49" i="12"/>
  <c r="G49" i="12"/>
  <c r="F49" i="12"/>
  <c r="Q48" i="12"/>
  <c r="P48" i="12"/>
  <c r="O48" i="12"/>
  <c r="N48" i="12"/>
  <c r="M48" i="12"/>
  <c r="L48" i="12"/>
  <c r="K48" i="12"/>
  <c r="J48" i="12"/>
  <c r="I48" i="12"/>
  <c r="H48" i="12"/>
  <c r="G48" i="12"/>
  <c r="F48" i="12"/>
  <c r="Q47" i="12"/>
  <c r="P47" i="12"/>
  <c r="O47" i="12"/>
  <c r="N47" i="12"/>
  <c r="M47" i="12"/>
  <c r="L47" i="12"/>
  <c r="K47" i="12"/>
  <c r="J47" i="12"/>
  <c r="I47" i="12"/>
  <c r="H47" i="12"/>
  <c r="G47" i="12"/>
  <c r="F47" i="12"/>
  <c r="Q46" i="12"/>
  <c r="P46" i="12"/>
  <c r="O46" i="12"/>
  <c r="N46" i="12"/>
  <c r="M46" i="12"/>
  <c r="L46" i="12"/>
  <c r="K46" i="12"/>
  <c r="J46" i="12"/>
  <c r="I46" i="12"/>
  <c r="H46" i="12"/>
  <c r="G46" i="12"/>
  <c r="F46" i="12"/>
  <c r="Q44" i="12"/>
  <c r="P44" i="12"/>
  <c r="O44" i="12"/>
  <c r="N44" i="12"/>
  <c r="M44" i="12"/>
  <c r="L44" i="12"/>
  <c r="K44" i="12"/>
  <c r="J44" i="12"/>
  <c r="I44" i="12"/>
  <c r="H44" i="12"/>
  <c r="G44" i="12"/>
  <c r="F44" i="12"/>
  <c r="Q43" i="12"/>
  <c r="P43" i="12"/>
  <c r="O43" i="12"/>
  <c r="N43" i="12"/>
  <c r="M43" i="12"/>
  <c r="L43" i="12"/>
  <c r="K43" i="12"/>
  <c r="J43" i="12"/>
  <c r="I43" i="12"/>
  <c r="H43" i="12"/>
  <c r="G43" i="12"/>
  <c r="F43" i="12"/>
  <c r="Q42" i="12"/>
  <c r="P42" i="12"/>
  <c r="O42" i="12"/>
  <c r="N42" i="12"/>
  <c r="M42" i="12"/>
  <c r="L42" i="12"/>
  <c r="K42" i="12"/>
  <c r="J42" i="12"/>
  <c r="I42" i="12"/>
  <c r="H42" i="12"/>
  <c r="G42" i="12"/>
  <c r="F42" i="12"/>
  <c r="Q41" i="12"/>
  <c r="P41" i="12"/>
  <c r="O41" i="12"/>
  <c r="N41" i="12"/>
  <c r="M41" i="12"/>
  <c r="L41" i="12"/>
  <c r="K41" i="12"/>
  <c r="J41" i="12"/>
  <c r="I41" i="12"/>
  <c r="H41" i="12"/>
  <c r="G41" i="12"/>
  <c r="F41" i="12"/>
  <c r="Q40" i="12"/>
  <c r="P40" i="12"/>
  <c r="O40" i="12"/>
  <c r="N40" i="12"/>
  <c r="M40" i="12"/>
  <c r="L40" i="12"/>
  <c r="K40" i="12"/>
  <c r="J40" i="12"/>
  <c r="I40" i="12"/>
  <c r="H40" i="12"/>
  <c r="G40" i="12"/>
  <c r="F40" i="12"/>
  <c r="Q37" i="12"/>
  <c r="P37" i="12"/>
  <c r="O37" i="12"/>
  <c r="N37" i="12"/>
  <c r="M37" i="12"/>
  <c r="L37" i="12"/>
  <c r="K37" i="12"/>
  <c r="J37" i="12"/>
  <c r="I37" i="12"/>
  <c r="H37" i="12"/>
  <c r="G37" i="12"/>
  <c r="F37" i="12"/>
  <c r="Q36" i="12"/>
  <c r="P36" i="12"/>
  <c r="O36" i="12"/>
  <c r="N36" i="12"/>
  <c r="M36" i="12"/>
  <c r="L36" i="12"/>
  <c r="K36" i="12"/>
  <c r="J36" i="12"/>
  <c r="I36" i="12"/>
  <c r="H36" i="12"/>
  <c r="G36" i="12"/>
  <c r="F36" i="12"/>
  <c r="Q35" i="12"/>
  <c r="P35" i="12"/>
  <c r="O35" i="12"/>
  <c r="N35" i="12"/>
  <c r="M35" i="12"/>
  <c r="L35" i="12"/>
  <c r="K35" i="12"/>
  <c r="J35" i="12"/>
  <c r="I35" i="12"/>
  <c r="H35" i="12"/>
  <c r="G35" i="12"/>
  <c r="F35" i="12"/>
  <c r="Q33" i="12"/>
  <c r="P33" i="12"/>
  <c r="O33" i="12"/>
  <c r="N33" i="12"/>
  <c r="M33" i="12"/>
  <c r="L33" i="12"/>
  <c r="K33" i="12"/>
  <c r="J33" i="12"/>
  <c r="I33" i="12"/>
  <c r="H33" i="12"/>
  <c r="G33" i="12"/>
  <c r="F33" i="12"/>
  <c r="Q32" i="12"/>
  <c r="P32" i="12"/>
  <c r="O32" i="12"/>
  <c r="N32" i="12"/>
  <c r="M32" i="12"/>
  <c r="L32" i="12"/>
  <c r="K32" i="12"/>
  <c r="J32" i="12"/>
  <c r="I32" i="12"/>
  <c r="H32" i="12"/>
  <c r="G32" i="12"/>
  <c r="F32" i="12"/>
  <c r="Q30" i="12"/>
  <c r="P30" i="12"/>
  <c r="O30" i="12"/>
  <c r="N30" i="12"/>
  <c r="M30" i="12"/>
  <c r="L30" i="12"/>
  <c r="K30" i="12"/>
  <c r="J30" i="12"/>
  <c r="I30" i="12"/>
  <c r="H30" i="12"/>
  <c r="G30" i="12"/>
  <c r="F30" i="12"/>
  <c r="Q29" i="12"/>
  <c r="P29" i="12"/>
  <c r="O29" i="12"/>
  <c r="N29" i="12"/>
  <c r="M29" i="12"/>
  <c r="L29" i="12"/>
  <c r="K29" i="12"/>
  <c r="J29" i="12"/>
  <c r="I29" i="12"/>
  <c r="H29" i="12"/>
  <c r="G29" i="12"/>
  <c r="F29" i="12"/>
  <c r="Q28" i="12"/>
  <c r="P28" i="12"/>
  <c r="O28" i="12"/>
  <c r="N28" i="12"/>
  <c r="M28" i="12"/>
  <c r="L28" i="12"/>
  <c r="K28" i="12"/>
  <c r="J28" i="12"/>
  <c r="I28" i="12"/>
  <c r="H28" i="12"/>
  <c r="G28" i="12"/>
  <c r="F28" i="12"/>
  <c r="Q26" i="12"/>
  <c r="P26" i="12"/>
  <c r="O26" i="12"/>
  <c r="N26" i="12"/>
  <c r="M26" i="12"/>
  <c r="L26" i="12"/>
  <c r="K26" i="12"/>
  <c r="J26" i="12"/>
  <c r="I26" i="12"/>
  <c r="H26" i="12"/>
  <c r="G26" i="12"/>
  <c r="F26" i="12"/>
  <c r="Q25" i="12"/>
  <c r="P25" i="12"/>
  <c r="O25" i="12"/>
  <c r="N25" i="12"/>
  <c r="M25" i="12"/>
  <c r="L25" i="12"/>
  <c r="K25" i="12"/>
  <c r="J25" i="12"/>
  <c r="I25" i="12"/>
  <c r="H25" i="12"/>
  <c r="G25" i="12"/>
  <c r="F25" i="12"/>
  <c r="Q24" i="12"/>
  <c r="P24" i="12"/>
  <c r="O24" i="12"/>
  <c r="N24" i="12"/>
  <c r="M24" i="12"/>
  <c r="L24" i="12"/>
  <c r="K24" i="12"/>
  <c r="J24" i="12"/>
  <c r="I24" i="12"/>
  <c r="H24" i="12"/>
  <c r="G24" i="12"/>
  <c r="F24" i="12"/>
  <c r="Q15" i="12"/>
  <c r="P15" i="12"/>
  <c r="O15" i="12"/>
  <c r="N15" i="12"/>
  <c r="M15" i="12"/>
  <c r="L15" i="12"/>
  <c r="K15" i="12"/>
  <c r="J15" i="12"/>
  <c r="I15" i="12"/>
  <c r="H15" i="12"/>
  <c r="G15" i="12"/>
  <c r="F15" i="12"/>
  <c r="Q14" i="12"/>
  <c r="P14" i="12"/>
  <c r="O14" i="12"/>
  <c r="N14" i="12"/>
  <c r="M14" i="12"/>
  <c r="L14" i="12"/>
  <c r="K14" i="12"/>
  <c r="J14" i="12"/>
  <c r="I14" i="12"/>
  <c r="H14" i="12"/>
  <c r="G14" i="12"/>
  <c r="F14" i="12"/>
  <c r="Q13" i="12"/>
  <c r="P13" i="12"/>
  <c r="O13" i="12"/>
  <c r="N13" i="12"/>
  <c r="M13" i="12"/>
  <c r="L13" i="12"/>
  <c r="K13" i="12"/>
  <c r="J13" i="12"/>
  <c r="I13" i="12"/>
  <c r="H13" i="12"/>
  <c r="G13" i="12"/>
  <c r="F13" i="12"/>
  <c r="Q10" i="12"/>
  <c r="P10" i="12"/>
  <c r="O10" i="12"/>
  <c r="N10" i="12"/>
  <c r="M10" i="12"/>
  <c r="L10" i="12"/>
  <c r="K10" i="12"/>
  <c r="J10" i="12"/>
  <c r="I10" i="12"/>
  <c r="H10" i="12"/>
  <c r="G10" i="12"/>
  <c r="F10" i="12"/>
  <c r="Q9" i="12"/>
  <c r="P9" i="12"/>
  <c r="O9" i="12"/>
  <c r="N9" i="12"/>
  <c r="M9" i="12"/>
  <c r="L9" i="12"/>
  <c r="K9" i="12"/>
  <c r="J9" i="12"/>
  <c r="I9" i="12"/>
  <c r="H9" i="12"/>
  <c r="G9" i="12"/>
  <c r="F9" i="12"/>
  <c r="Q8" i="12"/>
  <c r="P8" i="12"/>
  <c r="O8" i="12"/>
  <c r="N8" i="12"/>
  <c r="M8" i="12"/>
  <c r="L8" i="12"/>
  <c r="K8" i="12"/>
  <c r="J8" i="12"/>
  <c r="I8" i="12"/>
  <c r="H8" i="12"/>
  <c r="G8" i="12"/>
  <c r="F8" i="12"/>
  <c r="Q7" i="12"/>
  <c r="P7" i="12"/>
  <c r="O7" i="12"/>
  <c r="N7" i="12"/>
  <c r="M7" i="12"/>
  <c r="L7" i="12"/>
  <c r="K7" i="12"/>
  <c r="J7" i="12"/>
  <c r="I7" i="12"/>
  <c r="H7" i="12"/>
  <c r="G7" i="12"/>
  <c r="F7" i="12"/>
  <c r="I104" i="64"/>
  <c r="I103" i="64"/>
  <c r="I99" i="64"/>
  <c r="I98" i="64"/>
  <c r="I93" i="64"/>
  <c r="I92" i="64"/>
  <c r="I91" i="64"/>
  <c r="I90" i="64"/>
  <c r="I89" i="64"/>
  <c r="I88" i="64"/>
  <c r="I84" i="64"/>
  <c r="I83" i="64"/>
  <c r="I82" i="64"/>
  <c r="I81" i="64"/>
  <c r="I80" i="64"/>
  <c r="I79" i="64"/>
  <c r="C201" i="60"/>
  <c r="C195" i="60"/>
  <c r="C194" i="60"/>
  <c r="C193" i="60"/>
  <c r="C189" i="60"/>
  <c r="C188" i="60"/>
  <c r="C187" i="60"/>
  <c r="C147" i="60"/>
  <c r="C114" i="60"/>
  <c r="C64" i="60"/>
  <c r="C63" i="60"/>
  <c r="C62" i="60"/>
  <c r="C61" i="60"/>
  <c r="C60" i="60"/>
  <c r="C56" i="60"/>
  <c r="C33" i="60"/>
  <c r="C32" i="4"/>
  <c r="C17" i="4"/>
  <c r="C8" i="4"/>
  <c r="C40" i="6"/>
  <c r="C26" i="6"/>
  <c r="C53" i="3"/>
  <c r="C52" i="3"/>
  <c r="C23" i="3"/>
  <c r="C22" i="3"/>
  <c r="E397" i="8"/>
  <c r="E396" i="8"/>
  <c r="E395" i="8"/>
  <c r="E394" i="8"/>
  <c r="E393" i="8"/>
  <c r="E392" i="8"/>
  <c r="E390" i="8"/>
  <c r="E389" i="8"/>
  <c r="E387" i="8"/>
  <c r="E386" i="8"/>
  <c r="E382" i="8"/>
  <c r="I165" i="8"/>
  <c r="G165" i="8"/>
  <c r="I164" i="8"/>
  <c r="G164" i="8"/>
  <c r="I163" i="8"/>
  <c r="G163" i="8"/>
  <c r="I148" i="8"/>
  <c r="G148" i="8"/>
  <c r="I147" i="8"/>
  <c r="G147" i="8"/>
  <c r="I146" i="8"/>
  <c r="G146" i="8"/>
  <c r="I128" i="8"/>
  <c r="G128" i="8"/>
  <c r="I127" i="8"/>
  <c r="G127" i="8"/>
  <c r="I126" i="8"/>
  <c r="G126" i="8"/>
  <c r="I110" i="8"/>
  <c r="G110" i="8"/>
  <c r="I109" i="8"/>
  <c r="G109" i="8"/>
  <c r="I108" i="8"/>
  <c r="G108" i="8"/>
  <c r="I107" i="8"/>
  <c r="G107" i="8"/>
  <c r="B23" i="8"/>
  <c r="I22" i="1"/>
  <c r="AW360" i="10"/>
  <c r="AW359" i="10"/>
  <c r="AW358" i="10"/>
  <c r="AW357" i="10"/>
  <c r="AW356" i="10"/>
  <c r="AW355" i="10"/>
  <c r="AW354" i="10"/>
  <c r="AW353" i="10"/>
  <c r="AW352" i="10"/>
  <c r="AW351" i="10"/>
  <c r="AW350" i="10"/>
  <c r="AW349" i="10"/>
  <c r="AW348" i="10"/>
  <c r="AW347" i="10"/>
  <c r="AW346" i="10"/>
  <c r="AW345" i="10"/>
  <c r="AW344" i="10"/>
  <c r="AW343" i="10"/>
  <c r="AW342" i="10"/>
  <c r="AW341" i="10"/>
  <c r="AW340" i="10"/>
  <c r="AW339" i="10"/>
  <c r="AW338" i="10"/>
  <c r="AW337" i="10"/>
  <c r="AW336" i="10"/>
  <c r="AW335" i="10"/>
  <c r="AW334" i="10"/>
  <c r="AW333" i="10"/>
  <c r="AW332" i="10"/>
  <c r="AW331" i="10"/>
  <c r="AW330" i="10"/>
  <c r="AW329" i="10"/>
  <c r="AW328" i="10"/>
  <c r="AW327" i="10"/>
  <c r="AW326" i="10"/>
  <c r="AW325" i="10"/>
  <c r="AW324" i="10"/>
  <c r="AW323" i="10"/>
  <c r="AW322" i="10"/>
  <c r="AW321" i="10"/>
  <c r="AW320" i="10"/>
  <c r="AW319" i="10"/>
  <c r="AW318" i="10"/>
  <c r="AW317" i="10"/>
  <c r="AW316" i="10"/>
  <c r="AW315" i="10"/>
  <c r="AW314" i="10"/>
  <c r="AW313" i="10"/>
  <c r="AW312" i="10"/>
  <c r="AW311" i="10"/>
  <c r="AW310" i="10"/>
  <c r="AW309" i="10"/>
  <c r="AW308" i="10"/>
  <c r="AW307" i="10"/>
  <c r="AW306" i="10"/>
  <c r="AW305" i="10"/>
  <c r="AW304" i="10"/>
  <c r="AW303" i="10"/>
  <c r="AW302" i="10"/>
  <c r="AW301" i="10"/>
  <c r="AW300" i="10"/>
  <c r="AW299" i="10"/>
  <c r="AW298" i="10"/>
  <c r="AW297" i="10"/>
  <c r="AW296" i="10"/>
  <c r="AW295" i="10"/>
  <c r="AW294" i="10"/>
  <c r="AW293" i="10"/>
  <c r="AW292" i="10"/>
  <c r="AW291" i="10"/>
  <c r="AW290" i="10"/>
  <c r="AW289" i="10"/>
  <c r="AW288" i="10"/>
  <c r="AW287" i="10"/>
  <c r="AW286" i="10"/>
  <c r="AW285" i="10"/>
  <c r="AW284" i="10"/>
  <c r="AW283" i="10"/>
  <c r="AW282" i="10"/>
  <c r="AW281" i="10"/>
  <c r="AW280" i="10"/>
  <c r="AW279" i="10"/>
  <c r="AW278" i="10"/>
  <c r="AW277" i="10"/>
  <c r="AW276" i="10"/>
  <c r="AW275" i="10"/>
  <c r="AW274" i="10"/>
  <c r="AW273" i="10"/>
  <c r="AW272" i="10"/>
  <c r="AW271" i="10"/>
  <c r="AW270" i="10"/>
  <c r="AW269" i="10"/>
  <c r="AW268" i="10"/>
  <c r="AW267" i="10"/>
  <c r="AW266" i="10"/>
  <c r="AW265" i="10"/>
  <c r="AW264" i="10"/>
  <c r="AW263" i="10"/>
  <c r="AW262" i="10"/>
  <c r="AW261" i="10"/>
  <c r="AW260" i="10"/>
  <c r="AW259" i="10"/>
  <c r="AW258" i="10"/>
  <c r="AW257" i="10"/>
  <c r="AW256" i="10"/>
  <c r="AW255" i="10"/>
  <c r="AW254" i="10"/>
  <c r="AW253" i="10"/>
  <c r="AW252" i="10"/>
  <c r="AW251" i="10"/>
  <c r="AW250" i="10"/>
  <c r="AW249" i="10"/>
  <c r="AW248" i="10"/>
  <c r="AW247" i="10"/>
  <c r="AW246" i="10"/>
  <c r="AW245" i="10"/>
  <c r="AW244" i="10"/>
  <c r="AW243" i="10"/>
  <c r="AW242" i="10"/>
  <c r="AW241" i="10"/>
  <c r="AW240" i="10"/>
  <c r="AW239" i="10"/>
  <c r="AW238" i="10"/>
  <c r="AW237" i="10"/>
  <c r="AW236" i="10"/>
  <c r="AW235" i="10"/>
  <c r="AW234" i="10"/>
  <c r="AW233" i="10"/>
  <c r="AW232" i="10"/>
  <c r="AW231" i="10"/>
  <c r="AW230" i="10"/>
  <c r="AW229" i="10"/>
  <c r="AW228" i="10"/>
  <c r="AW227" i="10"/>
  <c r="AW226" i="10"/>
  <c r="AW225" i="10"/>
  <c r="AW224" i="10"/>
  <c r="AW223" i="10"/>
  <c r="AW222" i="10"/>
  <c r="AW221" i="10"/>
  <c r="AW220" i="10"/>
  <c r="AW219" i="10"/>
  <c r="AW218" i="10"/>
  <c r="AW217" i="10"/>
  <c r="AW216" i="10"/>
  <c r="AW215" i="10"/>
  <c r="AW214" i="10"/>
  <c r="AW213" i="10"/>
  <c r="AW212" i="10"/>
  <c r="AW211" i="10"/>
  <c r="AW210" i="10"/>
  <c r="AW209" i="10"/>
  <c r="AW208" i="10"/>
  <c r="AW207" i="10"/>
  <c r="AW206" i="10"/>
  <c r="AW205" i="10"/>
  <c r="AW204" i="10"/>
  <c r="AW203" i="10"/>
  <c r="AW202" i="10"/>
  <c r="AW201" i="10"/>
  <c r="AW200" i="10"/>
  <c r="AW199" i="10"/>
  <c r="AW198" i="10"/>
  <c r="AW197" i="10"/>
  <c r="AW196" i="10"/>
  <c r="AW195" i="10"/>
  <c r="AW194" i="10"/>
  <c r="AW193" i="10"/>
  <c r="AW192" i="10"/>
  <c r="AW191" i="10"/>
  <c r="AW190" i="10"/>
  <c r="AW189" i="10"/>
  <c r="AW188" i="10"/>
  <c r="AW187" i="10"/>
  <c r="AW186" i="10"/>
  <c r="AW185" i="10"/>
  <c r="AW184" i="10"/>
  <c r="AW183" i="10"/>
  <c r="AW182" i="10"/>
  <c r="AW181" i="10"/>
  <c r="AW180" i="10"/>
  <c r="AW179" i="10"/>
  <c r="AW178" i="10"/>
  <c r="AW177" i="10"/>
  <c r="AW176" i="10"/>
  <c r="AW175" i="10"/>
  <c r="AW174" i="10"/>
  <c r="AW173" i="10"/>
  <c r="AW172" i="10"/>
  <c r="AW171" i="10"/>
  <c r="AW170" i="10"/>
  <c r="AW169" i="10"/>
  <c r="AW168" i="10"/>
  <c r="AW167" i="10"/>
  <c r="AW166" i="10"/>
  <c r="AW165" i="10"/>
  <c r="AW164" i="10"/>
  <c r="AW163" i="10"/>
  <c r="AW162" i="10"/>
  <c r="AW161" i="10"/>
  <c r="AW160" i="10"/>
  <c r="AW159" i="10"/>
  <c r="AW158" i="10"/>
  <c r="AW157" i="10"/>
  <c r="AW156" i="10"/>
  <c r="AW155" i="10"/>
  <c r="AW154" i="10"/>
  <c r="AW153" i="10"/>
  <c r="AW152" i="10"/>
  <c r="AW151" i="10"/>
  <c r="AW150" i="10"/>
  <c r="AW149" i="10"/>
  <c r="AW148" i="10"/>
  <c r="AW147" i="10"/>
  <c r="AW146" i="10"/>
  <c r="AW145" i="10"/>
  <c r="AW144" i="10"/>
  <c r="AW143" i="10"/>
  <c r="AW142" i="10"/>
  <c r="AW141" i="10"/>
  <c r="AW140" i="10"/>
  <c r="AW139" i="10"/>
  <c r="AW138" i="10"/>
  <c r="AW137" i="10"/>
  <c r="AW136" i="10"/>
  <c r="AW135" i="10"/>
  <c r="AW134" i="10"/>
  <c r="AW133" i="10"/>
  <c r="AW132" i="10"/>
  <c r="AW131" i="10"/>
  <c r="AW130" i="10"/>
  <c r="AW129" i="10"/>
  <c r="AW128" i="10"/>
  <c r="AW127" i="10"/>
  <c r="AW126" i="10"/>
  <c r="AW125" i="10"/>
  <c r="AW124" i="10"/>
  <c r="AW123" i="10"/>
  <c r="AW122" i="10"/>
  <c r="AW121" i="10"/>
  <c r="AW120" i="10"/>
  <c r="AW119" i="10"/>
  <c r="AW118" i="10"/>
  <c r="AW117" i="10"/>
  <c r="AW116" i="10"/>
  <c r="AW115" i="10"/>
  <c r="AW114" i="10"/>
  <c r="AW113" i="10"/>
  <c r="AW112" i="10"/>
  <c r="AW111" i="10"/>
  <c r="AW110" i="10"/>
  <c r="AW109" i="10"/>
  <c r="AW108" i="10"/>
  <c r="AW107" i="10"/>
  <c r="AW106" i="10"/>
  <c r="AW105" i="10"/>
  <c r="AW104" i="10"/>
  <c r="AW103" i="10"/>
  <c r="AW102" i="10"/>
  <c r="AW101" i="10"/>
  <c r="AW100" i="10"/>
  <c r="AW99" i="10"/>
  <c r="AW98" i="10"/>
  <c r="AW97" i="10"/>
  <c r="AW96" i="10"/>
  <c r="AW95" i="10"/>
  <c r="AW94" i="10"/>
  <c r="AW93" i="10"/>
  <c r="AW92" i="10"/>
  <c r="AW91" i="10"/>
  <c r="AW90" i="10"/>
  <c r="AW89" i="10"/>
  <c r="AW88" i="10"/>
  <c r="AW87" i="10"/>
  <c r="AW86" i="10"/>
  <c r="AW85" i="10"/>
  <c r="AW84" i="10"/>
  <c r="AW83" i="10"/>
  <c r="AW82" i="10"/>
  <c r="AW81" i="10"/>
  <c r="AW80" i="10"/>
  <c r="AW79" i="10"/>
  <c r="AW78" i="10"/>
  <c r="AW77" i="10"/>
  <c r="AW76" i="10"/>
  <c r="AW75" i="10"/>
  <c r="AW74" i="10"/>
  <c r="AW73" i="10"/>
  <c r="AW72" i="10"/>
  <c r="AW71" i="10"/>
  <c r="AW70" i="10"/>
  <c r="AW69" i="10"/>
  <c r="AW68" i="10"/>
  <c r="AW67" i="10"/>
  <c r="AW66" i="10"/>
  <c r="AW65" i="10"/>
  <c r="AW64" i="10"/>
  <c r="AW63" i="10"/>
  <c r="AW62" i="10"/>
  <c r="AW61" i="10"/>
  <c r="AW60" i="10"/>
  <c r="AW59" i="10"/>
  <c r="AW58" i="10"/>
  <c r="AW57" i="10"/>
  <c r="AW56" i="10"/>
  <c r="AW55" i="10"/>
  <c r="AW54" i="10"/>
  <c r="AW53" i="10"/>
  <c r="AW52" i="10"/>
  <c r="AW51" i="10"/>
  <c r="AW50" i="10"/>
  <c r="AW49" i="10"/>
  <c r="AW48" i="10"/>
  <c r="AW47" i="10"/>
  <c r="AW46" i="10"/>
  <c r="AW45" i="10"/>
  <c r="AW44" i="10"/>
  <c r="AW43" i="10"/>
  <c r="AW42" i="10"/>
  <c r="AW41" i="10"/>
  <c r="AW40" i="10"/>
  <c r="AW39" i="10"/>
  <c r="AW38" i="10"/>
  <c r="AW37" i="10"/>
  <c r="AW36" i="10"/>
  <c r="AW35" i="10"/>
  <c r="AW34" i="10"/>
  <c r="AW33" i="10"/>
  <c r="AW32" i="10"/>
  <c r="AW31" i="10"/>
  <c r="AW30" i="10"/>
  <c r="AW29" i="10"/>
  <c r="AW28" i="10"/>
  <c r="AW27" i="10"/>
  <c r="AW26" i="10"/>
  <c r="AW25" i="10"/>
  <c r="AW24" i="10"/>
  <c r="AW23" i="10"/>
  <c r="AW22" i="10"/>
  <c r="AW21" i="10"/>
  <c r="AW20" i="10"/>
  <c r="AW19" i="10"/>
  <c r="AW18" i="10"/>
  <c r="AW17" i="10"/>
  <c r="AW16" i="10"/>
  <c r="AW15" i="10"/>
  <c r="AW14" i="10"/>
  <c r="AW13" i="10"/>
  <c r="AW12" i="10"/>
  <c r="AW11" i="10"/>
  <c r="AW10" i="10"/>
  <c r="AW9" i="10"/>
  <c r="BA120" i="10" a="1"/>
  <c r="AY120" i="10" a="1"/>
  <c r="BA119" i="10" a="1"/>
  <c r="AY119" i="10" a="1"/>
  <c r="BA118" i="10" a="1"/>
  <c r="AY118" i="10" a="1"/>
  <c r="BA117" i="10" a="1"/>
  <c r="AY117" i="10" a="1"/>
  <c r="BA116" i="10" a="1"/>
  <c r="AY116" i="10" a="1"/>
  <c r="BA115" i="10" a="1"/>
  <c r="AY115" i="10" a="1"/>
  <c r="BA114" i="10" a="1"/>
  <c r="AY114" i="10" a="1"/>
  <c r="BA113" i="10" a="1"/>
  <c r="AY113" i="10" a="1"/>
  <c r="BA112" i="10" a="1"/>
  <c r="AY112" i="10" a="1"/>
  <c r="BA111" i="10" a="1"/>
  <c r="AY111" i="10" a="1"/>
  <c r="BA110" i="10" a="1"/>
  <c r="AY110" i="10" a="1"/>
  <c r="BA109" i="10" a="1"/>
  <c r="AY109" i="10" a="1"/>
  <c r="BA108" i="10" a="1"/>
  <c r="AY108" i="10" a="1"/>
  <c r="BA107" i="10" a="1"/>
  <c r="AY107" i="10" a="1"/>
  <c r="BA106" i="10" a="1"/>
  <c r="AY106" i="10" a="1"/>
  <c r="BA105" i="10" a="1"/>
  <c r="AY105" i="10" a="1"/>
  <c r="BA104" i="10" a="1"/>
  <c r="AY104" i="10" a="1"/>
  <c r="BA103" i="10" a="1"/>
  <c r="AY103" i="10" a="1"/>
  <c r="BA102" i="10" a="1"/>
  <c r="AY102" i="10" a="1"/>
  <c r="BA101" i="10" a="1"/>
  <c r="AY101" i="10" a="1"/>
  <c r="BA100" i="10" a="1"/>
  <c r="AY100" i="10" a="1"/>
  <c r="BA99" i="10" a="1"/>
  <c r="AY99" i="10" a="1"/>
  <c r="BA98" i="10" a="1"/>
  <c r="AY98" i="10" a="1"/>
  <c r="BA97" i="10" a="1"/>
  <c r="AY97" i="10" a="1"/>
  <c r="BA96" i="10" a="1"/>
  <c r="AY96" i="10" a="1"/>
  <c r="BA95" i="10" a="1"/>
  <c r="AY95" i="10" a="1"/>
  <c r="BA94" i="10" a="1"/>
  <c r="AY94" i="10" a="1"/>
  <c r="BA93" i="10" a="1"/>
  <c r="AY93" i="10" a="1"/>
  <c r="BA92" i="10" a="1"/>
  <c r="AY92" i="10" a="1"/>
  <c r="BA91" i="10" a="1"/>
  <c r="AY91" i="10" a="1"/>
  <c r="BA90" i="10" a="1"/>
  <c r="AY90" i="10" a="1"/>
  <c r="BA89" i="10" a="1"/>
  <c r="AY89" i="10" a="1"/>
  <c r="C6" i="8"/>
  <c r="C3" i="8"/>
  <c r="C31" i="4"/>
  <c r="H5" i="1" l="1"/>
  <c r="X362" i="10" l="1"/>
  <c r="M66" i="8" l="1"/>
  <c r="M65" i="8"/>
  <c r="S362" i="10" l="1"/>
  <c r="M242" i="8" l="1"/>
  <c r="M241" i="8"/>
  <c r="M240" i="8"/>
  <c r="AG239" i="8"/>
  <c r="AH239" i="8" s="1"/>
  <c r="M172" i="8"/>
  <c r="M171" i="8"/>
  <c r="AG170" i="8"/>
  <c r="AH170" i="8" s="1"/>
  <c r="M156" i="8"/>
  <c r="M142" i="8"/>
  <c r="M122" i="8"/>
  <c r="M100" i="8"/>
  <c r="M99" i="8"/>
  <c r="AG98" i="8"/>
  <c r="AH98" i="8" s="1"/>
  <c r="M64" i="8"/>
  <c r="M63" i="8"/>
  <c r="AG62" i="8"/>
  <c r="AH62" i="8" s="1"/>
  <c r="H4" i="1" l="1"/>
  <c r="C6" i="56" l="1"/>
  <c r="C5" i="56"/>
  <c r="C9" i="64"/>
  <c r="AO362" i="10" l="1"/>
  <c r="AN362" i="10"/>
  <c r="AM362" i="10"/>
  <c r="C198" i="2" l="1"/>
  <c r="C181" i="2" l="1"/>
  <c r="C5" i="60" l="1"/>
  <c r="D166" i="12"/>
  <c r="C12" i="49"/>
  <c r="D109" i="12" s="1"/>
  <c r="E109" i="12" s="1"/>
  <c r="I49" i="1"/>
  <c r="C87" i="1"/>
  <c r="AJ442" i="8" s="1"/>
  <c r="A12" i="5"/>
  <c r="M246" i="8"/>
  <c r="M245" i="8"/>
  <c r="M244" i="8"/>
  <c r="AG243" i="8"/>
  <c r="AH243" i="8" s="1"/>
  <c r="C16" i="8"/>
  <c r="M70" i="8"/>
  <c r="D15" i="12"/>
  <c r="C15" i="3"/>
  <c r="C65" i="49" s="1"/>
  <c r="C5" i="62"/>
  <c r="D362" i="10"/>
  <c r="E362" i="10"/>
  <c r="F362" i="10"/>
  <c r="G362" i="10"/>
  <c r="A362" i="10"/>
  <c r="H362" i="10"/>
  <c r="I362" i="10"/>
  <c r="J362" i="10"/>
  <c r="K362" i="10"/>
  <c r="L362" i="10"/>
  <c r="M362" i="10"/>
  <c r="N362" i="10"/>
  <c r="O362" i="10"/>
  <c r="P362" i="10"/>
  <c r="Q362" i="10"/>
  <c r="R362" i="10"/>
  <c r="T362" i="10"/>
  <c r="U362" i="10"/>
  <c r="V362" i="10"/>
  <c r="W362" i="10"/>
  <c r="Y362" i="10"/>
  <c r="Z362" i="10"/>
  <c r="AA362" i="10"/>
  <c r="AB362" i="10"/>
  <c r="AC362" i="10"/>
  <c r="AD362" i="10"/>
  <c r="AE362" i="10"/>
  <c r="AF362" i="10"/>
  <c r="AG362" i="10"/>
  <c r="AH362" i="10"/>
  <c r="AI362" i="10"/>
  <c r="AJ362" i="10"/>
  <c r="AK362" i="10"/>
  <c r="AL362" i="10"/>
  <c r="AP362" i="10"/>
  <c r="AQ362" i="10"/>
  <c r="AR362" i="10"/>
  <c r="AS362" i="10"/>
  <c r="AT362" i="10"/>
  <c r="AU362" i="10"/>
  <c r="AV362" i="10"/>
  <c r="C19" i="3"/>
  <c r="E59" i="1" s="1"/>
  <c r="C11" i="3"/>
  <c r="E47" i="1" s="1"/>
  <c r="C18" i="3"/>
  <c r="C45" i="3"/>
  <c r="C46" i="3" s="1"/>
  <c r="C57" i="3"/>
  <c r="C6" i="3"/>
  <c r="C7" i="3"/>
  <c r="C5" i="6"/>
  <c r="C36" i="1"/>
  <c r="C37" i="1"/>
  <c r="E442" i="8" s="1"/>
  <c r="C8" i="6"/>
  <c r="C5" i="49"/>
  <c r="C19" i="8" s="1"/>
  <c r="C5" i="4"/>
  <c r="C6" i="6"/>
  <c r="C68" i="3"/>
  <c r="C69" i="3" s="1"/>
  <c r="C77" i="3"/>
  <c r="D13" i="12" s="1"/>
  <c r="C124" i="60"/>
  <c r="C126" i="8"/>
  <c r="C127" i="8"/>
  <c r="C146" i="8"/>
  <c r="C147" i="8"/>
  <c r="C148" i="8"/>
  <c r="J163" i="8"/>
  <c r="J164" i="8"/>
  <c r="J165" i="8"/>
  <c r="C195" i="8"/>
  <c r="C196" i="8"/>
  <c r="C197" i="8"/>
  <c r="C198" i="8"/>
  <c r="C19" i="49"/>
  <c r="C53" i="49"/>
  <c r="C54" i="49"/>
  <c r="C55" i="49"/>
  <c r="C56" i="49"/>
  <c r="C28" i="49"/>
  <c r="C190" i="8"/>
  <c r="C48" i="8"/>
  <c r="C209" i="8"/>
  <c r="C6" i="62"/>
  <c r="E113" i="1" s="1"/>
  <c r="D338" i="8"/>
  <c r="M313" i="8"/>
  <c r="M312" i="8"/>
  <c r="M311" i="8"/>
  <c r="M310" i="8"/>
  <c r="M308" i="8"/>
  <c r="M307" i="8"/>
  <c r="M306" i="8"/>
  <c r="M305" i="8"/>
  <c r="AF313" i="8"/>
  <c r="AC313" i="8"/>
  <c r="Z313" i="8"/>
  <c r="AE312" i="8"/>
  <c r="AB312" i="8"/>
  <c r="Y312" i="8"/>
  <c r="AD311" i="8"/>
  <c r="AA311" i="8"/>
  <c r="X311" i="8"/>
  <c r="AF310" i="8"/>
  <c r="AE310" i="8"/>
  <c r="AD310" i="8"/>
  <c r="AC310" i="8"/>
  <c r="AB310" i="8"/>
  <c r="AA310" i="8"/>
  <c r="Z310" i="8"/>
  <c r="Y310" i="8"/>
  <c r="X310" i="8"/>
  <c r="AG309" i="8"/>
  <c r="AH309" i="8" s="1"/>
  <c r="AF308" i="8"/>
  <c r="AC308" i="8"/>
  <c r="Z308" i="8"/>
  <c r="AE307" i="8"/>
  <c r="AB307" i="8"/>
  <c r="Y307" i="8"/>
  <c r="AD306" i="8"/>
  <c r="AA306" i="8"/>
  <c r="X306" i="8"/>
  <c r="AF305" i="8"/>
  <c r="AE305" i="8"/>
  <c r="AD305" i="8"/>
  <c r="AC305" i="8"/>
  <c r="AB305" i="8"/>
  <c r="AA305" i="8"/>
  <c r="Z305" i="8"/>
  <c r="Y305" i="8"/>
  <c r="X305" i="8"/>
  <c r="AG304" i="8"/>
  <c r="AH304" i="8" s="1"/>
  <c r="M159" i="8"/>
  <c r="M158" i="8"/>
  <c r="M157" i="8"/>
  <c r="C23" i="57"/>
  <c r="C7" i="60"/>
  <c r="C165" i="8"/>
  <c r="C163" i="8"/>
  <c r="C128" i="8"/>
  <c r="M69" i="8"/>
  <c r="M68" i="8"/>
  <c r="C101" i="57"/>
  <c r="C102" i="57"/>
  <c r="C191" i="8"/>
  <c r="C192" i="8"/>
  <c r="C193" i="8"/>
  <c r="C244" i="2"/>
  <c r="C169" i="2"/>
  <c r="C164" i="8"/>
  <c r="AG270" i="8"/>
  <c r="AH270" i="8" s="1"/>
  <c r="AG275" i="8"/>
  <c r="AH275" i="8" s="1"/>
  <c r="AG276" i="8"/>
  <c r="AH276" i="8" s="1"/>
  <c r="M272" i="8"/>
  <c r="M273" i="8"/>
  <c r="M274" i="8"/>
  <c r="M271" i="8"/>
  <c r="A7" i="5"/>
  <c r="A8" i="5"/>
  <c r="A9" i="5"/>
  <c r="A10" i="5"/>
  <c r="A11" i="5"/>
  <c r="C36" i="57"/>
  <c r="C66" i="57" s="1"/>
  <c r="C84" i="57"/>
  <c r="C98" i="57"/>
  <c r="C99" i="57"/>
  <c r="C107" i="57"/>
  <c r="C115" i="57"/>
  <c r="C120" i="57"/>
  <c r="C121" i="57"/>
  <c r="C124" i="57"/>
  <c r="C164" i="57"/>
  <c r="C167" i="57"/>
  <c r="C174" i="57"/>
  <c r="C175" i="57"/>
  <c r="C178" i="57"/>
  <c r="C179" i="57"/>
  <c r="C203" i="12"/>
  <c r="C204" i="12"/>
  <c r="C51" i="56"/>
  <c r="C57" i="11"/>
  <c r="C111" i="60"/>
  <c r="C112" i="60"/>
  <c r="C113" i="60" s="1"/>
  <c r="C33" i="6"/>
  <c r="C35" i="6"/>
  <c r="C12" i="62" s="1"/>
  <c r="C50" i="3"/>
  <c r="C56" i="3"/>
  <c r="C61" i="3"/>
  <c r="C10" i="62"/>
  <c r="C39" i="55"/>
  <c r="C21" i="48"/>
  <c r="C65" i="2"/>
  <c r="C82" i="2"/>
  <c r="C168" i="2"/>
  <c r="C195" i="2"/>
  <c r="I20" i="58"/>
  <c r="J20" i="58"/>
  <c r="I22" i="58"/>
  <c r="J22" i="58"/>
  <c r="I23" i="58"/>
  <c r="J23" i="58"/>
  <c r="I6" i="58"/>
  <c r="J6" i="58"/>
  <c r="I12" i="58"/>
  <c r="J12" i="58"/>
  <c r="I11" i="58"/>
  <c r="J11" i="58"/>
  <c r="I27" i="58"/>
  <c r="J27" i="58"/>
  <c r="I41" i="58"/>
  <c r="J41" i="58"/>
  <c r="I32" i="58"/>
  <c r="J32" i="58"/>
  <c r="I35" i="58"/>
  <c r="J35" i="58"/>
  <c r="I36" i="58"/>
  <c r="J36" i="58"/>
  <c r="I37" i="58"/>
  <c r="J37" i="58"/>
  <c r="I39" i="58"/>
  <c r="J39" i="58"/>
  <c r="I5" i="58"/>
  <c r="J5" i="58"/>
  <c r="I8" i="58"/>
  <c r="J8" i="58"/>
  <c r="I26" i="58"/>
  <c r="J26" i="58"/>
  <c r="I14" i="58"/>
  <c r="J14" i="58"/>
  <c r="I10" i="58"/>
  <c r="J10" i="58"/>
  <c r="I15" i="58"/>
  <c r="J15" i="58"/>
  <c r="I16" i="58"/>
  <c r="J16" i="58"/>
  <c r="I17" i="58"/>
  <c r="J17" i="58"/>
  <c r="I28" i="58"/>
  <c r="J28" i="58"/>
  <c r="I30" i="58"/>
  <c r="J30" i="58"/>
  <c r="I31" i="58"/>
  <c r="J31" i="58"/>
  <c r="I18" i="58"/>
  <c r="J18" i="58"/>
  <c r="I38" i="58"/>
  <c r="J38" i="58"/>
  <c r="I34" i="58"/>
  <c r="J34" i="58"/>
  <c r="I40" i="58"/>
  <c r="J40" i="58"/>
  <c r="I42" i="58"/>
  <c r="J42" i="58"/>
  <c r="I43" i="58"/>
  <c r="J43" i="58"/>
  <c r="I44" i="58"/>
  <c r="J44" i="58"/>
  <c r="I45" i="58"/>
  <c r="J45" i="58"/>
  <c r="I13" i="58"/>
  <c r="J13" i="58"/>
  <c r="C15" i="8"/>
  <c r="C17" i="8"/>
  <c r="B18" i="8"/>
  <c r="C18" i="8"/>
  <c r="M40" i="8"/>
  <c r="M41" i="8"/>
  <c r="M42" i="8"/>
  <c r="M43" i="8"/>
  <c r="AG44" i="8"/>
  <c r="AH44" i="8" s="1"/>
  <c r="M45" i="8"/>
  <c r="M46" i="8"/>
  <c r="M47" i="8"/>
  <c r="M48" i="8"/>
  <c r="M49" i="8"/>
  <c r="M50" i="8"/>
  <c r="AG51" i="8"/>
  <c r="AH51" i="8" s="1"/>
  <c r="AG52" i="8"/>
  <c r="AH52" i="8" s="1"/>
  <c r="M53" i="8"/>
  <c r="M54" i="8"/>
  <c r="M55" i="8"/>
  <c r="M56" i="8"/>
  <c r="AG57" i="8"/>
  <c r="AH57" i="8" s="1"/>
  <c r="M58" i="8"/>
  <c r="M59" i="8"/>
  <c r="M60" i="8"/>
  <c r="M61" i="8"/>
  <c r="AG67" i="8"/>
  <c r="AH67" i="8" s="1"/>
  <c r="AG71" i="8"/>
  <c r="AH71" i="8" s="1"/>
  <c r="AG72" i="8"/>
  <c r="AH72" i="8" s="1"/>
  <c r="M73" i="8"/>
  <c r="M74" i="8"/>
  <c r="M75" i="8"/>
  <c r="M76" i="8"/>
  <c r="M77" i="8"/>
  <c r="AG78" i="8"/>
  <c r="AH78" i="8" s="1"/>
  <c r="M79" i="8"/>
  <c r="M80" i="8"/>
  <c r="M81" i="8"/>
  <c r="M82" i="8"/>
  <c r="AG83" i="8"/>
  <c r="AH83" i="8" s="1"/>
  <c r="M84" i="8"/>
  <c r="M85" i="8"/>
  <c r="M86" i="8"/>
  <c r="M87" i="8"/>
  <c r="M88" i="8"/>
  <c r="AG89" i="8"/>
  <c r="AH89" i="8" s="1"/>
  <c r="M90" i="8"/>
  <c r="M91" i="8"/>
  <c r="M92" i="8"/>
  <c r="M93" i="8"/>
  <c r="M94" i="8"/>
  <c r="M95" i="8"/>
  <c r="M96" i="8"/>
  <c r="M97" i="8"/>
  <c r="AG101" i="8"/>
  <c r="AH101" i="8" s="1"/>
  <c r="M102" i="8"/>
  <c r="M103" i="8"/>
  <c r="M104" i="8"/>
  <c r="M105" i="8"/>
  <c r="AG106" i="8"/>
  <c r="AH106" i="8" s="1"/>
  <c r="E107" i="8"/>
  <c r="F107" i="8"/>
  <c r="H107" i="8"/>
  <c r="M107" i="8"/>
  <c r="E108" i="8"/>
  <c r="F108" i="8"/>
  <c r="H108" i="8"/>
  <c r="M108" i="8"/>
  <c r="E109" i="8"/>
  <c r="F109" i="8"/>
  <c r="H109" i="8"/>
  <c r="M109" i="8"/>
  <c r="E110" i="8"/>
  <c r="F110" i="8"/>
  <c r="H110" i="8"/>
  <c r="M110" i="8"/>
  <c r="AG111" i="8"/>
  <c r="AH111" i="8" s="1"/>
  <c r="AG112" i="8"/>
  <c r="AH112" i="8" s="1"/>
  <c r="M113" i="8"/>
  <c r="M114" i="8"/>
  <c r="M115" i="8"/>
  <c r="M116" i="8"/>
  <c r="M117" i="8"/>
  <c r="M118" i="8"/>
  <c r="M119" i="8"/>
  <c r="M120" i="8"/>
  <c r="M121" i="8"/>
  <c r="M123" i="8"/>
  <c r="M124" i="8"/>
  <c r="M125" i="8"/>
  <c r="E126" i="8"/>
  <c r="F126" i="8"/>
  <c r="H126" i="8"/>
  <c r="M126" i="8"/>
  <c r="E127" i="8"/>
  <c r="F127" i="8"/>
  <c r="H127" i="8"/>
  <c r="M127" i="8"/>
  <c r="E128" i="8"/>
  <c r="F128" i="8"/>
  <c r="H128" i="8"/>
  <c r="M128" i="8"/>
  <c r="AG129" i="8"/>
  <c r="AH129" i="8" s="1"/>
  <c r="M130" i="8"/>
  <c r="M131" i="8"/>
  <c r="M132" i="8"/>
  <c r="M133" i="8"/>
  <c r="M134" i="8"/>
  <c r="M135" i="8"/>
  <c r="M136" i="8"/>
  <c r="M137" i="8"/>
  <c r="M138" i="8"/>
  <c r="M139" i="8"/>
  <c r="M140" i="8"/>
  <c r="M141" i="8"/>
  <c r="M143" i="8"/>
  <c r="M144" i="8"/>
  <c r="M145" i="8"/>
  <c r="E146" i="8"/>
  <c r="F146" i="8"/>
  <c r="H146" i="8"/>
  <c r="M146" i="8"/>
  <c r="E147" i="8"/>
  <c r="F147" i="8"/>
  <c r="H147" i="8"/>
  <c r="M147" i="8"/>
  <c r="E148" i="8"/>
  <c r="F148" i="8"/>
  <c r="H148" i="8"/>
  <c r="M148" i="8"/>
  <c r="AG149" i="8"/>
  <c r="AH149" i="8" s="1"/>
  <c r="M150" i="8"/>
  <c r="M151" i="8"/>
  <c r="M152" i="8"/>
  <c r="M153" i="8"/>
  <c r="M154" i="8"/>
  <c r="M155" i="8"/>
  <c r="M160" i="8"/>
  <c r="M161" i="8"/>
  <c r="M162" i="8"/>
  <c r="E163" i="8"/>
  <c r="F163" i="8"/>
  <c r="H163" i="8"/>
  <c r="M163" i="8"/>
  <c r="E164" i="8"/>
  <c r="F164" i="8"/>
  <c r="H164" i="8"/>
  <c r="M164" i="8"/>
  <c r="E165" i="8"/>
  <c r="F165" i="8"/>
  <c r="H165" i="8"/>
  <c r="M165" i="8"/>
  <c r="AG166" i="8"/>
  <c r="AH166" i="8" s="1"/>
  <c r="M167" i="8"/>
  <c r="M168" i="8"/>
  <c r="M169" i="8"/>
  <c r="AG173" i="8"/>
  <c r="AH173" i="8" s="1"/>
  <c r="M174" i="8"/>
  <c r="M175" i="8"/>
  <c r="M176" i="8"/>
  <c r="M177" i="8"/>
  <c r="AG178" i="8"/>
  <c r="AH178" i="8" s="1"/>
  <c r="AG179" i="8"/>
  <c r="AH179" i="8" s="1"/>
  <c r="M180" i="8"/>
  <c r="M181" i="8"/>
  <c r="M182" i="8"/>
  <c r="M183" i="8"/>
  <c r="AG184" i="8"/>
  <c r="AH184" i="8" s="1"/>
  <c r="M185" i="8"/>
  <c r="M186" i="8"/>
  <c r="M187" i="8"/>
  <c r="M188" i="8"/>
  <c r="AG189" i="8"/>
  <c r="AH189" i="8" s="1"/>
  <c r="M190" i="8"/>
  <c r="M191" i="8"/>
  <c r="M192" i="8"/>
  <c r="M193" i="8"/>
  <c r="AG194" i="8"/>
  <c r="AH194" i="8" s="1"/>
  <c r="M195" i="8"/>
  <c r="M196" i="8"/>
  <c r="M197" i="8"/>
  <c r="M198" i="8"/>
  <c r="M199" i="8"/>
  <c r="M200" i="8"/>
  <c r="M201" i="8"/>
  <c r="M202" i="8"/>
  <c r="M203" i="8"/>
  <c r="M204" i="8"/>
  <c r="M205" i="8"/>
  <c r="AG206" i="8"/>
  <c r="AH206" i="8" s="1"/>
  <c r="M207" i="8"/>
  <c r="M208" i="8"/>
  <c r="M209" i="8"/>
  <c r="AG210" i="8"/>
  <c r="AH210" i="8" s="1"/>
  <c r="AG211" i="8"/>
  <c r="AH211" i="8" s="1"/>
  <c r="M212" i="8"/>
  <c r="M213" i="8"/>
  <c r="M214" i="8"/>
  <c r="M215" i="8"/>
  <c r="M216" i="8"/>
  <c r="M217" i="8"/>
  <c r="M218" i="8"/>
  <c r="M219" i="8"/>
  <c r="M220" i="8"/>
  <c r="AG221" i="8"/>
  <c r="AH221" i="8" s="1"/>
  <c r="M222" i="8"/>
  <c r="M223" i="8"/>
  <c r="M224" i="8"/>
  <c r="M225" i="8"/>
  <c r="AG226" i="8"/>
  <c r="AH226" i="8" s="1"/>
  <c r="M227" i="8"/>
  <c r="M228" i="8"/>
  <c r="M229" i="8"/>
  <c r="M230" i="8"/>
  <c r="AG231" i="8"/>
  <c r="AH231" i="8" s="1"/>
  <c r="AG232" i="8"/>
  <c r="AH232" i="8" s="1"/>
  <c r="B234" i="8"/>
  <c r="M234" i="8" s="1"/>
  <c r="AG235" i="8"/>
  <c r="AH235" i="8" s="1"/>
  <c r="M236" i="8"/>
  <c r="M237" i="8"/>
  <c r="M238" i="8"/>
  <c r="AG247" i="8"/>
  <c r="AH247" i="8" s="1"/>
  <c r="M248" i="8"/>
  <c r="AG249" i="8"/>
  <c r="AH249" i="8" s="1"/>
  <c r="M250" i="8"/>
  <c r="M251" i="8"/>
  <c r="AG252" i="8"/>
  <c r="AH252" i="8" s="1"/>
  <c r="M253" i="8"/>
  <c r="M254" i="8"/>
  <c r="AG255" i="8"/>
  <c r="AH255" i="8" s="1"/>
  <c r="M256" i="8"/>
  <c r="M257" i="8"/>
  <c r="AG258" i="8"/>
  <c r="AH258" i="8" s="1"/>
  <c r="M259" i="8"/>
  <c r="M260" i="8"/>
  <c r="AG261" i="8"/>
  <c r="AH261" i="8" s="1"/>
  <c r="M262" i="8"/>
  <c r="M263" i="8"/>
  <c r="M264" i="8"/>
  <c r="M265" i="8"/>
  <c r="M266" i="8"/>
  <c r="M267" i="8"/>
  <c r="AG268" i="8"/>
  <c r="AH268" i="8" s="1"/>
  <c r="M269" i="8"/>
  <c r="M277" i="8"/>
  <c r="X277" i="8"/>
  <c r="Y277" i="8"/>
  <c r="Z277" i="8"/>
  <c r="AA277" i="8"/>
  <c r="AB277" i="8"/>
  <c r="AC277" i="8"/>
  <c r="AD277" i="8"/>
  <c r="AE277" i="8"/>
  <c r="AF277" i="8"/>
  <c r="M278" i="8"/>
  <c r="X278" i="8"/>
  <c r="AA278" i="8"/>
  <c r="AD278" i="8"/>
  <c r="M279" i="8"/>
  <c r="Y279" i="8"/>
  <c r="AB279" i="8"/>
  <c r="AE279" i="8"/>
  <c r="M280" i="8"/>
  <c r="Z280" i="8"/>
  <c r="AC280" i="8"/>
  <c r="AF280" i="8"/>
  <c r="AG281" i="8"/>
  <c r="AH281" i="8" s="1"/>
  <c r="AG287" i="8"/>
  <c r="AH287" i="8" s="1"/>
  <c r="AG290" i="8"/>
  <c r="AH290" i="8" s="1"/>
  <c r="M291" i="8"/>
  <c r="X291" i="8"/>
  <c r="Y291" i="8"/>
  <c r="Z291" i="8"/>
  <c r="AA291" i="8"/>
  <c r="AB291" i="8"/>
  <c r="AC291" i="8"/>
  <c r="AD291" i="8"/>
  <c r="AE291" i="8"/>
  <c r="AF291" i="8"/>
  <c r="M292" i="8"/>
  <c r="X292" i="8"/>
  <c r="AA292" i="8"/>
  <c r="AD292" i="8"/>
  <c r="M293" i="8"/>
  <c r="Y293" i="8"/>
  <c r="AB293" i="8"/>
  <c r="AE293" i="8"/>
  <c r="M294" i="8"/>
  <c r="Z294" i="8"/>
  <c r="AC294" i="8"/>
  <c r="AF294" i="8"/>
  <c r="AG295" i="8"/>
  <c r="AH295" i="8" s="1"/>
  <c r="AG301" i="8"/>
  <c r="AH301" i="8" s="1"/>
  <c r="X314" i="8"/>
  <c r="Y314" i="8"/>
  <c r="Z314" i="8"/>
  <c r="AA314" i="8"/>
  <c r="AB314" i="8"/>
  <c r="AC314" i="8"/>
  <c r="AD314" i="8"/>
  <c r="AE314" i="8"/>
  <c r="AF314" i="8"/>
  <c r="D333" i="8"/>
  <c r="C424" i="8" s="1"/>
  <c r="D339" i="8"/>
  <c r="C430" i="8" s="1"/>
  <c r="D342" i="8"/>
  <c r="C433" i="8" s="1"/>
  <c r="D343" i="8"/>
  <c r="C434" i="8" s="1"/>
  <c r="D344" i="8"/>
  <c r="C435" i="8" s="1"/>
  <c r="C403" i="8"/>
  <c r="H403" i="8" s="1"/>
  <c r="H32" i="1"/>
  <c r="H33" i="1"/>
  <c r="I33" i="1"/>
  <c r="C45" i="1"/>
  <c r="J442" i="8" s="1"/>
  <c r="C46" i="1"/>
  <c r="K442" i="8" s="1"/>
  <c r="B49" i="1"/>
  <c r="C49" i="1" s="1"/>
  <c r="N442" i="8" s="1"/>
  <c r="B55" i="1"/>
  <c r="B73" i="1"/>
  <c r="C80" i="1" s="1"/>
  <c r="AD442" i="8" s="1"/>
  <c r="C83" i="1"/>
  <c r="AF442" i="8" s="1"/>
  <c r="C84" i="1"/>
  <c r="AG442" i="8" s="1"/>
  <c r="C86" i="1"/>
  <c r="E98" i="1"/>
  <c r="B362" i="10"/>
  <c r="C444" i="8"/>
  <c r="C443" i="8"/>
  <c r="K164" i="8" l="1"/>
  <c r="AG164" i="8" s="1"/>
  <c r="AH164" i="8" s="1"/>
  <c r="I209" i="8"/>
  <c r="K209" i="8"/>
  <c r="K163" i="8"/>
  <c r="AG163" i="8" s="1"/>
  <c r="AH163" i="8" s="1"/>
  <c r="K165" i="8"/>
  <c r="AG165" i="8" s="1"/>
  <c r="AH165" i="8" s="1"/>
  <c r="I48" i="8"/>
  <c r="J48" i="8" s="1"/>
  <c r="C220" i="60"/>
  <c r="C219" i="60"/>
  <c r="C85" i="56"/>
  <c r="C82" i="56"/>
  <c r="G43" i="8"/>
  <c r="G42" i="8"/>
  <c r="G41" i="8"/>
  <c r="G40" i="8"/>
  <c r="C37" i="62"/>
  <c r="E385" i="8"/>
  <c r="J259" i="8"/>
  <c r="G254" i="8"/>
  <c r="K257" i="8"/>
  <c r="C38" i="62"/>
  <c r="I257" i="8"/>
  <c r="J253" i="8"/>
  <c r="I260" i="8"/>
  <c r="G257" i="8"/>
  <c r="G251" i="8"/>
  <c r="C29" i="62"/>
  <c r="K260" i="8"/>
  <c r="K256" i="8"/>
  <c r="C28" i="62"/>
  <c r="J256" i="8"/>
  <c r="C210" i="60"/>
  <c r="G260" i="8"/>
  <c r="K254" i="8"/>
  <c r="E384" i="8"/>
  <c r="C209" i="60"/>
  <c r="K259" i="8"/>
  <c r="I254" i="8"/>
  <c r="C232" i="60"/>
  <c r="K253" i="8"/>
  <c r="K127" i="8"/>
  <c r="AG127" i="8" s="1"/>
  <c r="AH127" i="8" s="1"/>
  <c r="L109" i="12"/>
  <c r="K109" i="12"/>
  <c r="J109" i="12"/>
  <c r="Q109" i="12"/>
  <c r="I109" i="12"/>
  <c r="P109" i="12"/>
  <c r="H109" i="12"/>
  <c r="O109" i="12"/>
  <c r="G109" i="12"/>
  <c r="N109" i="12"/>
  <c r="F109" i="12"/>
  <c r="M109" i="12"/>
  <c r="K128" i="8"/>
  <c r="AG128" i="8" s="1"/>
  <c r="AH128" i="8" s="1"/>
  <c r="K148" i="8"/>
  <c r="AG148" i="8" s="1"/>
  <c r="AH148" i="8" s="1"/>
  <c r="C84" i="4"/>
  <c r="E367" i="8"/>
  <c r="E366" i="8"/>
  <c r="K147" i="8"/>
  <c r="AG147" i="8" s="1"/>
  <c r="AH147" i="8" s="1"/>
  <c r="K146" i="8"/>
  <c r="AG146" i="8" s="1"/>
  <c r="AH146" i="8" s="1"/>
  <c r="K126" i="8"/>
  <c r="AG126" i="8" s="1"/>
  <c r="AH126" i="8" s="1"/>
  <c r="E88" i="1"/>
  <c r="D22" i="8"/>
  <c r="C22" i="8"/>
  <c r="C21" i="8"/>
  <c r="B14" i="8"/>
  <c r="AY102" i="10"/>
  <c r="AY92" i="10"/>
  <c r="BA93" i="10"/>
  <c r="BA100" i="10"/>
  <c r="AY110" i="10"/>
  <c r="BA94" i="10"/>
  <c r="AY94" i="10"/>
  <c r="BA104" i="10"/>
  <c r="AY101" i="10"/>
  <c r="BA105" i="10"/>
  <c r="BA98" i="10"/>
  <c r="BA109" i="10"/>
  <c r="AY100" i="10"/>
  <c r="AY89" i="10"/>
  <c r="BA97" i="10"/>
  <c r="AY111" i="10"/>
  <c r="AY104" i="10"/>
  <c r="BA95" i="10"/>
  <c r="AY97" i="10"/>
  <c r="BA103" i="10"/>
  <c r="AY115" i="10"/>
  <c r="AY107" i="10"/>
  <c r="BA99" i="10"/>
  <c r="BA102" i="10"/>
  <c r="BA113" i="10"/>
  <c r="AY103" i="10"/>
  <c r="AY109" i="10"/>
  <c r="AY90" i="10"/>
  <c r="BA106" i="10"/>
  <c r="BA117" i="10"/>
  <c r="BA119" i="10"/>
  <c r="AY95" i="10"/>
  <c r="AY91" i="10"/>
  <c r="BA120" i="10"/>
  <c r="AY105" i="10"/>
  <c r="AY108" i="10"/>
  <c r="AY119" i="10"/>
  <c r="BA92" i="10"/>
  <c r="BA111" i="10"/>
  <c r="AY98" i="10"/>
  <c r="AY112" i="10"/>
  <c r="BA96" i="10"/>
  <c r="BA112" i="10"/>
  <c r="BA89" i="10"/>
  <c r="AY114" i="10"/>
  <c r="AY118" i="10"/>
  <c r="BA118" i="10"/>
  <c r="BA90" i="10"/>
  <c r="BA91" i="10"/>
  <c r="BA107" i="10"/>
  <c r="BA110" i="10"/>
  <c r="AY99" i="10"/>
  <c r="AY106" i="10"/>
  <c r="AY117" i="10"/>
  <c r="BA108" i="10"/>
  <c r="BA114" i="10"/>
  <c r="AY113" i="10"/>
  <c r="AY116" i="10"/>
  <c r="BA116" i="10"/>
  <c r="AY120" i="10"/>
  <c r="BA115" i="10"/>
  <c r="AY93" i="10"/>
  <c r="BA101" i="10"/>
  <c r="AY96" i="10"/>
  <c r="E60" i="1"/>
  <c r="BA360" i="10" a="1"/>
  <c r="BA352" i="10" a="1"/>
  <c r="BA344" i="10" a="1"/>
  <c r="BA336" i="10" a="1"/>
  <c r="BA328" i="10" a="1"/>
  <c r="BA320" i="10" a="1"/>
  <c r="BA312" i="10" a="1"/>
  <c r="BA312" i="10" s="1"/>
  <c r="BA304" i="10" a="1"/>
  <c r="BA296" i="10" a="1"/>
  <c r="BA288" i="10" a="1"/>
  <c r="BA280" i="10" a="1"/>
  <c r="BA272" i="10" a="1"/>
  <c r="BA264" i="10" a="1"/>
  <c r="BA256" i="10" a="1"/>
  <c r="BA248" i="10" a="1"/>
  <c r="BA248" i="10" s="1"/>
  <c r="BA240" i="10" a="1"/>
  <c r="BA232" i="10" a="1"/>
  <c r="BA224" i="10" a="1"/>
  <c r="BA216" i="10" a="1"/>
  <c r="BA208" i="10" a="1"/>
  <c r="BA200" i="10" a="1"/>
  <c r="BA192" i="10" a="1"/>
  <c r="BA184" i="10" a="1"/>
  <c r="BA184" i="10" s="1"/>
  <c r="BA176" i="10" a="1"/>
  <c r="BA168" i="10" a="1"/>
  <c r="BA160" i="10" a="1"/>
  <c r="BA152" i="10" a="1"/>
  <c r="BA144" i="10" a="1"/>
  <c r="BA136" i="10" a="1"/>
  <c r="BA128" i="10" a="1"/>
  <c r="BA88" i="10" a="1"/>
  <c r="BA88" i="10" s="1"/>
  <c r="BA80" i="10" a="1"/>
  <c r="BA72" i="10" a="1"/>
  <c r="BA64" i="10" a="1"/>
  <c r="BA56" i="10" a="1"/>
  <c r="BA48" i="10" a="1"/>
  <c r="BA24" i="10" a="1"/>
  <c r="BA215" i="10" a="1"/>
  <c r="BA159" i="10" a="1"/>
  <c r="BA159" i="10" s="1"/>
  <c r="BA79" i="10" a="1"/>
  <c r="BA23" i="10" a="1"/>
  <c r="BA359" i="10" a="1"/>
  <c r="BA351" i="10" a="1"/>
  <c r="BA343" i="10" a="1"/>
  <c r="BA335" i="10" a="1"/>
  <c r="BA327" i="10" a="1"/>
  <c r="BA319" i="10" a="1"/>
  <c r="BA319" i="10" s="1"/>
  <c r="BA311" i="10" a="1"/>
  <c r="BA303" i="10" a="1"/>
  <c r="BA295" i="10" a="1"/>
  <c r="BA287" i="10" a="1"/>
  <c r="BA279" i="10" a="1"/>
  <c r="BA271" i="10" a="1"/>
  <c r="BA263" i="10" a="1"/>
  <c r="BA255" i="10" a="1"/>
  <c r="BA255" i="10" s="1"/>
  <c r="BA199" i="10" a="1"/>
  <c r="BA358" i="10" a="1"/>
  <c r="BA350" i="10" a="1"/>
  <c r="BA342" i="10" a="1"/>
  <c r="BA334" i="10" a="1"/>
  <c r="BA326" i="10" a="1"/>
  <c r="BA318" i="10" a="1"/>
  <c r="BA310" i="10" a="1"/>
  <c r="BA302" i="10" a="1"/>
  <c r="BA294" i="10" a="1"/>
  <c r="BA286" i="10" a="1"/>
  <c r="BA278" i="10" a="1"/>
  <c r="BA270" i="10" a="1"/>
  <c r="BA262" i="10" a="1"/>
  <c r="BA254" i="10" a="1"/>
  <c r="BA246" i="10" a="1"/>
  <c r="BA246" i="10" s="1"/>
  <c r="BA238" i="10" a="1"/>
  <c r="BA230" i="10" a="1"/>
  <c r="BA222" i="10" a="1"/>
  <c r="BA214" i="10" a="1"/>
  <c r="BA206" i="10" a="1"/>
  <c r="BA198" i="10" a="1"/>
  <c r="BA190" i="10" a="1"/>
  <c r="BA182" i="10" a="1"/>
  <c r="BA182" i="10" s="1"/>
  <c r="BA174" i="10" a="1"/>
  <c r="BA166" i="10" a="1"/>
  <c r="BA158" i="10" a="1"/>
  <c r="BA150" i="10" a="1"/>
  <c r="BA142" i="10" a="1"/>
  <c r="BA134" i="10" a="1"/>
  <c r="BA126" i="10" a="1"/>
  <c r="BA86" i="10" a="1"/>
  <c r="BA86" i="10" s="1"/>
  <c r="BA78" i="10" a="1"/>
  <c r="BA70" i="10" a="1"/>
  <c r="BA62" i="10" a="1"/>
  <c r="BA54" i="10" a="1"/>
  <c r="BA46" i="10" a="1"/>
  <c r="BA38" i="10" a="1"/>
  <c r="BA30" i="10" a="1"/>
  <c r="BA22" i="10" a="1"/>
  <c r="BA22" i="10" s="1"/>
  <c r="BA14" i="10" a="1"/>
  <c r="BA85" i="10" a="1"/>
  <c r="BA69" i="10" a="1"/>
  <c r="BA53" i="10" a="1"/>
  <c r="BA37" i="10" a="1"/>
  <c r="BA21" i="10" a="1"/>
  <c r="BA49" i="10" a="1"/>
  <c r="BA9" i="10" a="1"/>
  <c r="BA9" i="10" s="1"/>
  <c r="BA247" i="10" a="1"/>
  <c r="BA167" i="10" a="1"/>
  <c r="BA87" i="10" a="1"/>
  <c r="BA47" i="10" a="1"/>
  <c r="BA357" i="10" a="1"/>
  <c r="BA349" i="10" a="1"/>
  <c r="BA341" i="10" a="1"/>
  <c r="BA333" i="10" a="1"/>
  <c r="BA325" i="10" a="1"/>
  <c r="BA317" i="10" a="1"/>
  <c r="BA309" i="10" a="1"/>
  <c r="BA301" i="10" a="1"/>
  <c r="BA293" i="10" a="1"/>
  <c r="BA285" i="10" a="1"/>
  <c r="BA277" i="10" a="1"/>
  <c r="BA269" i="10" a="1"/>
  <c r="BA269" i="10" s="1"/>
  <c r="BA261" i="10" a="1"/>
  <c r="BA253" i="10" a="1"/>
  <c r="BA245" i="10" a="1"/>
  <c r="BA237" i="10" a="1"/>
  <c r="BA229" i="10" a="1"/>
  <c r="BA221" i="10" a="1"/>
  <c r="BA213" i="10" a="1"/>
  <c r="BA205" i="10" a="1"/>
  <c r="BA205" i="10" s="1"/>
  <c r="BA197" i="10" a="1"/>
  <c r="BA189" i="10" a="1"/>
  <c r="BA181" i="10" a="1"/>
  <c r="BA173" i="10" a="1"/>
  <c r="BA165" i="10" a="1"/>
  <c r="BA157" i="10" a="1"/>
  <c r="BA149" i="10" a="1"/>
  <c r="BA141" i="10" a="1"/>
  <c r="BA141" i="10" s="1"/>
  <c r="BA133" i="10" a="1"/>
  <c r="BA125" i="10" a="1"/>
  <c r="BA77" i="10" a="1"/>
  <c r="BA61" i="10" a="1"/>
  <c r="BA45" i="10" a="1"/>
  <c r="BA29" i="10" a="1"/>
  <c r="BA13" i="10" a="1"/>
  <c r="BA33" i="10" a="1"/>
  <c r="BA33" i="10" s="1"/>
  <c r="BA32" i="10" a="1"/>
  <c r="BA223" i="10" a="1"/>
  <c r="BA191" i="10" a="1"/>
  <c r="BA143" i="10" a="1"/>
  <c r="BA55" i="10" a="1"/>
  <c r="BA356" i="10" a="1"/>
  <c r="BA348" i="10" a="1"/>
  <c r="BA340" i="10" a="1"/>
  <c r="BA340" i="10" s="1"/>
  <c r="BA332" i="10" a="1"/>
  <c r="BA324" i="10" a="1"/>
  <c r="BA316" i="10" a="1"/>
  <c r="BA308" i="10" a="1"/>
  <c r="BA300" i="10" a="1"/>
  <c r="BA292" i="10" a="1"/>
  <c r="BA284" i="10" a="1"/>
  <c r="BA276" i="10" a="1"/>
  <c r="BA268" i="10" a="1"/>
  <c r="BA260" i="10" a="1"/>
  <c r="BA252" i="10" a="1"/>
  <c r="BA244" i="10" a="1"/>
  <c r="BA244" i="10" s="1"/>
  <c r="BA236" i="10" a="1"/>
  <c r="BA228" i="10" a="1"/>
  <c r="BA220" i="10" a="1"/>
  <c r="BA212" i="10" a="1"/>
  <c r="BA212" i="10" s="1"/>
  <c r="BA204" i="10" a="1"/>
  <c r="BA196" i="10" a="1"/>
  <c r="BA188" i="10" a="1"/>
  <c r="BA180" i="10" a="1"/>
  <c r="BA180" i="10" s="1"/>
  <c r="BA172" i="10" a="1"/>
  <c r="BA164" i="10" a="1"/>
  <c r="BA156" i="10" a="1"/>
  <c r="BA148" i="10" a="1"/>
  <c r="BA140" i="10" a="1"/>
  <c r="BA132" i="10" a="1"/>
  <c r="BA124" i="10" a="1"/>
  <c r="BA84" i="10" a="1"/>
  <c r="BA84" i="10" s="1"/>
  <c r="BA76" i="10" a="1"/>
  <c r="BA68" i="10" a="1"/>
  <c r="BA60" i="10" a="1"/>
  <c r="BA52" i="10" a="1"/>
  <c r="BA52" i="10" s="1"/>
  <c r="BA44" i="10" a="1"/>
  <c r="BA36" i="10" a="1"/>
  <c r="BA28" i="10" a="1"/>
  <c r="BA20" i="10" a="1"/>
  <c r="BA20" i="10" s="1"/>
  <c r="BA12" i="10" a="1"/>
  <c r="BA161" i="10" a="1"/>
  <c r="BA137" i="10" a="1"/>
  <c r="BA81" i="10" a="1"/>
  <c r="BA81" i="10" s="1"/>
  <c r="BA57" i="10" a="1"/>
  <c r="BA17" i="10" a="1"/>
  <c r="BA239" i="10" a="1"/>
  <c r="BA175" i="10" a="1"/>
  <c r="BA175" i="10" s="1"/>
  <c r="BA127" i="10" a="1"/>
  <c r="BA39" i="10" a="1"/>
  <c r="BA355" i="10" a="1"/>
  <c r="BA347" i="10" a="1"/>
  <c r="BA339" i="10" a="1"/>
  <c r="BA331" i="10" a="1"/>
  <c r="BA323" i="10" a="1"/>
  <c r="BA315" i="10" a="1"/>
  <c r="BA315" i="10" s="1"/>
  <c r="BA307" i="10" a="1"/>
  <c r="BA299" i="10" a="1"/>
  <c r="BA291" i="10" a="1"/>
  <c r="BA283" i="10" a="1"/>
  <c r="BA275" i="10" a="1"/>
  <c r="BA267" i="10" a="1"/>
  <c r="BA259" i="10" a="1"/>
  <c r="BA251" i="10" a="1"/>
  <c r="BA251" i="10" s="1"/>
  <c r="BA243" i="10" a="1"/>
  <c r="BA235" i="10" a="1"/>
  <c r="BA227" i="10" a="1"/>
  <c r="BA219" i="10" a="1"/>
  <c r="BA211" i="10" a="1"/>
  <c r="BA203" i="10" a="1"/>
  <c r="BA195" i="10" a="1"/>
  <c r="BA187" i="10" a="1"/>
  <c r="BA187" i="10" s="1"/>
  <c r="BA179" i="10" a="1"/>
  <c r="BA171" i="10" a="1"/>
  <c r="BA163" i="10" a="1"/>
  <c r="BA155" i="10" a="1"/>
  <c r="BA155" i="10" s="1"/>
  <c r="BA147" i="10" a="1"/>
  <c r="BA139" i="10" a="1"/>
  <c r="BA131" i="10" a="1"/>
  <c r="BA123" i="10" a="1"/>
  <c r="BA123" i="10" s="1"/>
  <c r="BA83" i="10" a="1"/>
  <c r="BA75" i="10" a="1"/>
  <c r="BA67" i="10" a="1"/>
  <c r="BA59" i="10" a="1"/>
  <c r="BA59" i="10" s="1"/>
  <c r="BA51" i="10" a="1"/>
  <c r="BA43" i="10" a="1"/>
  <c r="BA35" i="10" a="1"/>
  <c r="BA27" i="10" a="1"/>
  <c r="BA27" i="10" s="1"/>
  <c r="BA19" i="10" a="1"/>
  <c r="BA11" i="10" a="1"/>
  <c r="BA145" i="10" a="1"/>
  <c r="BA121" i="10" a="1"/>
  <c r="BA121" i="10" s="1"/>
  <c r="BA65" i="10" a="1"/>
  <c r="BA25" i="10" a="1"/>
  <c r="BA16" i="10" a="1"/>
  <c r="BA207" i="10" a="1"/>
  <c r="BA207" i="10" s="1"/>
  <c r="BA151" i="10" a="1"/>
  <c r="BA71" i="10" a="1"/>
  <c r="BA31" i="10" a="1"/>
  <c r="BA354" i="10" a="1"/>
  <c r="BA354" i="10" s="1"/>
  <c r="AX354" i="10" s="1"/>
  <c r="BA346" i="10" a="1"/>
  <c r="BA338" i="10" a="1"/>
  <c r="BA330" i="10" a="1"/>
  <c r="BA322" i="10" a="1"/>
  <c r="BA322" i="10" s="1"/>
  <c r="BA314" i="10" a="1"/>
  <c r="BA306" i="10" a="1"/>
  <c r="BA298" i="10" a="1"/>
  <c r="BA290" i="10" a="1"/>
  <c r="BA290" i="10" s="1"/>
  <c r="BA282" i="10" a="1"/>
  <c r="BA274" i="10" a="1"/>
  <c r="BA274" i="10" s="1"/>
  <c r="BA266" i="10" a="1"/>
  <c r="BA258" i="10" a="1"/>
  <c r="BA250" i="10" a="1"/>
  <c r="BA242" i="10" a="1"/>
  <c r="BA234" i="10" a="1"/>
  <c r="BA226" i="10" a="1"/>
  <c r="BA226" i="10" s="1"/>
  <c r="BA218" i="10" a="1"/>
  <c r="BA210" i="10" a="1"/>
  <c r="BA202" i="10" a="1"/>
  <c r="BA194" i="10" a="1"/>
  <c r="BA194" i="10" s="1"/>
  <c r="BA186" i="10" a="1"/>
  <c r="BA178" i="10" a="1"/>
  <c r="BA178" i="10" s="1"/>
  <c r="BA170" i="10" a="1"/>
  <c r="BA162" i="10" a="1"/>
  <c r="BA154" i="10" a="1"/>
  <c r="BA146" i="10" a="1"/>
  <c r="BA138" i="10" a="1"/>
  <c r="BA130" i="10" a="1"/>
  <c r="BA130" i="10" s="1"/>
  <c r="BA122" i="10" a="1"/>
  <c r="BA82" i="10" a="1"/>
  <c r="BA74" i="10" a="1"/>
  <c r="BA66" i="10" a="1"/>
  <c r="BA66" i="10" s="1"/>
  <c r="BA58" i="10" a="1"/>
  <c r="BA50" i="10" a="1"/>
  <c r="BA42" i="10" a="1"/>
  <c r="BA34" i="10" a="1"/>
  <c r="BA34" i="10" s="1"/>
  <c r="BA26" i="10" a="1"/>
  <c r="BA26" i="10" s="1"/>
  <c r="BA18" i="10" a="1"/>
  <c r="BA10" i="10" a="1"/>
  <c r="BA177" i="10" a="1"/>
  <c r="BA177" i="10" s="1"/>
  <c r="BA169" i="10" a="1"/>
  <c r="BA153" i="10" a="1"/>
  <c r="BA129" i="10" a="1"/>
  <c r="BA73" i="10" a="1"/>
  <c r="BA73" i="10" s="1"/>
  <c r="BA41" i="10" a="1"/>
  <c r="BA40" i="10" a="1"/>
  <c r="BA40" i="10" s="1"/>
  <c r="BA231" i="10" a="1"/>
  <c r="BA183" i="10" a="1"/>
  <c r="BA183" i="10" s="1"/>
  <c r="BA135" i="10" a="1"/>
  <c r="BA63" i="10" a="1"/>
  <c r="BA63" i="10" s="1"/>
  <c r="BA15" i="10" a="1"/>
  <c r="BA353" i="10" a="1"/>
  <c r="BA353" i="10" s="1"/>
  <c r="AX353" i="10" s="1"/>
  <c r="BA345" i="10" a="1"/>
  <c r="BA337" i="10" a="1"/>
  <c r="BA329" i="10" a="1"/>
  <c r="BA321" i="10" a="1"/>
  <c r="BA321" i="10" s="1"/>
  <c r="BA313" i="10" a="1"/>
  <c r="BA305" i="10" a="1"/>
  <c r="BA297" i="10" a="1"/>
  <c r="BA289" i="10" a="1"/>
  <c r="BA289" i="10" s="1"/>
  <c r="BA281" i="10" a="1"/>
  <c r="BA273" i="10" a="1"/>
  <c r="BA273" i="10" s="1"/>
  <c r="BA265" i="10" a="1"/>
  <c r="BA257" i="10" a="1"/>
  <c r="BA257" i="10" s="1"/>
  <c r="BA249" i="10" a="1"/>
  <c r="BA249" i="10" s="1"/>
  <c r="BA241" i="10" a="1"/>
  <c r="BA233" i="10" a="1"/>
  <c r="BA225" i="10" a="1"/>
  <c r="BA225" i="10" s="1"/>
  <c r="BA217" i="10" a="1"/>
  <c r="BA209" i="10" a="1"/>
  <c r="BA209" i="10" s="1"/>
  <c r="BA201" i="10" a="1"/>
  <c r="BA193" i="10" a="1"/>
  <c r="BA193" i="10" s="1"/>
  <c r="BA185" i="10" a="1"/>
  <c r="BA185" i="10" s="1"/>
  <c r="G104" i="1"/>
  <c r="I41" i="1"/>
  <c r="C190" i="60"/>
  <c r="I43" i="1"/>
  <c r="C10" i="8"/>
  <c r="V66" i="8"/>
  <c r="N66" i="8"/>
  <c r="O65" i="8"/>
  <c r="U66" i="8"/>
  <c r="V65" i="8"/>
  <c r="N65" i="8"/>
  <c r="T66" i="8"/>
  <c r="U65" i="8"/>
  <c r="S66" i="8"/>
  <c r="T65" i="8"/>
  <c r="R66" i="8"/>
  <c r="S65" i="8"/>
  <c r="Q66" i="8"/>
  <c r="R65" i="8"/>
  <c r="P66" i="8"/>
  <c r="Q65" i="8"/>
  <c r="O66" i="8"/>
  <c r="P65" i="8"/>
  <c r="AY211" i="10" a="1"/>
  <c r="BA337" i="10"/>
  <c r="BA299" i="10"/>
  <c r="BA296" i="10"/>
  <c r="BA271" i="10"/>
  <c r="BA262" i="10"/>
  <c r="BA234" i="10"/>
  <c r="BA339" i="10"/>
  <c r="BA334" i="10"/>
  <c r="BA331" i="10"/>
  <c r="BA316" i="10"/>
  <c r="BA283" i="10"/>
  <c r="BA280" i="10"/>
  <c r="BA258" i="10"/>
  <c r="BA359" i="10"/>
  <c r="AX359" i="10" s="1"/>
  <c r="BA342" i="10"/>
  <c r="BA325" i="10"/>
  <c r="BA310" i="10"/>
  <c r="BA267" i="10"/>
  <c r="BA264" i="10"/>
  <c r="BA242" i="10"/>
  <c r="BA239" i="10"/>
  <c r="BA355" i="10"/>
  <c r="AX355" i="10" s="1"/>
  <c r="BA350" i="10"/>
  <c r="AX350" i="10" s="1"/>
  <c r="BA347" i="10"/>
  <c r="AX347" i="10" s="1"/>
  <c r="BA230" i="10"/>
  <c r="BA306" i="10"/>
  <c r="BA235" i="10"/>
  <c r="BA223" i="10"/>
  <c r="BA214" i="10"/>
  <c r="BA338" i="10"/>
  <c r="BA335" i="10"/>
  <c r="BA330" i="10"/>
  <c r="BA309" i="10"/>
  <c r="BA303" i="10"/>
  <c r="BA300" i="10"/>
  <c r="BA241" i="10"/>
  <c r="BA232" i="10"/>
  <c r="BA210" i="10"/>
  <c r="BA198" i="10"/>
  <c r="BA351" i="10"/>
  <c r="AX351" i="10" s="1"/>
  <c r="BA346" i="10"/>
  <c r="AX346" i="10" s="1"/>
  <c r="BA326" i="10"/>
  <c r="BA305" i="10"/>
  <c r="BA287" i="10"/>
  <c r="BA278" i="10"/>
  <c r="BA197" i="10"/>
  <c r="BA216" i="10"/>
  <c r="BA203" i="10"/>
  <c r="BA200" i="10"/>
  <c r="BA191" i="10"/>
  <c r="BA167" i="10"/>
  <c r="BA135" i="10"/>
  <c r="BA71" i="10"/>
  <c r="BA343" i="10"/>
  <c r="BA219" i="10"/>
  <c r="BA127" i="10"/>
  <c r="BA294" i="10"/>
  <c r="BA151" i="10"/>
  <c r="BA87" i="10"/>
  <c r="BA55" i="10"/>
  <c r="BA192" i="10"/>
  <c r="BA143" i="10"/>
  <c r="BA79" i="10"/>
  <c r="BA47" i="10"/>
  <c r="BA32" i="10"/>
  <c r="BA72" i="10"/>
  <c r="BA266" i="10"/>
  <c r="BA144" i="10"/>
  <c r="BA29" i="10"/>
  <c r="BA70" i="10"/>
  <c r="BA215" i="10"/>
  <c r="BA51" i="10"/>
  <c r="BA46" i="10"/>
  <c r="BA131" i="10"/>
  <c r="BA181" i="10"/>
  <c r="BA11" i="10"/>
  <c r="BA50" i="10"/>
  <c r="BA132" i="10"/>
  <c r="BA284" i="10"/>
  <c r="BA201" i="10"/>
  <c r="BA291" i="10"/>
  <c r="BA254" i="10"/>
  <c r="BA344" i="10"/>
  <c r="BA295" i="10"/>
  <c r="BA293" i="10"/>
  <c r="BA44" i="10"/>
  <c r="BA211" i="10"/>
  <c r="BA62" i="10"/>
  <c r="BA129" i="10"/>
  <c r="BA24" i="10"/>
  <c r="BA169" i="10"/>
  <c r="BA126" i="10"/>
  <c r="BA77" i="10"/>
  <c r="BA162" i="10"/>
  <c r="BA36" i="10"/>
  <c r="BA145" i="10"/>
  <c r="BA10" i="10"/>
  <c r="BA53" i="10"/>
  <c r="BA138" i="10"/>
  <c r="BA317" i="10"/>
  <c r="BA128" i="10"/>
  <c r="BA297" i="10"/>
  <c r="BA19" i="10"/>
  <c r="BA54" i="10"/>
  <c r="BA139" i="10"/>
  <c r="BA272" i="10"/>
  <c r="BA311" i="10"/>
  <c r="BA204" i="10"/>
  <c r="BA324" i="10"/>
  <c r="BA276" i="10"/>
  <c r="BA202" i="10"/>
  <c r="BA304" i="10"/>
  <c r="BA301" i="10"/>
  <c r="BA348" i="10"/>
  <c r="AX348" i="10" s="1"/>
  <c r="BA302" i="10"/>
  <c r="BA67" i="10"/>
  <c r="BA160" i="10"/>
  <c r="BA323" i="10"/>
  <c r="BA122" i="10"/>
  <c r="BA136" i="10"/>
  <c r="BA76" i="10"/>
  <c r="BA176" i="10"/>
  <c r="BA154" i="10"/>
  <c r="BA37" i="10"/>
  <c r="BA166" i="10"/>
  <c r="BA69" i="10"/>
  <c r="BA152" i="10"/>
  <c r="BA60" i="10"/>
  <c r="BA142" i="10"/>
  <c r="BA28" i="10"/>
  <c r="BA153" i="10"/>
  <c r="BA16" i="10"/>
  <c r="BA23" i="10"/>
  <c r="BA61" i="10"/>
  <c r="BA146" i="10"/>
  <c r="BA222" i="10"/>
  <c r="BA320" i="10"/>
  <c r="BA238" i="10"/>
  <c r="BA341" i="10"/>
  <c r="BA279" i="10"/>
  <c r="BA208" i="10"/>
  <c r="BA336" i="10"/>
  <c r="BA307" i="10"/>
  <c r="BA356" i="10"/>
  <c r="AX356" i="10" s="1"/>
  <c r="BA308" i="10"/>
  <c r="BA149" i="10"/>
  <c r="BA285" i="10"/>
  <c r="BA147" i="10"/>
  <c r="BA161" i="10"/>
  <c r="BA140" i="10"/>
  <c r="BA195" i="10"/>
  <c r="BA41" i="10"/>
  <c r="BA173" i="10"/>
  <c r="BA133" i="10"/>
  <c r="BA58" i="10"/>
  <c r="BA150" i="10"/>
  <c r="BA313" i="10"/>
  <c r="BA179" i="10"/>
  <c r="BA168" i="10"/>
  <c r="BA48" i="10"/>
  <c r="BA13" i="10"/>
  <c r="BA45" i="10"/>
  <c r="BA165" i="10"/>
  <c r="BA30" i="10"/>
  <c r="BA74" i="10"/>
  <c r="BA156" i="10"/>
  <c r="BA83" i="10"/>
  <c r="BA158" i="10"/>
  <c r="BA31" i="10"/>
  <c r="BA75" i="10"/>
  <c r="BA157" i="10"/>
  <c r="BA250" i="10"/>
  <c r="BA332" i="10"/>
  <c r="BA263" i="10"/>
  <c r="BA358" i="10"/>
  <c r="AX358" i="10" s="1"/>
  <c r="BA298" i="10"/>
  <c r="BA233" i="10"/>
  <c r="BA224" i="10"/>
  <c r="BA328" i="10"/>
  <c r="BA231" i="10"/>
  <c r="BA329" i="10"/>
  <c r="BA227" i="10"/>
  <c r="BA240" i="10"/>
  <c r="BA243" i="10"/>
  <c r="BA352" i="10"/>
  <c r="AX352" i="10" s="1"/>
  <c r="BA314" i="10"/>
  <c r="BA14" i="10"/>
  <c r="BA189" i="10"/>
  <c r="BA229" i="10"/>
  <c r="BA17" i="10"/>
  <c r="BA134" i="10"/>
  <c r="BA49" i="10"/>
  <c r="BA196" i="10"/>
  <c r="BA78" i="10"/>
  <c r="BA163" i="10"/>
  <c r="BA172" i="10"/>
  <c r="BA188" i="10"/>
  <c r="BA186" i="10"/>
  <c r="BA35" i="10"/>
  <c r="BA82" i="10"/>
  <c r="BA164" i="10"/>
  <c r="BA256" i="10"/>
  <c r="BA217" i="10"/>
  <c r="BA318" i="10"/>
  <c r="BA261" i="10"/>
  <c r="BA345" i="10"/>
  <c r="AX345" i="10" s="1"/>
  <c r="BA360" i="10"/>
  <c r="AX360" i="10" s="1"/>
  <c r="BA68" i="10"/>
  <c r="BA218" i="10"/>
  <c r="BA15" i="10"/>
  <c r="BA213" i="10"/>
  <c r="BA80" i="10"/>
  <c r="BA275" i="10"/>
  <c r="BA21" i="10"/>
  <c r="BA190" i="10"/>
  <c r="BA56" i="10"/>
  <c r="BA206" i="10"/>
  <c r="BA38" i="10"/>
  <c r="BA85" i="10"/>
  <c r="BA170" i="10"/>
  <c r="BA57" i="10"/>
  <c r="BA247" i="10"/>
  <c r="BA39" i="10"/>
  <c r="BA171" i="10"/>
  <c r="BA259" i="10"/>
  <c r="BA357" i="10"/>
  <c r="AX357" i="10" s="1"/>
  <c r="BA282" i="10"/>
  <c r="BA220" i="10"/>
  <c r="BA327" i="10"/>
  <c r="BA270" i="10"/>
  <c r="BA236" i="10"/>
  <c r="BA237" i="10"/>
  <c r="BA228" i="10"/>
  <c r="BA65" i="10"/>
  <c r="BA253" i="10"/>
  <c r="BA137" i="10"/>
  <c r="BA12" i="10"/>
  <c r="BA25" i="10"/>
  <c r="BA148" i="10"/>
  <c r="BA199" i="10"/>
  <c r="BA42" i="10"/>
  <c r="BA124" i="10"/>
  <c r="BA174" i="10"/>
  <c r="BA64" i="10"/>
  <c r="BA221" i="10"/>
  <c r="BA18" i="10"/>
  <c r="BA43" i="10"/>
  <c r="BA125" i="10"/>
  <c r="BA281" i="10"/>
  <c r="BA349" i="10"/>
  <c r="AX349" i="10" s="1"/>
  <c r="BA288" i="10"/>
  <c r="BA245" i="10"/>
  <c r="BA333" i="10"/>
  <c r="BA292" i="10"/>
  <c r="BA277" i="10"/>
  <c r="BA252" i="10"/>
  <c r="BA265" i="10"/>
  <c r="BA286" i="10"/>
  <c r="BA268" i="10"/>
  <c r="BA260" i="10"/>
  <c r="T61" i="8"/>
  <c r="V242" i="8"/>
  <c r="N242" i="8"/>
  <c r="P241" i="8"/>
  <c r="R240" i="8"/>
  <c r="O172" i="8"/>
  <c r="P171" i="8"/>
  <c r="R156" i="8"/>
  <c r="T142" i="8"/>
  <c r="V122" i="8"/>
  <c r="N122" i="8"/>
  <c r="R100" i="8"/>
  <c r="S99" i="8"/>
  <c r="U98" i="8"/>
  <c r="P64" i="8"/>
  <c r="Q63" i="8"/>
  <c r="O156" i="8"/>
  <c r="O100" i="8"/>
  <c r="N63" i="8"/>
  <c r="V99" i="8"/>
  <c r="R241" i="8"/>
  <c r="N142" i="8"/>
  <c r="S240" i="8"/>
  <c r="S100" i="8"/>
  <c r="U242" i="8"/>
  <c r="O241" i="8"/>
  <c r="Q240" i="8"/>
  <c r="V172" i="8"/>
  <c r="N172" i="8"/>
  <c r="O171" i="8"/>
  <c r="Q156" i="8"/>
  <c r="S142" i="8"/>
  <c r="U122" i="8"/>
  <c r="Q100" i="8"/>
  <c r="R99" i="8"/>
  <c r="T98" i="8"/>
  <c r="O64" i="8"/>
  <c r="P63" i="8"/>
  <c r="U171" i="8"/>
  <c r="P99" i="8"/>
  <c r="V63" i="8"/>
  <c r="U63" i="8"/>
  <c r="S64" i="8"/>
  <c r="Q172" i="8"/>
  <c r="U99" i="8"/>
  <c r="Q241" i="8"/>
  <c r="O122" i="8"/>
  <c r="T242" i="8"/>
  <c r="V241" i="8"/>
  <c r="N241" i="8"/>
  <c r="P240" i="8"/>
  <c r="U172" i="8"/>
  <c r="V171" i="8"/>
  <c r="N171" i="8"/>
  <c r="P156" i="8"/>
  <c r="R142" i="8"/>
  <c r="T122" i="8"/>
  <c r="P100" i="8"/>
  <c r="Q99" i="8"/>
  <c r="S98" i="8"/>
  <c r="V64" i="8"/>
  <c r="N64" i="8"/>
  <c r="O63" i="8"/>
  <c r="S122" i="8"/>
  <c r="R98" i="8"/>
  <c r="T64" i="8"/>
  <c r="P242" i="8"/>
  <c r="T156" i="8"/>
  <c r="O98" i="8"/>
  <c r="S156" i="8"/>
  <c r="V98" i="8"/>
  <c r="S242" i="8"/>
  <c r="U241" i="8"/>
  <c r="O240" i="8"/>
  <c r="T172" i="8"/>
  <c r="Q142" i="8"/>
  <c r="U64" i="8"/>
  <c r="T63" i="8"/>
  <c r="R171" i="8"/>
  <c r="O242" i="8"/>
  <c r="N98" i="8"/>
  <c r="R242" i="8"/>
  <c r="T241" i="8"/>
  <c r="V240" i="8"/>
  <c r="N240" i="8"/>
  <c r="S172" i="8"/>
  <c r="T171" i="8"/>
  <c r="V156" i="8"/>
  <c r="N156" i="8"/>
  <c r="P142" i="8"/>
  <c r="R122" i="8"/>
  <c r="V100" i="8"/>
  <c r="N100" i="8"/>
  <c r="O99" i="8"/>
  <c r="Q98" i="8"/>
  <c r="N99" i="8"/>
  <c r="T240" i="8"/>
  <c r="V142" i="8"/>
  <c r="R64" i="8"/>
  <c r="Q171" i="8"/>
  <c r="T99" i="8"/>
  <c r="Q242" i="8"/>
  <c r="S241" i="8"/>
  <c r="U240" i="8"/>
  <c r="R172" i="8"/>
  <c r="S171" i="8"/>
  <c r="U156" i="8"/>
  <c r="O142" i="8"/>
  <c r="Q122" i="8"/>
  <c r="U100" i="8"/>
  <c r="P98" i="8"/>
  <c r="P122" i="8"/>
  <c r="S63" i="8"/>
  <c r="P172" i="8"/>
  <c r="Q64" i="8"/>
  <c r="T100" i="8"/>
  <c r="U142" i="8"/>
  <c r="R63" i="8"/>
  <c r="AY141" i="10" a="1"/>
  <c r="AY328" i="10" a="1"/>
  <c r="AY328" i="10" s="1"/>
  <c r="AY324" i="10" a="1"/>
  <c r="AY324" i="10" s="1"/>
  <c r="AY320" i="10" a="1"/>
  <c r="AY320" i="10" s="1"/>
  <c r="AY316" i="10" a="1"/>
  <c r="AY316" i="10" s="1"/>
  <c r="AY312" i="10" a="1"/>
  <c r="AY312" i="10" s="1"/>
  <c r="AY308" i="10" a="1"/>
  <c r="AY308" i="10" s="1"/>
  <c r="AY304" i="10" a="1"/>
  <c r="AY300" i="10" a="1"/>
  <c r="AY300" i="10" s="1"/>
  <c r="AY327" i="10" a="1"/>
  <c r="AY323" i="10" a="1"/>
  <c r="AY323" i="10" s="1"/>
  <c r="AY319" i="10" a="1"/>
  <c r="AY319" i="10" s="1"/>
  <c r="AY315" i="10" a="1"/>
  <c r="AY311" i="10" a="1"/>
  <c r="AY311" i="10" s="1"/>
  <c r="AY307" i="10" a="1"/>
  <c r="AY307" i="10" s="1"/>
  <c r="AY303" i="10" a="1"/>
  <c r="AY303" i="10" s="1"/>
  <c r="AY299" i="10" a="1"/>
  <c r="AY299" i="10" s="1"/>
  <c r="AY326" i="10" a="1"/>
  <c r="AY326" i="10" s="1"/>
  <c r="AY322" i="10" a="1"/>
  <c r="AY322" i="10" s="1"/>
  <c r="AY318" i="10" a="1"/>
  <c r="AY314" i="10" a="1"/>
  <c r="AY314" i="10" s="1"/>
  <c r="AY310" i="10" a="1"/>
  <c r="AY310" i="10" s="1"/>
  <c r="AY306" i="10" a="1"/>
  <c r="AY306" i="10" s="1"/>
  <c r="AY302" i="10" a="1"/>
  <c r="AY298" i="10" a="1"/>
  <c r="AY298" i="10" s="1"/>
  <c r="AY325" i="10" a="1"/>
  <c r="AY325" i="10" s="1"/>
  <c r="AY321" i="10" a="1"/>
  <c r="AY321" i="10" s="1"/>
  <c r="AY313" i="10" a="1"/>
  <c r="AY313" i="10" s="1"/>
  <c r="AY309" i="10" a="1"/>
  <c r="AY309" i="10" s="1"/>
  <c r="AY301" i="10" a="1"/>
  <c r="AY301" i="10" s="1"/>
  <c r="AY317" i="10" a="1"/>
  <c r="AY317" i="10" s="1"/>
  <c r="AY305" i="10" a="1"/>
  <c r="AY305" i="10" s="1"/>
  <c r="AY297" i="10" a="1"/>
  <c r="AY297" i="10" s="1"/>
  <c r="C142" i="57"/>
  <c r="AY318" i="10"/>
  <c r="AY315" i="10"/>
  <c r="AY302" i="10"/>
  <c r="AY327" i="10"/>
  <c r="AY304" i="10"/>
  <c r="AY10" i="10" a="1"/>
  <c r="AY10" i="10" s="1"/>
  <c r="E111" i="1"/>
  <c r="D442" i="8"/>
  <c r="C57" i="1"/>
  <c r="P442" i="8" s="1"/>
  <c r="AY38" i="10" a="1"/>
  <c r="AY222" i="10" a="1"/>
  <c r="AY13" i="10" a="1"/>
  <c r="AY159" i="10" a="1"/>
  <c r="AY159" i="10" s="1"/>
  <c r="AY172" i="10" a="1"/>
  <c r="AY172" i="10" s="1"/>
  <c r="AY359" i="10" a="1"/>
  <c r="AY359" i="10" s="1"/>
  <c r="AY32" i="10" a="1"/>
  <c r="AY194" i="10" a="1"/>
  <c r="AY251" i="10" a="1"/>
  <c r="AY251" i="10" s="1"/>
  <c r="AY136" i="10" a="1"/>
  <c r="AY136" i="10" s="1"/>
  <c r="AY36" i="10" a="1"/>
  <c r="AY36" i="10" s="1"/>
  <c r="C75" i="1"/>
  <c r="Y442" i="8" s="1"/>
  <c r="C6" i="60"/>
  <c r="A70" i="5" s="1"/>
  <c r="C123" i="60"/>
  <c r="C139" i="57"/>
  <c r="AY138" i="10" a="1"/>
  <c r="AY35" i="10" a="1"/>
  <c r="AY35" i="10" s="1"/>
  <c r="AY344" i="10" a="1"/>
  <c r="AY344" i="10" s="1"/>
  <c r="AY283" i="10" a="1"/>
  <c r="AY164" i="10" a="1"/>
  <c r="AY164" i="10" s="1"/>
  <c r="AY17" i="10" a="1"/>
  <c r="AY219" i="10" a="1"/>
  <c r="AY219" i="10" s="1"/>
  <c r="AY53" i="10" a="1"/>
  <c r="AY53" i="10" s="1"/>
  <c r="AY334" i="10" a="1"/>
  <c r="AY334" i="10" s="1"/>
  <c r="AY210" i="10" a="1"/>
  <c r="AY210" i="10" s="1"/>
  <c r="AY342" i="10" a="1"/>
  <c r="C100" i="57"/>
  <c r="C103" i="57"/>
  <c r="AY331" i="10" a="1"/>
  <c r="AY331" i="10" s="1"/>
  <c r="AY135" i="10" a="1"/>
  <c r="AY135" i="10" s="1"/>
  <c r="AY280" i="10" a="1"/>
  <c r="AY280" i="10" s="1"/>
  <c r="AY226" i="10" a="1"/>
  <c r="AY226" i="10" s="1"/>
  <c r="AY48" i="10" a="1"/>
  <c r="C73" i="49"/>
  <c r="C79" i="1"/>
  <c r="AC442" i="8" s="1"/>
  <c r="AY215" i="10" a="1"/>
  <c r="AY215" i="10" s="1"/>
  <c r="AY199" i="10" a="1"/>
  <c r="AY199" i="10" s="1"/>
  <c r="AY139" i="10" a="1"/>
  <c r="AY139" i="10" s="1"/>
  <c r="F399" i="8"/>
  <c r="A66" i="5"/>
  <c r="D126" i="12"/>
  <c r="C126" i="12" s="1"/>
  <c r="O217" i="8"/>
  <c r="V95" i="8"/>
  <c r="C76" i="1"/>
  <c r="Z442" i="8" s="1"/>
  <c r="C77" i="1"/>
  <c r="AA442" i="8" s="1"/>
  <c r="B17" i="8"/>
  <c r="N50" i="8"/>
  <c r="T96" i="8"/>
  <c r="C41" i="49"/>
  <c r="C180" i="8" s="1"/>
  <c r="H180" i="8" s="1"/>
  <c r="E335" i="8"/>
  <c r="H85" i="1"/>
  <c r="S163" i="8"/>
  <c r="C43" i="3"/>
  <c r="C13" i="6" s="1"/>
  <c r="C14" i="6" s="1"/>
  <c r="C10" i="60" s="1"/>
  <c r="C28" i="3"/>
  <c r="U143" i="8"/>
  <c r="N217" i="8"/>
  <c r="C58" i="3"/>
  <c r="C62" i="3" s="1"/>
  <c r="C63" i="3" s="1"/>
  <c r="C29" i="3"/>
  <c r="C30" i="3" s="1"/>
  <c r="C6" i="64"/>
  <c r="S140" i="8"/>
  <c r="Q150" i="8"/>
  <c r="S244" i="8"/>
  <c r="Q148" i="8"/>
  <c r="R118" i="8"/>
  <c r="Q246" i="8"/>
  <c r="O167" i="8"/>
  <c r="S176" i="8"/>
  <c r="U81" i="8"/>
  <c r="Q236" i="8"/>
  <c r="Q126" i="8"/>
  <c r="T148" i="8"/>
  <c r="R218" i="8"/>
  <c r="C66" i="49"/>
  <c r="C32" i="49"/>
  <c r="C161" i="8" s="1"/>
  <c r="F161" i="8" s="1"/>
  <c r="C6" i="49"/>
  <c r="C59" i="1"/>
  <c r="R442" i="8" s="1"/>
  <c r="C58" i="1"/>
  <c r="C60" i="1"/>
  <c r="S442" i="8" s="1"/>
  <c r="N244" i="8"/>
  <c r="P175" i="8"/>
  <c r="P132" i="8"/>
  <c r="O238" i="8"/>
  <c r="R190" i="8"/>
  <c r="T234" i="8"/>
  <c r="V69" i="8"/>
  <c r="P109" i="8"/>
  <c r="O71" i="8"/>
  <c r="Q273" i="8"/>
  <c r="S208" i="8"/>
  <c r="U103" i="8"/>
  <c r="P200" i="8"/>
  <c r="T251" i="8"/>
  <c r="S191" i="8"/>
  <c r="S310" i="8"/>
  <c r="O216" i="8"/>
  <c r="R76" i="8"/>
  <c r="V230" i="8"/>
  <c r="P205" i="8"/>
  <c r="T278" i="8"/>
  <c r="R217" i="8"/>
  <c r="O70" i="8"/>
  <c r="R56" i="8"/>
  <c r="O308" i="8"/>
  <c r="N152" i="8"/>
  <c r="U97" i="8"/>
  <c r="U153" i="8"/>
  <c r="S167" i="8"/>
  <c r="O160" i="8"/>
  <c r="O314" i="8"/>
  <c r="U293" i="8"/>
  <c r="N291" i="8"/>
  <c r="S305" i="8"/>
  <c r="R307" i="8"/>
  <c r="R246" i="8"/>
  <c r="Q238" i="8"/>
  <c r="R187" i="8"/>
  <c r="U86" i="8"/>
  <c r="S225" i="8"/>
  <c r="S198" i="8"/>
  <c r="U45" i="8"/>
  <c r="S292" i="8"/>
  <c r="P55" i="8"/>
  <c r="V144" i="8"/>
  <c r="T110" i="8"/>
  <c r="U70" i="8"/>
  <c r="V130" i="8"/>
  <c r="U227" i="8"/>
  <c r="S141" i="8"/>
  <c r="R46" i="8"/>
  <c r="T41" i="8"/>
  <c r="V94" i="8"/>
  <c r="V306" i="8"/>
  <c r="V42" i="8"/>
  <c r="N75" i="8"/>
  <c r="R70" i="8"/>
  <c r="V132" i="8"/>
  <c r="N81" i="8"/>
  <c r="R248" i="8"/>
  <c r="P74" i="8"/>
  <c r="V143" i="8"/>
  <c r="U256" i="8"/>
  <c r="R93" i="8"/>
  <c r="I85" i="1"/>
  <c r="C148" i="60"/>
  <c r="B85" i="1"/>
  <c r="C85" i="1" s="1"/>
  <c r="AH442" i="8" s="1"/>
  <c r="A67" i="5"/>
  <c r="S308" i="8"/>
  <c r="O279" i="8"/>
  <c r="T222" i="8"/>
  <c r="U167" i="8"/>
  <c r="O294" i="8"/>
  <c r="P110" i="8"/>
  <c r="O198" i="8"/>
  <c r="T45" i="8"/>
  <c r="U202" i="8"/>
  <c r="R180" i="8"/>
  <c r="Q222" i="8"/>
  <c r="P207" i="8"/>
  <c r="P203" i="8"/>
  <c r="N94" i="8"/>
  <c r="P118" i="8"/>
  <c r="P92" i="8"/>
  <c r="R280" i="8"/>
  <c r="N272" i="8"/>
  <c r="R107" i="8"/>
  <c r="R223" i="8"/>
  <c r="O60" i="8"/>
  <c r="H251" i="8"/>
  <c r="P314" i="8"/>
  <c r="T246" i="8"/>
  <c r="T167" i="8"/>
  <c r="R237" i="8"/>
  <c r="S207" i="8"/>
  <c r="O154" i="8"/>
  <c r="V225" i="8"/>
  <c r="R197" i="8"/>
  <c r="R108" i="8"/>
  <c r="V250" i="8"/>
  <c r="T264" i="8"/>
  <c r="U117" i="8"/>
  <c r="P182" i="8"/>
  <c r="U280" i="8"/>
  <c r="N53" i="8"/>
  <c r="O188" i="8"/>
  <c r="N157" i="8"/>
  <c r="R230" i="8"/>
  <c r="Q225" i="8"/>
  <c r="P126" i="8"/>
  <c r="T314" i="8"/>
  <c r="T245" i="8"/>
  <c r="U139" i="8"/>
  <c r="P72" i="8"/>
  <c r="R163" i="8"/>
  <c r="P128" i="8"/>
  <c r="V265" i="8"/>
  <c r="O101" i="8"/>
  <c r="T49" i="8"/>
  <c r="N132" i="8"/>
  <c r="N292" i="8"/>
  <c r="P40" i="8"/>
  <c r="U125" i="8"/>
  <c r="S259" i="8"/>
  <c r="P204" i="8"/>
  <c r="O202" i="8"/>
  <c r="U168" i="8"/>
  <c r="S180" i="8"/>
  <c r="U72" i="8"/>
  <c r="O137" i="8"/>
  <c r="N306" i="8"/>
  <c r="R293" i="8"/>
  <c r="S246" i="8"/>
  <c r="U92" i="8"/>
  <c r="R263" i="8"/>
  <c r="Q274" i="8"/>
  <c r="N76" i="8"/>
  <c r="R183" i="8"/>
  <c r="Q216" i="8"/>
  <c r="S73" i="8"/>
  <c r="U177" i="8"/>
  <c r="N293" i="8"/>
  <c r="S102" i="8"/>
  <c r="S216" i="8"/>
  <c r="V87" i="8"/>
  <c r="V160" i="8"/>
  <c r="V236" i="8"/>
  <c r="V74" i="8"/>
  <c r="Q56" i="8"/>
  <c r="V203" i="8"/>
  <c r="S262" i="8"/>
  <c r="H59" i="1"/>
  <c r="H60" i="1"/>
  <c r="E114" i="1"/>
  <c r="F256" i="8"/>
  <c r="A199" i="12"/>
  <c r="F257" i="8"/>
  <c r="H260" i="8"/>
  <c r="E39" i="1"/>
  <c r="O305" i="8"/>
  <c r="V280" i="8"/>
  <c r="S314" i="8"/>
  <c r="R245" i="8"/>
  <c r="Q244" i="8"/>
  <c r="R214" i="8"/>
  <c r="Q313" i="8"/>
  <c r="V257" i="8"/>
  <c r="N187" i="8"/>
  <c r="Q192" i="8"/>
  <c r="R132" i="8"/>
  <c r="Q73" i="8"/>
  <c r="U118" i="8"/>
  <c r="T182" i="8"/>
  <c r="T216" i="8"/>
  <c r="P46" i="8"/>
  <c r="Q49" i="8"/>
  <c r="V253" i="8"/>
  <c r="V133" i="8"/>
  <c r="N175" i="8"/>
  <c r="H110" i="1"/>
  <c r="T215" i="8"/>
  <c r="U40" i="8"/>
  <c r="S145" i="8"/>
  <c r="U278" i="8"/>
  <c r="T53" i="8"/>
  <c r="T127" i="8"/>
  <c r="O102" i="8"/>
  <c r="U95" i="8"/>
  <c r="R158" i="8"/>
  <c r="Q263" i="8"/>
  <c r="Q101" i="8"/>
  <c r="P174" i="8"/>
  <c r="S236" i="8"/>
  <c r="R154" i="8"/>
  <c r="P269" i="8"/>
  <c r="R213" i="8"/>
  <c r="P250" i="8"/>
  <c r="N202" i="8"/>
  <c r="S72" i="8"/>
  <c r="P54" i="8"/>
  <c r="P181" i="8"/>
  <c r="V77" i="8"/>
  <c r="Q45" i="8"/>
  <c r="B110" i="1"/>
  <c r="C110" i="1" s="1"/>
  <c r="P140" i="8"/>
  <c r="V102" i="8"/>
  <c r="V152" i="8"/>
  <c r="R182" i="8"/>
  <c r="Q251" i="8"/>
  <c r="S186" i="8"/>
  <c r="N207" i="8"/>
  <c r="N314" i="8"/>
  <c r="U279" i="8"/>
  <c r="T305" i="8"/>
  <c r="U307" i="8"/>
  <c r="Q310" i="8"/>
  <c r="V294" i="8"/>
  <c r="R312" i="8"/>
  <c r="V245" i="8"/>
  <c r="P245" i="8"/>
  <c r="N278" i="8"/>
  <c r="P257" i="8"/>
  <c r="N139" i="8"/>
  <c r="N199" i="8"/>
  <c r="N130" i="8"/>
  <c r="N279" i="8"/>
  <c r="P277" i="8"/>
  <c r="N84" i="8"/>
  <c r="Q254" i="8"/>
  <c r="T219" i="8"/>
  <c r="Q152" i="8"/>
  <c r="O271" i="8"/>
  <c r="S153" i="8"/>
  <c r="Q90" i="8"/>
  <c r="Q265" i="8"/>
  <c r="Q124" i="8"/>
  <c r="U294" i="8"/>
  <c r="U229" i="8"/>
  <c r="P47" i="8"/>
  <c r="R133" i="8"/>
  <c r="R227" i="8"/>
  <c r="U182" i="8"/>
  <c r="Q72" i="8"/>
  <c r="T175" i="8"/>
  <c r="N150" i="8"/>
  <c r="T152" i="8"/>
  <c r="U274" i="8"/>
  <c r="N190" i="8"/>
  <c r="R264" i="8"/>
  <c r="O42" i="8"/>
  <c r="Q169" i="8"/>
  <c r="R256" i="8"/>
  <c r="V212" i="8"/>
  <c r="Q160" i="8"/>
  <c r="P229" i="8"/>
  <c r="R71" i="8"/>
  <c r="R145" i="8"/>
  <c r="N307" i="8"/>
  <c r="U77" i="8"/>
  <c r="U69" i="8"/>
  <c r="V49" i="8"/>
  <c r="Q136" i="8"/>
  <c r="T237" i="8"/>
  <c r="R257" i="8"/>
  <c r="U55" i="8"/>
  <c r="P95" i="8"/>
  <c r="U201" i="8"/>
  <c r="O278" i="8"/>
  <c r="Q278" i="8"/>
  <c r="V305" i="8"/>
  <c r="R244" i="8"/>
  <c r="P244" i="8"/>
  <c r="N105" i="8"/>
  <c r="R308" i="8"/>
  <c r="Q177" i="8"/>
  <c r="U56" i="8"/>
  <c r="T120" i="8"/>
  <c r="R134" i="8"/>
  <c r="N215" i="8"/>
  <c r="N148" i="8"/>
  <c r="S256" i="8"/>
  <c r="O90" i="8"/>
  <c r="Q203" i="8"/>
  <c r="P101" i="8"/>
  <c r="Q153" i="8"/>
  <c r="R75" i="8"/>
  <c r="T185" i="8"/>
  <c r="R117" i="8"/>
  <c r="U238" i="8"/>
  <c r="V76" i="8"/>
  <c r="R271" i="8"/>
  <c r="V266" i="8"/>
  <c r="S121" i="8"/>
  <c r="N197" i="8"/>
  <c r="U47" i="8"/>
  <c r="N216" i="8"/>
  <c r="T307" i="8"/>
  <c r="S214" i="8"/>
  <c r="V220" i="8"/>
  <c r="S69" i="8"/>
  <c r="Q223" i="8"/>
  <c r="R126" i="8"/>
  <c r="U96" i="8"/>
  <c r="P176" i="8"/>
  <c r="V56" i="8"/>
  <c r="P167" i="8"/>
  <c r="T193" i="8"/>
  <c r="P254" i="8"/>
  <c r="R130" i="8"/>
  <c r="S272" i="8"/>
  <c r="V191" i="8"/>
  <c r="N158" i="8"/>
  <c r="T114" i="8"/>
  <c r="Q155" i="8"/>
  <c r="T225" i="8"/>
  <c r="Q233" i="8"/>
  <c r="U220" i="8"/>
  <c r="P165" i="8"/>
  <c r="S56" i="8"/>
  <c r="V222" i="8"/>
  <c r="O152" i="8"/>
  <c r="N61" i="8"/>
  <c r="Q311" i="8"/>
  <c r="R277" i="8"/>
  <c r="U291" i="8"/>
  <c r="S157" i="8"/>
  <c r="V244" i="8"/>
  <c r="O245" i="8"/>
  <c r="U273" i="8"/>
  <c r="R109" i="8"/>
  <c r="Q182" i="8"/>
  <c r="U260" i="8"/>
  <c r="N56" i="8"/>
  <c r="N71" i="8"/>
  <c r="S204" i="8"/>
  <c r="V218" i="8"/>
  <c r="T265" i="8"/>
  <c r="P169" i="8"/>
  <c r="O140" i="8"/>
  <c r="V270" i="8"/>
  <c r="N120" i="8"/>
  <c r="N117" i="8"/>
  <c r="U253" i="8"/>
  <c r="O131" i="8"/>
  <c r="S96" i="8"/>
  <c r="N80" i="8"/>
  <c r="U101" i="8"/>
  <c r="T209" i="8"/>
  <c r="T102" i="8"/>
  <c r="S131" i="8"/>
  <c r="R219" i="8"/>
  <c r="N168" i="8"/>
  <c r="Q42" i="8"/>
  <c r="R250" i="8"/>
  <c r="S181" i="8"/>
  <c r="P222" i="8"/>
  <c r="T273" i="8"/>
  <c r="Q75" i="8"/>
  <c r="R147" i="8"/>
  <c r="S148" i="8"/>
  <c r="O195" i="8"/>
  <c r="Q248" i="8"/>
  <c r="V158" i="8"/>
  <c r="V168" i="8"/>
  <c r="O146" i="8"/>
  <c r="Q214" i="8"/>
  <c r="R196" i="8"/>
  <c r="P160" i="8"/>
  <c r="T176" i="8"/>
  <c r="U203" i="8"/>
  <c r="Q262" i="8"/>
  <c r="S93" i="8"/>
  <c r="R73" i="8"/>
  <c r="S200" i="8"/>
  <c r="N195" i="8"/>
  <c r="Q224" i="8"/>
  <c r="V58" i="8"/>
  <c r="S59" i="8"/>
  <c r="P292" i="8"/>
  <c r="V278" i="8"/>
  <c r="S84" i="8"/>
  <c r="R143" i="8"/>
  <c r="R45" i="8"/>
  <c r="R47" i="8"/>
  <c r="P305" i="8"/>
  <c r="U132" i="8"/>
  <c r="V187" i="8"/>
  <c r="V115" i="8"/>
  <c r="U213" i="8"/>
  <c r="Q107" i="8"/>
  <c r="N109" i="8"/>
  <c r="T48" i="8"/>
  <c r="V54" i="8"/>
  <c r="R120" i="8"/>
  <c r="S278" i="8"/>
  <c r="V198" i="8"/>
  <c r="R169" i="8"/>
  <c r="O264" i="8"/>
  <c r="V70" i="8"/>
  <c r="V213" i="8"/>
  <c r="O49" i="8"/>
  <c r="V162" i="8"/>
  <c r="Q188" i="8"/>
  <c r="P185" i="8"/>
  <c r="Q40" i="8"/>
  <c r="N271" i="8"/>
  <c r="U193" i="8"/>
  <c r="Q293" i="8"/>
  <c r="S70" i="8"/>
  <c r="Q205" i="8"/>
  <c r="U237" i="8"/>
  <c r="V219" i="8"/>
  <c r="V118" i="8"/>
  <c r="N69" i="8"/>
  <c r="T313" i="8"/>
  <c r="U223" i="8"/>
  <c r="V110" i="8"/>
  <c r="V113" i="8"/>
  <c r="U42" i="8"/>
  <c r="Q201" i="8"/>
  <c r="Q102" i="8"/>
  <c r="T104" i="8"/>
  <c r="Q48" i="8"/>
  <c r="O192" i="8"/>
  <c r="O72" i="8"/>
  <c r="N264" i="8"/>
  <c r="R192" i="8"/>
  <c r="P151" i="8"/>
  <c r="T153" i="8"/>
  <c r="R162" i="8"/>
  <c r="O230" i="8"/>
  <c r="N140" i="8"/>
  <c r="N266" i="8"/>
  <c r="V312" i="8"/>
  <c r="N183" i="8"/>
  <c r="R125" i="8"/>
  <c r="O311" i="8"/>
  <c r="R102" i="8"/>
  <c r="N234" i="8"/>
  <c r="S119" i="8"/>
  <c r="T280" i="8"/>
  <c r="Q180" i="8"/>
  <c r="Q215" i="8"/>
  <c r="R144" i="8"/>
  <c r="N177" i="8"/>
  <c r="V146" i="8"/>
  <c r="P192" i="8"/>
  <c r="O114" i="8"/>
  <c r="R186" i="8"/>
  <c r="Q199" i="8"/>
  <c r="U234" i="8"/>
  <c r="V159" i="8"/>
  <c r="P271" i="8"/>
  <c r="V216" i="8"/>
  <c r="Q41" i="8"/>
  <c r="N58" i="8"/>
  <c r="T58" i="8"/>
  <c r="N136" i="8"/>
  <c r="P91" i="8"/>
  <c r="T217" i="8"/>
  <c r="V209" i="8"/>
  <c r="R69" i="8"/>
  <c r="Q85" i="8"/>
  <c r="T155" i="8"/>
  <c r="T137" i="8"/>
  <c r="R101" i="8"/>
  <c r="R81" i="8"/>
  <c r="R209" i="8"/>
  <c r="N310" i="8"/>
  <c r="N204" i="8"/>
  <c r="Q165" i="8"/>
  <c r="V46" i="8"/>
  <c r="V101" i="8"/>
  <c r="R193" i="8"/>
  <c r="S161" i="8"/>
  <c r="O270" i="8"/>
  <c r="Q119" i="8"/>
  <c r="T105" i="8"/>
  <c r="S254" i="8"/>
  <c r="P131" i="8"/>
  <c r="Q108" i="8"/>
  <c r="V260" i="8"/>
  <c r="S87" i="8"/>
  <c r="P193" i="8"/>
  <c r="U183" i="8"/>
  <c r="O87" i="8"/>
  <c r="R175" i="8"/>
  <c r="Q266" i="8"/>
  <c r="S123" i="8"/>
  <c r="N108" i="8"/>
  <c r="P260" i="8"/>
  <c r="T177" i="8"/>
  <c r="Q294" i="8"/>
  <c r="Q307" i="8"/>
  <c r="Q187" i="8"/>
  <c r="V263" i="8"/>
  <c r="N222" i="8"/>
  <c r="N219" i="8"/>
  <c r="U230" i="8"/>
  <c r="P136" i="8"/>
  <c r="N60" i="8"/>
  <c r="Q125" i="8"/>
  <c r="N163" i="8"/>
  <c r="P148" i="8"/>
  <c r="U164" i="8"/>
  <c r="V43" i="8"/>
  <c r="Q104" i="8"/>
  <c r="N174" i="8"/>
  <c r="T132" i="8"/>
  <c r="U138" i="8"/>
  <c r="U308" i="8"/>
  <c r="H366" i="8"/>
  <c r="P80" i="8"/>
  <c r="R84" i="8"/>
  <c r="T266" i="8"/>
  <c r="P102" i="8"/>
  <c r="U147" i="8"/>
  <c r="S270" i="8"/>
  <c r="P201" i="8"/>
  <c r="T117" i="8"/>
  <c r="O175" i="8"/>
  <c r="R306" i="8"/>
  <c r="U292" i="8"/>
  <c r="V120" i="8"/>
  <c r="Q163" i="8"/>
  <c r="U159" i="8"/>
  <c r="P209" i="8"/>
  <c r="Q79" i="8"/>
  <c r="O236" i="8"/>
  <c r="N144" i="8"/>
  <c r="T277" i="8"/>
  <c r="U61" i="8"/>
  <c r="O182" i="8"/>
  <c r="O256" i="8"/>
  <c r="R119" i="8"/>
  <c r="Q161" i="8"/>
  <c r="O118" i="8"/>
  <c r="R265" i="8"/>
  <c r="R152" i="8"/>
  <c r="N101" i="8"/>
  <c r="U144" i="8"/>
  <c r="S49" i="8"/>
  <c r="R224" i="8"/>
  <c r="O80" i="8"/>
  <c r="S114" i="8"/>
  <c r="V223" i="8"/>
  <c r="O144" i="8"/>
  <c r="U199" i="8"/>
  <c r="T203" i="8"/>
  <c r="V48" i="8"/>
  <c r="T160" i="8"/>
  <c r="O209" i="8"/>
  <c r="P164" i="8"/>
  <c r="S71" i="8"/>
  <c r="N256" i="8"/>
  <c r="N308" i="8"/>
  <c r="Q88" i="8"/>
  <c r="Q92" i="8"/>
  <c r="P163" i="8"/>
  <c r="T163" i="8"/>
  <c r="R270" i="8"/>
  <c r="P191" i="8"/>
  <c r="N128" i="8"/>
  <c r="P93" i="8"/>
  <c r="O40" i="8"/>
  <c r="T159" i="8"/>
  <c r="S311" i="8"/>
  <c r="N181" i="8"/>
  <c r="T130" i="8"/>
  <c r="T73" i="8"/>
  <c r="V86" i="8"/>
  <c r="S159" i="8"/>
  <c r="P228" i="8"/>
  <c r="T84" i="8"/>
  <c r="O128" i="8"/>
  <c r="P212" i="8"/>
  <c r="U218" i="8"/>
  <c r="O292" i="8"/>
  <c r="S115" i="8"/>
  <c r="U146" i="8"/>
  <c r="S151" i="8"/>
  <c r="S274" i="8"/>
  <c r="O115" i="8"/>
  <c r="H399" i="8"/>
  <c r="O306" i="8"/>
  <c r="U93" i="8"/>
  <c r="Q183" i="8"/>
  <c r="U228" i="8"/>
  <c r="V217" i="8"/>
  <c r="R208" i="8"/>
  <c r="U205" i="8"/>
  <c r="S306" i="8"/>
  <c r="Q230" i="8"/>
  <c r="S125" i="8"/>
  <c r="P198" i="8"/>
  <c r="S224" i="8"/>
  <c r="P313" i="8"/>
  <c r="N55" i="8"/>
  <c r="S134" i="8"/>
  <c r="Q146" i="8"/>
  <c r="R212" i="8"/>
  <c r="T164" i="8"/>
  <c r="U263" i="8"/>
  <c r="V311" i="8"/>
  <c r="V314" i="8"/>
  <c r="O132" i="8"/>
  <c r="U58" i="8"/>
  <c r="O58" i="8"/>
  <c r="P219" i="8"/>
  <c r="N153" i="8"/>
  <c r="T220" i="8"/>
  <c r="O200" i="8"/>
  <c r="T191" i="8"/>
  <c r="N270" i="8"/>
  <c r="N257" i="8"/>
  <c r="Q195" i="8"/>
  <c r="O213" i="8"/>
  <c r="N198" i="8"/>
  <c r="P266" i="8"/>
  <c r="U187" i="8"/>
  <c r="R225" i="8"/>
  <c r="N96" i="8"/>
  <c r="S202" i="8"/>
  <c r="P274" i="8"/>
  <c r="O125" i="8"/>
  <c r="O201" i="8"/>
  <c r="N225" i="8"/>
  <c r="S195" i="8"/>
  <c r="T208" i="8"/>
  <c r="P114" i="8"/>
  <c r="P56" i="8"/>
  <c r="P158" i="8"/>
  <c r="T233" i="8"/>
  <c r="R128" i="8"/>
  <c r="Q110" i="8"/>
  <c r="Q270" i="8"/>
  <c r="O176" i="8"/>
  <c r="U169" i="8"/>
  <c r="R135" i="8"/>
  <c r="Q96" i="8"/>
  <c r="V150" i="8"/>
  <c r="V139" i="8"/>
  <c r="U50" i="8"/>
  <c r="V68" i="8"/>
  <c r="V40" i="8"/>
  <c r="T205" i="8"/>
  <c r="T154" i="8"/>
  <c r="Q168" i="8"/>
  <c r="T199" i="8"/>
  <c r="T107" i="8"/>
  <c r="U266" i="8"/>
  <c r="N259" i="8"/>
  <c r="S104" i="8"/>
  <c r="T97" i="8"/>
  <c r="O108" i="8"/>
  <c r="R160" i="8"/>
  <c r="O124" i="8"/>
  <c r="O155" i="8"/>
  <c r="O94" i="8"/>
  <c r="S279" i="8"/>
  <c r="R168" i="8"/>
  <c r="V128" i="8"/>
  <c r="O313" i="8"/>
  <c r="O134" i="8"/>
  <c r="S155" i="8"/>
  <c r="O157" i="8"/>
  <c r="N131" i="8"/>
  <c r="T135" i="8"/>
  <c r="S234" i="8"/>
  <c r="T197" i="8"/>
  <c r="V292" i="8"/>
  <c r="N92" i="8"/>
  <c r="S215" i="8"/>
  <c r="R202" i="8"/>
  <c r="S41" i="8"/>
  <c r="R150" i="8"/>
  <c r="S79" i="8"/>
  <c r="S133" i="8"/>
  <c r="U259" i="8"/>
  <c r="U43" i="8"/>
  <c r="N114" i="8"/>
  <c r="P61" i="8"/>
  <c r="T95" i="8"/>
  <c r="R215" i="8"/>
  <c r="O163" i="8"/>
  <c r="R185" i="8"/>
  <c r="O110" i="8"/>
  <c r="V200" i="8"/>
  <c r="R260" i="8"/>
  <c r="P130" i="8"/>
  <c r="Q193" i="8"/>
  <c r="R155" i="8"/>
  <c r="U190" i="8"/>
  <c r="S223" i="8"/>
  <c r="U207" i="8"/>
  <c r="T87" i="8"/>
  <c r="P162" i="8"/>
  <c r="U123" i="8"/>
  <c r="S110" i="8"/>
  <c r="U91" i="8"/>
  <c r="Q159" i="8"/>
  <c r="T139" i="8"/>
  <c r="N77" i="8"/>
  <c r="S117" i="8"/>
  <c r="O138" i="8"/>
  <c r="R222" i="8"/>
  <c r="P144" i="8"/>
  <c r="O164" i="8"/>
  <c r="P73" i="8"/>
  <c r="R207" i="8"/>
  <c r="N188" i="8"/>
  <c r="T267" i="8"/>
  <c r="N262" i="8"/>
  <c r="P90" i="8"/>
  <c r="T254" i="8"/>
  <c r="S219" i="8"/>
  <c r="P68" i="8"/>
  <c r="T134" i="8"/>
  <c r="V233" i="8"/>
  <c r="O214" i="8"/>
  <c r="N85" i="8"/>
  <c r="T187" i="8"/>
  <c r="O193" i="8"/>
  <c r="R167" i="8"/>
  <c r="P208" i="8"/>
  <c r="R97" i="8"/>
  <c r="N48" i="8"/>
  <c r="Q260" i="8"/>
  <c r="Q47" i="8"/>
  <c r="P196" i="8"/>
  <c r="R292" i="8"/>
  <c r="S107" i="8"/>
  <c r="R137" i="8"/>
  <c r="N236" i="8"/>
  <c r="Q82" i="8"/>
  <c r="U197" i="8"/>
  <c r="U145" i="8"/>
  <c r="P294" i="8"/>
  <c r="V201" i="8"/>
  <c r="Q139" i="8"/>
  <c r="P214" i="8"/>
  <c r="U74" i="8"/>
  <c r="P225" i="8"/>
  <c r="T230" i="8"/>
  <c r="Q95" i="8"/>
  <c r="N107" i="8"/>
  <c r="O73" i="8"/>
  <c r="N87" i="8"/>
  <c r="Q253" i="8"/>
  <c r="U175" i="8"/>
  <c r="Q71" i="8"/>
  <c r="T212" i="8"/>
  <c r="V154" i="8"/>
  <c r="S124" i="8"/>
  <c r="U102" i="8"/>
  <c r="S251" i="8"/>
  <c r="V269" i="8"/>
  <c r="S90" i="8"/>
  <c r="P233" i="8"/>
  <c r="V202" i="8"/>
  <c r="T253" i="8"/>
  <c r="T270" i="8"/>
  <c r="V96" i="8"/>
  <c r="V109" i="8"/>
  <c r="N191" i="8"/>
  <c r="U116" i="8"/>
  <c r="V60" i="8"/>
  <c r="R77" i="8"/>
  <c r="O199" i="8"/>
  <c r="P70" i="8"/>
  <c r="U217" i="8"/>
  <c r="Q212" i="8"/>
  <c r="U75" i="8"/>
  <c r="Q164" i="8"/>
  <c r="N280" i="8"/>
  <c r="P53" i="8"/>
  <c r="Q264" i="8"/>
  <c r="S312" i="8"/>
  <c r="N294" i="8"/>
  <c r="V254" i="8"/>
  <c r="O123" i="8"/>
  <c r="R267" i="8"/>
  <c r="N123" i="8"/>
  <c r="N250" i="8"/>
  <c r="P143" i="8"/>
  <c r="V273" i="8"/>
  <c r="O55" i="8"/>
  <c r="R82" i="8"/>
  <c r="V114" i="8"/>
  <c r="S45" i="8"/>
  <c r="R139" i="8"/>
  <c r="N124" i="8"/>
  <c r="S212" i="8"/>
  <c r="Q74" i="8"/>
  <c r="N161" i="8"/>
  <c r="U219" i="8"/>
  <c r="O191" i="8"/>
  <c r="S135" i="8"/>
  <c r="T101" i="8"/>
  <c r="V71" i="8"/>
  <c r="U76" i="8"/>
  <c r="P202" i="8"/>
  <c r="P186" i="8"/>
  <c r="T143" i="8"/>
  <c r="N113" i="8"/>
  <c r="O109" i="8"/>
  <c r="P49" i="8"/>
  <c r="O280" i="8"/>
  <c r="O54" i="8"/>
  <c r="O126" i="8"/>
  <c r="S152" i="8"/>
  <c r="N45" i="8"/>
  <c r="U212" i="8"/>
  <c r="V85" i="8"/>
  <c r="T181" i="8"/>
  <c r="N82" i="8"/>
  <c r="U152" i="8"/>
  <c r="O185" i="8"/>
  <c r="T260" i="8"/>
  <c r="O79" i="8"/>
  <c r="H365" i="8"/>
  <c r="R188" i="8"/>
  <c r="Q259" i="8"/>
  <c r="P236" i="8"/>
  <c r="O130" i="8"/>
  <c r="R253" i="8"/>
  <c r="R86" i="8"/>
  <c r="P230" i="8"/>
  <c r="Q133" i="8"/>
  <c r="U214" i="8"/>
  <c r="N104" i="8"/>
  <c r="R92" i="8"/>
  <c r="S209" i="8"/>
  <c r="T116" i="8"/>
  <c r="U82" i="8"/>
  <c r="B111" i="1"/>
  <c r="C111" i="1" s="1"/>
  <c r="P97" i="8"/>
  <c r="V262" i="8"/>
  <c r="O180" i="8"/>
  <c r="V192" i="8"/>
  <c r="O204" i="8"/>
  <c r="Q271" i="8"/>
  <c r="U113" i="8"/>
  <c r="T85" i="8"/>
  <c r="R174" i="8"/>
  <c r="N95" i="8"/>
  <c r="U154" i="8"/>
  <c r="R74" i="8"/>
  <c r="O103" i="8"/>
  <c r="Q132" i="8"/>
  <c r="R60" i="8"/>
  <c r="N137" i="8"/>
  <c r="T306" i="8"/>
  <c r="V310" i="8"/>
  <c r="O227" i="8"/>
  <c r="T279" i="8"/>
  <c r="R116" i="8"/>
  <c r="V175" i="8"/>
  <c r="N147" i="8"/>
  <c r="R91" i="8"/>
  <c r="P50" i="8"/>
  <c r="S260" i="8"/>
  <c r="V207" i="8"/>
  <c r="V140" i="8"/>
  <c r="U85" i="8"/>
  <c r="V176" i="8"/>
  <c r="T119" i="8"/>
  <c r="U137" i="8"/>
  <c r="O105" i="8"/>
  <c r="R159" i="8"/>
  <c r="S266" i="8"/>
  <c r="Q175" i="8"/>
  <c r="P199" i="8"/>
  <c r="S205" i="8"/>
  <c r="Q220" i="8"/>
  <c r="S95" i="8"/>
  <c r="O197" i="8"/>
  <c r="N220" i="8"/>
  <c r="R164" i="8"/>
  <c r="S291" i="8"/>
  <c r="R278" i="8"/>
  <c r="R40" i="8"/>
  <c r="V228" i="8"/>
  <c r="N201" i="8"/>
  <c r="S227" i="8"/>
  <c r="T294" i="8"/>
  <c r="N159" i="8"/>
  <c r="S138" i="8"/>
  <c r="S101" i="8"/>
  <c r="V127" i="8"/>
  <c r="T88" i="8"/>
  <c r="T145" i="8"/>
  <c r="O82" i="8"/>
  <c r="V293" i="8"/>
  <c r="P234" i="8"/>
  <c r="Q97" i="8"/>
  <c r="S313" i="8"/>
  <c r="P197" i="8"/>
  <c r="U41" i="8"/>
  <c r="O50" i="8"/>
  <c r="T91" i="8"/>
  <c r="U88" i="8"/>
  <c r="O253" i="8"/>
  <c r="R148" i="8"/>
  <c r="R80" i="8"/>
  <c r="V121" i="8"/>
  <c r="S109" i="8"/>
  <c r="V199" i="8"/>
  <c r="S103" i="8"/>
  <c r="P215" i="8"/>
  <c r="T238" i="8"/>
  <c r="V88" i="8"/>
  <c r="S250" i="8"/>
  <c r="S271" i="8"/>
  <c r="O260" i="8"/>
  <c r="V163" i="8"/>
  <c r="P190" i="8"/>
  <c r="O121" i="8"/>
  <c r="R191" i="8"/>
  <c r="V155" i="8"/>
  <c r="Q86" i="8"/>
  <c r="V73" i="8"/>
  <c r="V116" i="8"/>
  <c r="Q81" i="8"/>
  <c r="O215" i="8"/>
  <c r="O257" i="8"/>
  <c r="V107" i="8"/>
  <c r="B314" i="8"/>
  <c r="M314" i="8" s="1"/>
  <c r="T228" i="8"/>
  <c r="N164" i="8"/>
  <c r="U134" i="8"/>
  <c r="U120" i="8"/>
  <c r="O61" i="8"/>
  <c r="P127" i="8"/>
  <c r="R55" i="8"/>
  <c r="U148" i="8"/>
  <c r="O237" i="8"/>
  <c r="O139" i="8"/>
  <c r="Q138" i="8"/>
  <c r="S199" i="8"/>
  <c r="Q94" i="8"/>
  <c r="O222" i="8"/>
  <c r="O229" i="8"/>
  <c r="U313" i="8"/>
  <c r="U158" i="8"/>
  <c r="V208" i="8"/>
  <c r="P87" i="8"/>
  <c r="N151" i="8"/>
  <c r="N42" i="8"/>
  <c r="U165" i="8"/>
  <c r="T136" i="8"/>
  <c r="U49" i="8"/>
  <c r="S217" i="8"/>
  <c r="R274" i="8"/>
  <c r="U115" i="8"/>
  <c r="R161" i="8"/>
  <c r="U161" i="8"/>
  <c r="Q151" i="8"/>
  <c r="R236" i="8"/>
  <c r="U162" i="8"/>
  <c r="S132" i="8"/>
  <c r="O158" i="8"/>
  <c r="U236" i="8"/>
  <c r="U270" i="8"/>
  <c r="N227" i="8"/>
  <c r="O86" i="8"/>
  <c r="V141" i="8"/>
  <c r="T180" i="8"/>
  <c r="P312" i="8"/>
  <c r="S43" i="8"/>
  <c r="O56" i="8"/>
  <c r="Q54" i="8"/>
  <c r="N263" i="8"/>
  <c r="O203" i="8"/>
  <c r="N74" i="8"/>
  <c r="T190" i="8"/>
  <c r="S80" i="8"/>
  <c r="P88" i="8"/>
  <c r="P195" i="8"/>
  <c r="P256" i="8"/>
  <c r="U225" i="8"/>
  <c r="N200" i="8"/>
  <c r="N154" i="8"/>
  <c r="S267" i="8"/>
  <c r="V91" i="8"/>
  <c r="T274" i="8"/>
  <c r="V41" i="8"/>
  <c r="T124" i="8"/>
  <c r="S164" i="8"/>
  <c r="T165" i="8"/>
  <c r="O262" i="8"/>
  <c r="N46" i="8"/>
  <c r="B347" i="8"/>
  <c r="R273" i="8"/>
  <c r="Q181" i="8"/>
  <c r="U140" i="8"/>
  <c r="V161" i="8"/>
  <c r="P133" i="8"/>
  <c r="T40" i="8"/>
  <c r="R200" i="8"/>
  <c r="U176" i="8"/>
  <c r="S187" i="8"/>
  <c r="N230" i="8"/>
  <c r="S248" i="8"/>
  <c r="O74" i="8"/>
  <c r="S196" i="8"/>
  <c r="S257" i="8"/>
  <c r="N274" i="8"/>
  <c r="N91" i="8"/>
  <c r="S177" i="8"/>
  <c r="Q109" i="8"/>
  <c r="T151" i="8"/>
  <c r="Q257" i="8"/>
  <c r="T269" i="8"/>
  <c r="Q120" i="8"/>
  <c r="Q207" i="8"/>
  <c r="O291" i="8"/>
  <c r="O187" i="8"/>
  <c r="N118" i="8"/>
  <c r="O97" i="8"/>
  <c r="R113" i="8"/>
  <c r="T54" i="8"/>
  <c r="T244" i="8"/>
  <c r="U245" i="8"/>
  <c r="O244" i="8"/>
  <c r="S294" i="8"/>
  <c r="T292" i="8"/>
  <c r="T310" i="8"/>
  <c r="V277" i="8"/>
  <c r="Q292" i="8"/>
  <c r="P246" i="8"/>
  <c r="S245" i="8"/>
  <c r="R228" i="8"/>
  <c r="N267" i="8"/>
  <c r="T174" i="8"/>
  <c r="O169" i="8"/>
  <c r="Q256" i="8"/>
  <c r="N205" i="8"/>
  <c r="O48" i="8"/>
  <c r="T115" i="8"/>
  <c r="Q77" i="8"/>
  <c r="Q91" i="8"/>
  <c r="Q128" i="8"/>
  <c r="N233" i="8"/>
  <c r="V256" i="8"/>
  <c r="S165" i="8"/>
  <c r="T43" i="8"/>
  <c r="P85" i="8"/>
  <c r="O53" i="8"/>
  <c r="V104" i="8"/>
  <c r="U46" i="8"/>
  <c r="N265" i="8"/>
  <c r="P76" i="8"/>
  <c r="T109" i="8"/>
  <c r="P123" i="8"/>
  <c r="Q218" i="8"/>
  <c r="S307" i="8"/>
  <c r="S175" i="8"/>
  <c r="P82" i="8"/>
  <c r="O196" i="8"/>
  <c r="T214" i="8"/>
  <c r="U192" i="8"/>
  <c r="R203" i="8"/>
  <c r="T47" i="8"/>
  <c r="T138" i="8"/>
  <c r="T128" i="8"/>
  <c r="H111" i="1"/>
  <c r="R131" i="8"/>
  <c r="U108" i="8"/>
  <c r="Q200" i="8"/>
  <c r="T202" i="8"/>
  <c r="S130" i="8"/>
  <c r="V224" i="8"/>
  <c r="N116" i="8"/>
  <c r="S273" i="8"/>
  <c r="R165" i="8"/>
  <c r="V47" i="8"/>
  <c r="U119" i="8"/>
  <c r="Q118" i="8"/>
  <c r="T59" i="8"/>
  <c r="U314" i="8"/>
  <c r="T291" i="8"/>
  <c r="U277" i="8"/>
  <c r="P308" i="8"/>
  <c r="R310" i="8"/>
  <c r="O312" i="8"/>
  <c r="R305" i="8"/>
  <c r="O310" i="8"/>
  <c r="N311" i="8"/>
  <c r="V313" i="8"/>
  <c r="C24" i="49"/>
  <c r="C72" i="49"/>
  <c r="E336" i="8"/>
  <c r="E337" i="8"/>
  <c r="F233" i="8"/>
  <c r="H233" i="8"/>
  <c r="B233" i="8"/>
  <c r="M233" i="8" s="1"/>
  <c r="D14" i="12"/>
  <c r="B38" i="1"/>
  <c r="C38" i="1" s="1"/>
  <c r="E38" i="1"/>
  <c r="E40" i="1"/>
  <c r="C7" i="8"/>
  <c r="C5" i="64"/>
  <c r="C325" i="8" s="1"/>
  <c r="AY183" i="10" a="1"/>
  <c r="AY183" i="10" s="1"/>
  <c r="AY160" i="10" a="1"/>
  <c r="AY195" i="10" a="1"/>
  <c r="AY45" i="10" a="1"/>
  <c r="AY45" i="10" s="1"/>
  <c r="AY352" i="10" a="1"/>
  <c r="AY352" i="10" s="1"/>
  <c r="AY279" i="10" a="1"/>
  <c r="AY279" i="10" s="1"/>
  <c r="C122" i="57"/>
  <c r="E112" i="1"/>
  <c r="H112" i="1"/>
  <c r="H114" i="1"/>
  <c r="E46" i="1"/>
  <c r="H48" i="1"/>
  <c r="H46" i="1"/>
  <c r="C14" i="3"/>
  <c r="C27" i="3" s="1"/>
  <c r="C13" i="57" s="1"/>
  <c r="B47" i="1"/>
  <c r="C47" i="1" s="1"/>
  <c r="L442" i="8" s="1"/>
  <c r="H47" i="1"/>
  <c r="I45" i="1"/>
  <c r="E48" i="1"/>
  <c r="AY16" i="10" a="1"/>
  <c r="AY16" i="10" s="1"/>
  <c r="AY254" i="10" a="1"/>
  <c r="AY254" i="10" s="1"/>
  <c r="AY360" i="10" a="1"/>
  <c r="AY169" i="10" a="1"/>
  <c r="AY40" i="10" a="1"/>
  <c r="AY40" i="10" s="1"/>
  <c r="AY173" i="10" a="1"/>
  <c r="AY173" i="10" s="1"/>
  <c r="AY50" i="10" a="1"/>
  <c r="AY50" i="10" s="1"/>
  <c r="AY156" i="10" a="1"/>
  <c r="AY156" i="10" s="1"/>
  <c r="AY180" i="10" a="1"/>
  <c r="AY180" i="10" s="1"/>
  <c r="AY55" i="10" a="1"/>
  <c r="AY55" i="10" s="1"/>
  <c r="AY190" i="10" a="1"/>
  <c r="AY190" i="10" s="1"/>
  <c r="AY196" i="10" a="1"/>
  <c r="AY218" i="10" a="1"/>
  <c r="AY291" i="10" a="1"/>
  <c r="AY291" i="10" s="1"/>
  <c r="AG209" i="8"/>
  <c r="AH209" i="8" s="1"/>
  <c r="J209" i="8"/>
  <c r="AX363" i="10" a="1"/>
  <c r="AX363" i="10" s="1"/>
  <c r="AY62" i="10" a="1"/>
  <c r="AY62" i="10" s="1"/>
  <c r="AY153" i="10" a="1"/>
  <c r="AY153" i="10" s="1"/>
  <c r="AY257" i="10" a="1"/>
  <c r="AY177" i="10" a="1"/>
  <c r="AY177" i="10" s="1"/>
  <c r="AY33" i="10" a="1"/>
  <c r="AY33" i="10" s="1"/>
  <c r="AY187" i="10" a="1"/>
  <c r="AY187" i="10" s="1"/>
  <c r="AY184" i="10" a="1"/>
  <c r="AY184" i="10" s="1"/>
  <c r="AY235" i="10" a="1"/>
  <c r="AY235" i="10" s="1"/>
  <c r="AY170" i="10" a="1"/>
  <c r="AY170" i="10" s="1"/>
  <c r="AY134" i="10" a="1"/>
  <c r="AY80" i="10" a="1"/>
  <c r="AY206" i="10" a="1"/>
  <c r="AY206" i="10" s="1"/>
  <c r="AY288" i="10" a="1"/>
  <c r="AY288" i="10" s="1"/>
  <c r="AY59" i="10" a="1"/>
  <c r="AY59" i="10" s="1"/>
  <c r="AY268" i="10" a="1"/>
  <c r="AY268" i="10" s="1"/>
  <c r="AY125" i="10" a="1"/>
  <c r="AY125" i="10" s="1"/>
  <c r="AY74" i="10" a="1"/>
  <c r="AY74" i="10" s="1"/>
  <c r="AY207" i="10" a="1"/>
  <c r="AY243" i="10" a="1"/>
  <c r="AY243" i="10" s="1"/>
  <c r="AY122" i="10" a="1"/>
  <c r="AY122" i="10" s="1"/>
  <c r="AY237" i="10" a="1"/>
  <c r="AY237" i="10" s="1"/>
  <c r="AY258" i="10" a="1"/>
  <c r="AY146" i="10" a="1"/>
  <c r="B48" i="1"/>
  <c r="C48" i="1" s="1"/>
  <c r="M442" i="8" s="1"/>
  <c r="AY71" i="10" a="1"/>
  <c r="AY71" i="10" s="1"/>
  <c r="AY64" i="10" a="1"/>
  <c r="AY64" i="10" s="1"/>
  <c r="AY249" i="10" a="1"/>
  <c r="AY249" i="10" s="1"/>
  <c r="AY179" i="10" a="1"/>
  <c r="AY179" i="10" s="1"/>
  <c r="AY252" i="10" a="1"/>
  <c r="AY252" i="10" s="1"/>
  <c r="AY185" i="10" a="1"/>
  <c r="AY214" i="10" a="1"/>
  <c r="AY72" i="10" a="1"/>
  <c r="AY72" i="10" s="1"/>
  <c r="AY79" i="10" a="1"/>
  <c r="AY79" i="10" s="1"/>
  <c r="AY259" i="10" a="1"/>
  <c r="AY259" i="10" s="1"/>
  <c r="AY140" i="10" a="1"/>
  <c r="AY140" i="10" s="1"/>
  <c r="AY273" i="10" a="1"/>
  <c r="AY273" i="10" s="1"/>
  <c r="AY200" i="10" a="1"/>
  <c r="AY200" i="10" s="1"/>
  <c r="AY52" i="10" a="1"/>
  <c r="AY52" i="10" s="1"/>
  <c r="AY46" i="10" a="1"/>
  <c r="AY46" i="10" s="1"/>
  <c r="AY266" i="10" a="1"/>
  <c r="AY266" i="10" s="1"/>
  <c r="AY130" i="10" a="1"/>
  <c r="AY130" i="10" s="1"/>
  <c r="AY205" i="10" a="1"/>
  <c r="AY205" i="10" s="1"/>
  <c r="AY69" i="10" a="1"/>
  <c r="AY69" i="10" s="1"/>
  <c r="AY223" i="10" a="1"/>
  <c r="AY223" i="10" s="1"/>
  <c r="AY197" i="10" a="1"/>
  <c r="AY197" i="10" s="1"/>
  <c r="AY76" i="10" a="1"/>
  <c r="AY76" i="10" s="1"/>
  <c r="AY150" i="10" a="1"/>
  <c r="AY150" i="10" s="1"/>
  <c r="AY143" i="10" a="1"/>
  <c r="AY158" i="10" a="1"/>
  <c r="AY158" i="10" s="1"/>
  <c r="AY126" i="10" a="1"/>
  <c r="AY287" i="10" a="1"/>
  <c r="AY287" i="10" s="1"/>
  <c r="AY295" i="10" a="1"/>
  <c r="AY295" i="10" s="1"/>
  <c r="AY270" i="10" a="1"/>
  <c r="AY270" i="10" s="1"/>
  <c r="AY284" i="10" a="1"/>
  <c r="AY284" i="10" s="1"/>
  <c r="AY39" i="10" a="1"/>
  <c r="AY39" i="10" s="1"/>
  <c r="AY238" i="10" a="1"/>
  <c r="AY238" i="10" s="1"/>
  <c r="AY330" i="10" a="1"/>
  <c r="AY330" i="10" s="1"/>
  <c r="AY347" i="10" a="1"/>
  <c r="AY347" i="10" s="1"/>
  <c r="AY225" i="10" a="1"/>
  <c r="AY225" i="10" s="1"/>
  <c r="AY337" i="10" a="1"/>
  <c r="AY337" i="10" s="1"/>
  <c r="AY163" i="10" a="1"/>
  <c r="AY163" i="10" s="1"/>
  <c r="AY213" i="10" a="1"/>
  <c r="AY213" i="10" s="1"/>
  <c r="AY261" i="10" a="1"/>
  <c r="AY261" i="10" s="1"/>
  <c r="AY255" i="10" a="1"/>
  <c r="AY255" i="10" s="1"/>
  <c r="AY208" i="10" a="1"/>
  <c r="AY208" i="10" s="1"/>
  <c r="AY157" i="10" a="1"/>
  <c r="AY157" i="10" s="1"/>
  <c r="AY78" i="10" a="1"/>
  <c r="AY78" i="10" s="1"/>
  <c r="AY30" i="10" a="1"/>
  <c r="AY30" i="10" s="1"/>
  <c r="AY343" i="10" a="1"/>
  <c r="AY343" i="10" s="1"/>
  <c r="AY34" i="10" a="1"/>
  <c r="AY232" i="10" a="1"/>
  <c r="AY232" i="10" s="1"/>
  <c r="AY277" i="10" a="1"/>
  <c r="AY277" i="10" s="1"/>
  <c r="AY286" i="10" a="1"/>
  <c r="AY286" i="10" s="1"/>
  <c r="AY121" i="10" a="1"/>
  <c r="AY41" i="10" a="1"/>
  <c r="AY41" i="10" s="1"/>
  <c r="AY293" i="10" a="1"/>
  <c r="AY293" i="10" s="1"/>
  <c r="AY353" i="10" a="1"/>
  <c r="AY353" i="10" s="1"/>
  <c r="AY21" i="10" a="1"/>
  <c r="AY21" i="10" s="1"/>
  <c r="AY131" i="10" a="1"/>
  <c r="AY131" i="10" s="1"/>
  <c r="AY165" i="10" a="1"/>
  <c r="AY165" i="10" s="1"/>
  <c r="AY260" i="10" a="1"/>
  <c r="AY260" i="10" s="1"/>
  <c r="AY348" i="10" a="1"/>
  <c r="AY348" i="10" s="1"/>
  <c r="AY253" i="10" a="1"/>
  <c r="AY203" i="10" a="1"/>
  <c r="AY203" i="10" s="1"/>
  <c r="AY155" i="10" a="1"/>
  <c r="AY155" i="10" s="1"/>
  <c r="AY29" i="10" a="1"/>
  <c r="AY29" i="10" s="1"/>
  <c r="AY58" i="10" a="1"/>
  <c r="AY58" i="10" s="1"/>
  <c r="AY193" i="10" a="1"/>
  <c r="AY193" i="10" s="1"/>
  <c r="AY231" i="10" a="1"/>
  <c r="AY231" i="10" s="1"/>
  <c r="AY176" i="10" a="1"/>
  <c r="AY176" i="10" s="1"/>
  <c r="AY147" i="10" a="1"/>
  <c r="AY147" i="10" s="1"/>
  <c r="AY336" i="10" a="1"/>
  <c r="AY336" i="10" s="1"/>
  <c r="AY85" i="10" a="1"/>
  <c r="AY85" i="10" s="1"/>
  <c r="AY355" i="10" a="1"/>
  <c r="AY355" i="10" s="1"/>
  <c r="AY19" i="10" a="1"/>
  <c r="AY19" i="10" s="1"/>
  <c r="AY244" i="10" a="1"/>
  <c r="AY244" i="10" s="1"/>
  <c r="AY24" i="10" a="1"/>
  <c r="AY24" i="10" s="1"/>
  <c r="AY152" i="10" a="1"/>
  <c r="AY152" i="10" s="1"/>
  <c r="AY216" i="10" a="1"/>
  <c r="AY216" i="10" s="1"/>
  <c r="AY275" i="10" a="1"/>
  <c r="AY275" i="10" s="1"/>
  <c r="AY220" i="10" a="1"/>
  <c r="AY220" i="10" s="1"/>
  <c r="AY175" i="10" a="1"/>
  <c r="AY175" i="10" s="1"/>
  <c r="AY27" i="10" a="1"/>
  <c r="AY27" i="10" s="1"/>
  <c r="AY70" i="10" a="1"/>
  <c r="AY65" i="10" a="1"/>
  <c r="AY65" i="10" s="1"/>
  <c r="AY149" i="10" a="1"/>
  <c r="AY149" i="10" s="1"/>
  <c r="AY349" i="10" a="1"/>
  <c r="AY349" i="10" s="1"/>
  <c r="AY233" i="10" a="1"/>
  <c r="AY233" i="10" s="1"/>
  <c r="AY189" i="10" a="1"/>
  <c r="AY47" i="10" a="1"/>
  <c r="AY47" i="10" s="1"/>
  <c r="AY198" i="10" a="1"/>
  <c r="AY198" i="10" s="1"/>
  <c r="AY245" i="10" a="1"/>
  <c r="AY245" i="10" s="1"/>
  <c r="AY345" i="10" a="1"/>
  <c r="AY345" i="10" s="1"/>
  <c r="AY290" i="10" a="1"/>
  <c r="AY290" i="10" s="1"/>
  <c r="AY168" i="10" a="1"/>
  <c r="AY168" i="10" s="1"/>
  <c r="AY83" i="10" a="1"/>
  <c r="AY83" i="10" s="1"/>
  <c r="AY227" i="10" a="1"/>
  <c r="AY227" i="10" s="1"/>
  <c r="AY265" i="10" a="1"/>
  <c r="AY75" i="10" a="1"/>
  <c r="AY75" i="10" s="1"/>
  <c r="AY15" i="10" a="1"/>
  <c r="AY15" i="10" s="1"/>
  <c r="AY264" i="10" a="1"/>
  <c r="AY264" i="10" s="1"/>
  <c r="AY171" i="10" a="1"/>
  <c r="AY171" i="10" s="1"/>
  <c r="AY128" i="10" a="1"/>
  <c r="AY128" i="10" s="1"/>
  <c r="AY26" i="10" a="1"/>
  <c r="AY26" i="10" s="1"/>
  <c r="AY68" i="10" a="1"/>
  <c r="AY68" i="10" s="1"/>
  <c r="AY148" i="10" a="1"/>
  <c r="AY148" i="10" s="1"/>
  <c r="AY248" i="10" a="1"/>
  <c r="AY248" i="10" s="1"/>
  <c r="AY236" i="10" a="1"/>
  <c r="AY236" i="10" s="1"/>
  <c r="AY144" i="10" a="1"/>
  <c r="AY144" i="10" s="1"/>
  <c r="AY44" i="10" a="1"/>
  <c r="AY82" i="10" a="1"/>
  <c r="AY82" i="10" s="1"/>
  <c r="AY31" i="10" a="1"/>
  <c r="AY31" i="10" s="1"/>
  <c r="AY14" i="10" a="1"/>
  <c r="AY14" i="10" s="1"/>
  <c r="AY28" i="10" a="1"/>
  <c r="AY56" i="10" a="1"/>
  <c r="AY56" i="10" s="1"/>
  <c r="AY132" i="10" a="1"/>
  <c r="AY132" i="10" s="1"/>
  <c r="AY230" i="10" a="1"/>
  <c r="AY230" i="10" s="1"/>
  <c r="AY269" i="10" a="1"/>
  <c r="AY269" i="10" s="1"/>
  <c r="AY201" i="10" a="1"/>
  <c r="AY201" i="10" s="1"/>
  <c r="AY57" i="10" a="1"/>
  <c r="AY57" i="10" s="1"/>
  <c r="AY133" i="10" a="1"/>
  <c r="AY133" i="10" s="1"/>
  <c r="AY338" i="10" a="1"/>
  <c r="AY338" i="10" s="1"/>
  <c r="AY51" i="10" a="1"/>
  <c r="AY51" i="10" s="1"/>
  <c r="AY240" i="10" a="1"/>
  <c r="AY240" i="10" s="1"/>
  <c r="AY88" i="10" a="1"/>
  <c r="AY88" i="10" s="1"/>
  <c r="AY151" i="10" a="1"/>
  <c r="AY151" i="10" s="1"/>
  <c r="AY282" i="10" a="1"/>
  <c r="AY282" i="10" s="1"/>
  <c r="AY192" i="10" a="1"/>
  <c r="AY192" i="10" s="1"/>
  <c r="AY43" i="10" a="1"/>
  <c r="AY43" i="10" s="1"/>
  <c r="AY73" i="10" a="1"/>
  <c r="AY73" i="10" s="1"/>
  <c r="AY86" i="10" a="1"/>
  <c r="AY86" i="10" s="1"/>
  <c r="AY354" i="10" a="1"/>
  <c r="AY354" i="10" s="1"/>
  <c r="AY181" i="10" a="1"/>
  <c r="AY181" i="10" s="1"/>
  <c r="AY241" i="10" a="1"/>
  <c r="AY241" i="10" s="1"/>
  <c r="AY294" i="10" a="1"/>
  <c r="AY294" i="10" s="1"/>
  <c r="AY356" i="10" a="1"/>
  <c r="AY356" i="10" s="1"/>
  <c r="AY357" i="10" a="1"/>
  <c r="AY357" i="10" s="1"/>
  <c r="AY166" i="10" a="1"/>
  <c r="AY166" i="10" s="1"/>
  <c r="AY202" i="10" a="1"/>
  <c r="AY202" i="10" s="1"/>
  <c r="AY276" i="10" a="1"/>
  <c r="AY276" i="10" s="1"/>
  <c r="AY256" i="10" a="1"/>
  <c r="AY256" i="10" s="1"/>
  <c r="AY358" i="10" a="1"/>
  <c r="AY358" i="10" s="1"/>
  <c r="AY22" i="10" a="1"/>
  <c r="AY22" i="10" s="1"/>
  <c r="AY167" i="10" a="1"/>
  <c r="AY167" i="10" s="1"/>
  <c r="AY278" i="10" a="1"/>
  <c r="AY278" i="10" s="1"/>
  <c r="AY67" i="10" a="1"/>
  <c r="AY67" i="10" s="1"/>
  <c r="AY341" i="10" a="1"/>
  <c r="AY341" i="10" s="1"/>
  <c r="AY212" i="10" a="1"/>
  <c r="AY212" i="10" s="1"/>
  <c r="AY129" i="10" a="1"/>
  <c r="AY129" i="10" s="1"/>
  <c r="AY209" i="10" a="1"/>
  <c r="AY209" i="10" s="1"/>
  <c r="AY351" i="10" a="1"/>
  <c r="AY351" i="10" s="1"/>
  <c r="AY188" i="10" a="1"/>
  <c r="AY188" i="10" s="1"/>
  <c r="AY84" i="10" a="1"/>
  <c r="AY84" i="10" s="1"/>
  <c r="AY292" i="10" a="1"/>
  <c r="AY292" i="10" s="1"/>
  <c r="AY350" i="10" a="1"/>
  <c r="AY350" i="10" s="1"/>
  <c r="AY340" i="10" a="1"/>
  <c r="AY340" i="10" s="1"/>
  <c r="AY178" i="10" a="1"/>
  <c r="AY178" i="10" s="1"/>
  <c r="AY329" i="10" a="1"/>
  <c r="AY329" i="10" s="1"/>
  <c r="AY154" i="10" a="1"/>
  <c r="AY12" i="10" a="1"/>
  <c r="AY12" i="10" s="1"/>
  <c r="AY162" i="10" a="1"/>
  <c r="AY162" i="10" s="1"/>
  <c r="AY174" i="10" a="1"/>
  <c r="AY174" i="10" s="1"/>
  <c r="AY263" i="10" a="1"/>
  <c r="AY263" i="10" s="1"/>
  <c r="AY239" i="10" a="1"/>
  <c r="AY239" i="10" s="1"/>
  <c r="AY124" i="10" a="1"/>
  <c r="AY124" i="10" s="1"/>
  <c r="AY262" i="10" a="1"/>
  <c r="AY262" i="10" s="1"/>
  <c r="AY339" i="10" a="1"/>
  <c r="AY339" i="10" s="1"/>
  <c r="AY332" i="10" a="1"/>
  <c r="AY332" i="10" s="1"/>
  <c r="AY60" i="10" a="1"/>
  <c r="AY60" i="10" s="1"/>
  <c r="AY9" i="10" a="1"/>
  <c r="AY9" i="10" s="1"/>
  <c r="AY20" i="10" a="1"/>
  <c r="AY20" i="10" s="1"/>
  <c r="AY25" i="10" a="1"/>
  <c r="AY25" i="10" s="1"/>
  <c r="AY250" i="10" a="1"/>
  <c r="AY250" i="10" s="1"/>
  <c r="AY61" i="10" a="1"/>
  <c r="AY61" i="10" s="1"/>
  <c r="AY271" i="10" a="1"/>
  <c r="AY271" i="10" s="1"/>
  <c r="AY274" i="10" a="1"/>
  <c r="AY274" i="10" s="1"/>
  <c r="AY42" i="10" a="1"/>
  <c r="AY42" i="10" s="1"/>
  <c r="AY346" i="10" a="1"/>
  <c r="AY346" i="10" s="1"/>
  <c r="AY87" i="10" a="1"/>
  <c r="AY87" i="10" s="1"/>
  <c r="AY281" i="10" a="1"/>
  <c r="AY281" i="10" s="1"/>
  <c r="AY137" i="10" a="1"/>
  <c r="AY137" i="10" s="1"/>
  <c r="E37" i="1"/>
  <c r="H38" i="1"/>
  <c r="B39" i="1"/>
  <c r="C39" i="1" s="1"/>
  <c r="G442" i="8" s="1"/>
  <c r="H40" i="1"/>
  <c r="AY267" i="10" a="1"/>
  <c r="AY267" i="10" s="1"/>
  <c r="AY242" i="10" a="1"/>
  <c r="AY242" i="10" s="1"/>
  <c r="AY66" i="10" a="1"/>
  <c r="AY66" i="10" s="1"/>
  <c r="AY272" i="10" a="1"/>
  <c r="AY272" i="10" s="1"/>
  <c r="AY63" i="10" a="1"/>
  <c r="AY63" i="10" s="1"/>
  <c r="AY335" i="10" a="1"/>
  <c r="AY335" i="10" s="1"/>
  <c r="AY49" i="10" a="1"/>
  <c r="AY49" i="10" s="1"/>
  <c r="AY11" i="10" a="1"/>
  <c r="AY11" i="10" s="1"/>
  <c r="H113" i="1"/>
  <c r="AY18" i="10" a="1"/>
  <c r="AY18" i="10" s="1"/>
  <c r="AY161" i="10" a="1"/>
  <c r="AY161" i="10" s="1"/>
  <c r="AY23" i="10" a="1"/>
  <c r="AY23" i="10" s="1"/>
  <c r="AY186" i="10" a="1"/>
  <c r="AY186" i="10" s="1"/>
  <c r="AY246" i="10" a="1"/>
  <c r="AY246" i="10" s="1"/>
  <c r="AY145" i="10" a="1"/>
  <c r="AY217" i="10" a="1"/>
  <c r="AY217" i="10" s="1"/>
  <c r="AY123" i="10" a="1"/>
  <c r="AY123" i="10" s="1"/>
  <c r="AY191" i="10" a="1"/>
  <c r="AY191" i="10" s="1"/>
  <c r="B112" i="1"/>
  <c r="C112" i="1" s="1"/>
  <c r="AY289" i="10" a="1"/>
  <c r="AY289" i="10" s="1"/>
  <c r="AY224" i="10" a="1"/>
  <c r="AY285" i="10" a="1"/>
  <c r="AY285" i="10" s="1"/>
  <c r="AY228" i="10" a="1"/>
  <c r="AY228" i="10" s="1"/>
  <c r="B114" i="1"/>
  <c r="C114" i="1" s="1"/>
  <c r="AY127" i="10" a="1"/>
  <c r="AY127" i="10" s="1"/>
  <c r="AY221" i="10" a="1"/>
  <c r="AY221" i="10" s="1"/>
  <c r="AY333" i="10" a="1"/>
  <c r="AY333" i="10" s="1"/>
  <c r="AY37" i="10" a="1"/>
  <c r="AY37" i="10" s="1"/>
  <c r="AY296" i="10" a="1"/>
  <c r="AY296" i="10" s="1"/>
  <c r="AY77" i="10" a="1"/>
  <c r="AY77" i="10" s="1"/>
  <c r="AY204" i="10" a="1"/>
  <c r="AY204" i="10" s="1"/>
  <c r="AY229" i="10" a="1"/>
  <c r="AY142" i="10" a="1"/>
  <c r="AY142" i="10" s="1"/>
  <c r="AY234" i="10" a="1"/>
  <c r="AY234" i="10" s="1"/>
  <c r="AY247" i="10" a="1"/>
  <c r="AY247" i="10" s="1"/>
  <c r="AY54" i="10" a="1"/>
  <c r="AY54" i="10" s="1"/>
  <c r="AY81" i="10" a="1"/>
  <c r="AY81" i="10" s="1"/>
  <c r="AY182" i="10" a="1"/>
  <c r="AY182" i="10" s="1"/>
  <c r="O293" i="8"/>
  <c r="V188" i="8"/>
  <c r="O92" i="8"/>
  <c r="T60" i="8"/>
  <c r="U60" i="8"/>
  <c r="Q61" i="8"/>
  <c r="V61" i="8"/>
  <c r="P58" i="8"/>
  <c r="V135" i="8"/>
  <c r="Q291" i="8"/>
  <c r="V53" i="8"/>
  <c r="U181" i="8"/>
  <c r="O143" i="8"/>
  <c r="P253" i="8"/>
  <c r="P81" i="8"/>
  <c r="V119" i="8"/>
  <c r="U186" i="8"/>
  <c r="N127" i="8"/>
  <c r="P120" i="8"/>
  <c r="R50" i="8"/>
  <c r="V82" i="8"/>
  <c r="P267" i="8"/>
  <c r="U305" i="8"/>
  <c r="P264" i="8"/>
  <c r="P237" i="8"/>
  <c r="T50" i="8"/>
  <c r="P77" i="8"/>
  <c r="V190" i="8"/>
  <c r="P161" i="8"/>
  <c r="U269" i="8"/>
  <c r="R176" i="8"/>
  <c r="Q46" i="8"/>
  <c r="Q209" i="8"/>
  <c r="Q43" i="8"/>
  <c r="T271" i="8"/>
  <c r="P270" i="8"/>
  <c r="Q137" i="8"/>
  <c r="R233" i="8"/>
  <c r="Q213" i="8"/>
  <c r="B320" i="8"/>
  <c r="T192" i="8"/>
  <c r="O174" i="8"/>
  <c r="U250" i="8"/>
  <c r="P117" i="8"/>
  <c r="O218" i="8"/>
  <c r="O267" i="8"/>
  <c r="S53" i="8"/>
  <c r="P41" i="8"/>
  <c r="Q154" i="8"/>
  <c r="O272" i="8"/>
  <c r="T162" i="8"/>
  <c r="V234" i="8"/>
  <c r="N141" i="8"/>
  <c r="U155" i="8"/>
  <c r="P159" i="8"/>
  <c r="U128" i="8"/>
  <c r="N260" i="8"/>
  <c r="T263" i="8"/>
  <c r="P272" i="8"/>
  <c r="O43" i="8"/>
  <c r="R151" i="8"/>
  <c r="N251" i="8"/>
  <c r="S81" i="8"/>
  <c r="O84" i="8"/>
  <c r="N79" i="8"/>
  <c r="R123" i="8"/>
  <c r="P155" i="8"/>
  <c r="P59" i="8"/>
  <c r="Q59" i="8"/>
  <c r="V59" i="8"/>
  <c r="S60" i="8"/>
  <c r="Q277" i="8"/>
  <c r="O265" i="8"/>
  <c r="O133" i="8"/>
  <c r="U271" i="8"/>
  <c r="U94" i="8"/>
  <c r="O205" i="8"/>
  <c r="U188" i="8"/>
  <c r="R114" i="8"/>
  <c r="R153" i="8"/>
  <c r="T147" i="8"/>
  <c r="V215" i="8"/>
  <c r="Q234" i="8"/>
  <c r="N135" i="8"/>
  <c r="O106" i="8"/>
  <c r="Q174" i="8"/>
  <c r="R254" i="8"/>
  <c r="N192" i="8"/>
  <c r="S183" i="8"/>
  <c r="S197" i="8"/>
  <c r="R96" i="8"/>
  <c r="T198" i="8"/>
  <c r="U110" i="8"/>
  <c r="P248" i="8"/>
  <c r="S201" i="8"/>
  <c r="N237" i="8"/>
  <c r="N203" i="8"/>
  <c r="O254" i="8"/>
  <c r="S85" i="8"/>
  <c r="R216" i="8"/>
  <c r="V174" i="8"/>
  <c r="S92" i="8"/>
  <c r="T227" i="8"/>
  <c r="Q84" i="8"/>
  <c r="O117" i="8"/>
  <c r="P216" i="8"/>
  <c r="U106" i="8"/>
  <c r="V105" i="8"/>
  <c r="U68" i="8"/>
  <c r="R79" i="8"/>
  <c r="U248" i="8"/>
  <c r="O183" i="8"/>
  <c r="T92" i="8"/>
  <c r="Q191" i="8"/>
  <c r="T69" i="8"/>
  <c r="N40" i="8"/>
  <c r="N238" i="8"/>
  <c r="P42" i="8"/>
  <c r="T161" i="8"/>
  <c r="U131" i="8"/>
  <c r="P153" i="8"/>
  <c r="P137" i="8"/>
  <c r="Q50" i="8"/>
  <c r="S94" i="8"/>
  <c r="V195" i="8"/>
  <c r="S97" i="8"/>
  <c r="N88" i="8"/>
  <c r="Q196" i="8"/>
  <c r="Q227" i="8"/>
  <c r="V193" i="8"/>
  <c r="O212" i="8"/>
  <c r="Q116" i="8"/>
  <c r="S61" i="8"/>
  <c r="Q60" i="8"/>
  <c r="R59" i="8"/>
  <c r="O59" i="8"/>
  <c r="U215" i="8"/>
  <c r="O225" i="8"/>
  <c r="O219" i="8"/>
  <c r="S46" i="8"/>
  <c r="T70" i="8"/>
  <c r="N228" i="8"/>
  <c r="T121" i="8"/>
  <c r="O147" i="8"/>
  <c r="S136" i="8"/>
  <c r="Q197" i="8"/>
  <c r="R88" i="8"/>
  <c r="S222" i="8"/>
  <c r="T229" i="8"/>
  <c r="S42" i="8"/>
  <c r="T81" i="8"/>
  <c r="O248" i="8"/>
  <c r="O251" i="8"/>
  <c r="N49" i="8"/>
  <c r="U264" i="8"/>
  <c r="R68" i="8"/>
  <c r="N86" i="8"/>
  <c r="O136" i="8"/>
  <c r="V123" i="8"/>
  <c r="N212" i="8"/>
  <c r="Q176" i="8"/>
  <c r="P139" i="8"/>
  <c r="T224" i="8"/>
  <c r="Q204" i="8"/>
  <c r="P188" i="8"/>
  <c r="U53" i="8"/>
  <c r="T56" i="8"/>
  <c r="S168" i="8"/>
  <c r="S228" i="8"/>
  <c r="N223" i="8"/>
  <c r="U310" i="8"/>
  <c r="N185" i="8"/>
  <c r="T106" i="8"/>
  <c r="O159" i="8"/>
  <c r="P43" i="8"/>
  <c r="Q147" i="8"/>
  <c r="P119" i="8"/>
  <c r="O75" i="8"/>
  <c r="T74" i="8"/>
  <c r="U71" i="8"/>
  <c r="R238" i="8"/>
  <c r="R157" i="8"/>
  <c r="P146" i="8"/>
  <c r="O77" i="8"/>
  <c r="S126" i="8"/>
  <c r="R146" i="8"/>
  <c r="U121" i="8"/>
  <c r="P94" i="8"/>
  <c r="V138" i="8"/>
  <c r="V106" i="8"/>
  <c r="O93" i="8"/>
  <c r="P187" i="8"/>
  <c r="S143" i="8"/>
  <c r="T195" i="8"/>
  <c r="U267" i="8"/>
  <c r="R94" i="8"/>
  <c r="R199" i="8"/>
  <c r="P259" i="8"/>
  <c r="R311" i="8"/>
  <c r="O41" i="8"/>
  <c r="N68" i="8"/>
  <c r="T55" i="8"/>
  <c r="S144" i="8"/>
  <c r="N119" i="8"/>
  <c r="O135" i="8"/>
  <c r="N162" i="8"/>
  <c r="R272" i="8"/>
  <c r="S154" i="8"/>
  <c r="T86" i="8"/>
  <c r="O259" i="8"/>
  <c r="R195" i="8"/>
  <c r="V72" i="8"/>
  <c r="V237" i="8"/>
  <c r="P265" i="8"/>
  <c r="V169" i="8"/>
  <c r="S82" i="8"/>
  <c r="V181" i="8"/>
  <c r="S137" i="8"/>
  <c r="V214" i="8"/>
  <c r="T77" i="8"/>
  <c r="P86" i="8"/>
  <c r="P124" i="8"/>
  <c r="T248" i="8"/>
  <c r="S120" i="8"/>
  <c r="O207" i="8"/>
  <c r="V50" i="8"/>
  <c r="O190" i="8"/>
  <c r="U265" i="8"/>
  <c r="S190" i="8"/>
  <c r="P157" i="8"/>
  <c r="U151" i="8"/>
  <c r="P306" i="8"/>
  <c r="U80" i="8"/>
  <c r="T158" i="8"/>
  <c r="T201" i="8"/>
  <c r="O153" i="8"/>
  <c r="O181" i="8"/>
  <c r="N180" i="8"/>
  <c r="T118" i="8"/>
  <c r="V92" i="8"/>
  <c r="R90" i="8"/>
  <c r="U105" i="8"/>
  <c r="V307" i="8"/>
  <c r="N97" i="8"/>
  <c r="Q114" i="8"/>
  <c r="N248" i="8"/>
  <c r="P105" i="8"/>
  <c r="P217" i="8"/>
  <c r="S162" i="8"/>
  <c r="S192" i="8"/>
  <c r="V103" i="8"/>
  <c r="P293" i="8"/>
  <c r="R204" i="8"/>
  <c r="O148" i="8"/>
  <c r="T144" i="8"/>
  <c r="P121" i="8"/>
  <c r="N224" i="8"/>
  <c r="U133" i="8"/>
  <c r="V55" i="8"/>
  <c r="O233" i="8"/>
  <c r="T133" i="8"/>
  <c r="S229" i="8"/>
  <c r="S139" i="8"/>
  <c r="P273" i="8"/>
  <c r="T103" i="8"/>
  <c r="U254" i="8"/>
  <c r="S220" i="8"/>
  <c r="S169" i="8"/>
  <c r="S150" i="8"/>
  <c r="T293" i="8"/>
  <c r="V274" i="8"/>
  <c r="Q185" i="8"/>
  <c r="T257" i="8"/>
  <c r="Q143" i="8"/>
  <c r="U262" i="8"/>
  <c r="N41" i="8"/>
  <c r="V180" i="8"/>
  <c r="U90" i="8"/>
  <c r="P180" i="8"/>
  <c r="P115" i="8"/>
  <c r="Q314" i="8"/>
  <c r="V197" i="8"/>
  <c r="U48" i="8"/>
  <c r="U59" i="8"/>
  <c r="S58" i="8"/>
  <c r="T256" i="8"/>
  <c r="T213" i="8"/>
  <c r="O107" i="8"/>
  <c r="T168" i="8"/>
  <c r="R205" i="8"/>
  <c r="N93" i="8"/>
  <c r="N70" i="8"/>
  <c r="N47" i="8"/>
  <c r="R110" i="8"/>
  <c r="V238" i="8"/>
  <c r="S174" i="8"/>
  <c r="N121" i="8"/>
  <c r="R104" i="8"/>
  <c r="T126" i="8"/>
  <c r="Q117" i="8"/>
  <c r="Q229" i="8"/>
  <c r="R313" i="8"/>
  <c r="P45" i="8"/>
  <c r="S218" i="8"/>
  <c r="U200" i="8"/>
  <c r="B327" i="8"/>
  <c r="U198" i="8"/>
  <c r="U195" i="8"/>
  <c r="T250" i="8"/>
  <c r="O274" i="8"/>
  <c r="T141" i="8"/>
  <c r="S188" i="8"/>
  <c r="P96" i="8"/>
  <c r="S108" i="8"/>
  <c r="Q113" i="8"/>
  <c r="T236" i="8"/>
  <c r="N313" i="8"/>
  <c r="T71" i="8"/>
  <c r="N160" i="8"/>
  <c r="N196" i="8"/>
  <c r="V84" i="8"/>
  <c r="Q106" i="8"/>
  <c r="P108" i="8"/>
  <c r="O161" i="8"/>
  <c r="T113" i="8"/>
  <c r="O127" i="8"/>
  <c r="P69" i="8"/>
  <c r="S54" i="8"/>
  <c r="S203" i="8"/>
  <c r="O151" i="8"/>
  <c r="O186" i="8"/>
  <c r="U73" i="8"/>
  <c r="N125" i="8"/>
  <c r="O68" i="8"/>
  <c r="T108" i="8"/>
  <c r="Q145" i="8"/>
  <c r="P223" i="8"/>
  <c r="V264" i="8"/>
  <c r="T123" i="8"/>
  <c r="N43" i="8"/>
  <c r="U150" i="8"/>
  <c r="R105" i="8"/>
  <c r="T140" i="8"/>
  <c r="U174" i="8"/>
  <c r="R127" i="8"/>
  <c r="V248" i="8"/>
  <c r="V80" i="8"/>
  <c r="T207" i="8"/>
  <c r="S40" i="8"/>
  <c r="P227" i="8"/>
  <c r="R229" i="8"/>
  <c r="O266" i="8"/>
  <c r="N169" i="8"/>
  <c r="N106" i="8"/>
  <c r="Q140" i="8"/>
  <c r="T82" i="8"/>
  <c r="O96" i="8"/>
  <c r="T183" i="8"/>
  <c r="O250" i="8"/>
  <c r="Q141" i="8"/>
  <c r="U127" i="8"/>
  <c r="Q55" i="8"/>
  <c r="V145" i="8"/>
  <c r="R177" i="8"/>
  <c r="Q219" i="8"/>
  <c r="N73" i="8"/>
  <c r="V165" i="8"/>
  <c r="V45" i="8"/>
  <c r="O46" i="8"/>
  <c r="S105" i="8"/>
  <c r="U136" i="8"/>
  <c r="P238" i="8"/>
  <c r="R106" i="8"/>
  <c r="U204" i="8"/>
  <c r="U160" i="8"/>
  <c r="T76" i="8"/>
  <c r="S182" i="8"/>
  <c r="V148" i="8"/>
  <c r="U141" i="8"/>
  <c r="N209" i="8"/>
  <c r="O228" i="8"/>
  <c r="Q202" i="8"/>
  <c r="V185" i="8"/>
  <c r="P107" i="8"/>
  <c r="U196" i="8"/>
  <c r="V75" i="8"/>
  <c r="R42" i="8"/>
  <c r="R121" i="8"/>
  <c r="V229" i="8"/>
  <c r="Q69" i="8"/>
  <c r="P291" i="8"/>
  <c r="V153" i="8"/>
  <c r="O95" i="8"/>
  <c r="R234" i="8"/>
  <c r="T72" i="8"/>
  <c r="V97" i="8"/>
  <c r="T80" i="8"/>
  <c r="O47" i="8"/>
  <c r="T150" i="8"/>
  <c r="R115" i="8"/>
  <c r="Q68" i="8"/>
  <c r="O177" i="8"/>
  <c r="Q267" i="8"/>
  <c r="N146" i="8"/>
  <c r="U233" i="8"/>
  <c r="N186" i="8"/>
  <c r="U104" i="8"/>
  <c r="V164" i="8"/>
  <c r="T125" i="8"/>
  <c r="R54" i="8"/>
  <c r="P154" i="8"/>
  <c r="N312" i="8"/>
  <c r="S88" i="8"/>
  <c r="P213" i="8"/>
  <c r="T90" i="8"/>
  <c r="N102" i="8"/>
  <c r="O234" i="8"/>
  <c r="P152" i="8"/>
  <c r="V177" i="8"/>
  <c r="O120" i="8"/>
  <c r="P84" i="8"/>
  <c r="Q76" i="8"/>
  <c r="S185" i="8"/>
  <c r="P135" i="8"/>
  <c r="S74" i="8"/>
  <c r="O224" i="8"/>
  <c r="U157" i="8"/>
  <c r="P71" i="8"/>
  <c r="Q305" i="8"/>
  <c r="N176" i="8"/>
  <c r="P48" i="8"/>
  <c r="Q127" i="8"/>
  <c r="R43" i="8"/>
  <c r="N54" i="8"/>
  <c r="V204" i="8"/>
  <c r="N134" i="8"/>
  <c r="O165" i="8"/>
  <c r="S55" i="8"/>
  <c r="R85" i="8"/>
  <c r="N115" i="8"/>
  <c r="R95" i="8"/>
  <c r="O69" i="8"/>
  <c r="R181" i="8"/>
  <c r="U126" i="8"/>
  <c r="V137" i="8"/>
  <c r="S68" i="8"/>
  <c r="S193" i="8"/>
  <c r="Q167" i="8"/>
  <c r="N193" i="8"/>
  <c r="T79" i="8"/>
  <c r="Q121" i="8"/>
  <c r="R141" i="8"/>
  <c r="P125" i="8"/>
  <c r="Q306" i="8"/>
  <c r="S277" i="8"/>
  <c r="S128" i="8"/>
  <c r="U107" i="8"/>
  <c r="Q70" i="8"/>
  <c r="O162" i="8"/>
  <c r="N155" i="8"/>
  <c r="R87" i="8"/>
  <c r="T42" i="8"/>
  <c r="V182" i="8"/>
  <c r="V246" i="8"/>
  <c r="O246" i="8"/>
  <c r="Q245" i="8"/>
  <c r="N245" i="8"/>
  <c r="O307" i="8"/>
  <c r="U84" i="8"/>
  <c r="R279" i="8"/>
  <c r="V291" i="8"/>
  <c r="N277" i="8"/>
  <c r="V308" i="8"/>
  <c r="R41" i="8"/>
  <c r="P60" i="8"/>
  <c r="R58" i="8"/>
  <c r="R61" i="8"/>
  <c r="N90" i="8"/>
  <c r="P113" i="8"/>
  <c r="N254" i="8"/>
  <c r="S50" i="8"/>
  <c r="Q144" i="8"/>
  <c r="U209" i="8"/>
  <c r="S48" i="8"/>
  <c r="T311" i="8"/>
  <c r="S263" i="8"/>
  <c r="P103" i="8"/>
  <c r="V272" i="8"/>
  <c r="Q279" i="8"/>
  <c r="P263" i="8"/>
  <c r="V108" i="8"/>
  <c r="S77" i="8"/>
  <c r="R294" i="8"/>
  <c r="S160" i="8"/>
  <c r="P218" i="8"/>
  <c r="V93" i="8"/>
  <c r="V271" i="8"/>
  <c r="N126" i="8"/>
  <c r="P147" i="8"/>
  <c r="N138" i="8"/>
  <c r="V186" i="8"/>
  <c r="Q105" i="8"/>
  <c r="S238" i="8"/>
  <c r="V205" i="8"/>
  <c r="S127" i="8"/>
  <c r="N269" i="8"/>
  <c r="V147" i="8"/>
  <c r="R49" i="8"/>
  <c r="Q134" i="8"/>
  <c r="T157" i="8"/>
  <c r="P310" i="8"/>
  <c r="O88" i="8"/>
  <c r="U163" i="8"/>
  <c r="P311" i="8"/>
  <c r="O119" i="8"/>
  <c r="P168" i="8"/>
  <c r="T46" i="8"/>
  <c r="Q123" i="8"/>
  <c r="Q190" i="8"/>
  <c r="N110" i="8"/>
  <c r="U208" i="8"/>
  <c r="N214" i="8"/>
  <c r="Q237" i="8"/>
  <c r="T259" i="8"/>
  <c r="S237" i="8"/>
  <c r="R314" i="8"/>
  <c r="T218" i="8"/>
  <c r="R103" i="8"/>
  <c r="N208" i="8"/>
  <c r="R251" i="8"/>
  <c r="U79" i="8"/>
  <c r="R53" i="8"/>
  <c r="R140" i="8"/>
  <c r="T94" i="8"/>
  <c r="P280" i="8"/>
  <c r="U54" i="8"/>
  <c r="S75" i="8"/>
  <c r="P307" i="8"/>
  <c r="N182" i="8"/>
  <c r="T312" i="8"/>
  <c r="Q280" i="8"/>
  <c r="R124" i="8"/>
  <c r="V196" i="8"/>
  <c r="Q228" i="8"/>
  <c r="Q135" i="8"/>
  <c r="Q158" i="8"/>
  <c r="U312" i="8"/>
  <c r="R291" i="8"/>
  <c r="S280" i="8"/>
  <c r="B113" i="1"/>
  <c r="C113" i="1" s="1"/>
  <c r="N305" i="8"/>
  <c r="U246" i="8"/>
  <c r="U244" i="8"/>
  <c r="N246" i="8"/>
  <c r="U224" i="8"/>
  <c r="Q186" i="8"/>
  <c r="T131" i="8"/>
  <c r="Q269" i="8"/>
  <c r="R136" i="8"/>
  <c r="P183" i="8"/>
  <c r="S76" i="8"/>
  <c r="P138" i="8"/>
  <c r="O277" i="8"/>
  <c r="S293" i="8"/>
  <c r="Q208" i="8"/>
  <c r="U109" i="8"/>
  <c r="P145" i="8"/>
  <c r="S230" i="8"/>
  <c r="S264" i="8"/>
  <c r="O76" i="8"/>
  <c r="P141" i="8"/>
  <c r="T204" i="8"/>
  <c r="O208" i="8"/>
  <c r="Q217" i="8"/>
  <c r="N167" i="8"/>
  <c r="U191" i="8"/>
  <c r="N253" i="8"/>
  <c r="S86" i="8"/>
  <c r="P106" i="8"/>
  <c r="T223" i="8"/>
  <c r="V151" i="8"/>
  <c r="U216" i="8"/>
  <c r="P220" i="8"/>
  <c r="O220" i="8"/>
  <c r="O45" i="8"/>
  <c r="Q250" i="8"/>
  <c r="V279" i="8"/>
  <c r="R262" i="8"/>
  <c r="V136" i="8"/>
  <c r="V90" i="8"/>
  <c r="R201" i="8"/>
  <c r="S113" i="8"/>
  <c r="V126" i="8"/>
  <c r="V124" i="8"/>
  <c r="O263" i="8"/>
  <c r="S106" i="8"/>
  <c r="P262" i="8"/>
  <c r="S253" i="8"/>
  <c r="T146" i="8"/>
  <c r="U272" i="8"/>
  <c r="P79" i="8"/>
  <c r="O81" i="8"/>
  <c r="O168" i="8"/>
  <c r="T308" i="8"/>
  <c r="V167" i="8"/>
  <c r="P177" i="8"/>
  <c r="R198" i="8"/>
  <c r="N133" i="8"/>
  <c r="N273" i="8"/>
  <c r="U257" i="8"/>
  <c r="U251" i="8"/>
  <c r="V81" i="8"/>
  <c r="Q198" i="8"/>
  <c r="R266" i="8"/>
  <c r="S116" i="8"/>
  <c r="R269" i="8"/>
  <c r="S269" i="8"/>
  <c r="N218" i="8"/>
  <c r="Q87" i="8"/>
  <c r="V157" i="8"/>
  <c r="V125" i="8"/>
  <c r="Q130" i="8"/>
  <c r="O145" i="8"/>
  <c r="N229" i="8"/>
  <c r="P104" i="8"/>
  <c r="P116" i="8"/>
  <c r="Q103" i="8"/>
  <c r="R220" i="8"/>
  <c r="R72" i="8"/>
  <c r="Q115" i="8"/>
  <c r="S47" i="8"/>
  <c r="V259" i="8"/>
  <c r="S118" i="8"/>
  <c r="P279" i="8"/>
  <c r="R259" i="8"/>
  <c r="Q93" i="8"/>
  <c r="Q308" i="8"/>
  <c r="U124" i="8"/>
  <c r="S265" i="8"/>
  <c r="V267" i="8"/>
  <c r="S147" i="8"/>
  <c r="P75" i="8"/>
  <c r="S146" i="8"/>
  <c r="U180" i="8"/>
  <c r="O273" i="8"/>
  <c r="P150" i="8"/>
  <c r="T186" i="8"/>
  <c r="T272" i="8"/>
  <c r="Q272" i="8"/>
  <c r="T169" i="8"/>
  <c r="U222" i="8"/>
  <c r="U311" i="8"/>
  <c r="U130" i="8"/>
  <c r="U87" i="8"/>
  <c r="R138" i="8"/>
  <c r="T75" i="8"/>
  <c r="V79" i="8"/>
  <c r="N145" i="8"/>
  <c r="Q157" i="8"/>
  <c r="O113" i="8"/>
  <c r="Q162" i="8"/>
  <c r="O141" i="8"/>
  <c r="O150" i="8"/>
  <c r="N72" i="8"/>
  <c r="Q131" i="8"/>
  <c r="T188" i="8"/>
  <c r="V131" i="8"/>
  <c r="V117" i="8"/>
  <c r="S233" i="8"/>
  <c r="N103" i="8"/>
  <c r="N213" i="8"/>
  <c r="N143" i="8"/>
  <c r="U135" i="8"/>
  <c r="V134" i="8"/>
  <c r="O104" i="8"/>
  <c r="P251" i="8"/>
  <c r="U114" i="8"/>
  <c r="S158" i="8"/>
  <c r="U306" i="8"/>
  <c r="U185" i="8"/>
  <c r="T262" i="8"/>
  <c r="P224" i="8"/>
  <c r="T196" i="8"/>
  <c r="Q312" i="8"/>
  <c r="V251" i="8"/>
  <c r="N165" i="8"/>
  <c r="V227" i="8"/>
  <c r="T68" i="8"/>
  <c r="V183" i="8"/>
  <c r="S213" i="8"/>
  <c r="O85" i="8"/>
  <c r="Q53" i="8"/>
  <c r="T93" i="8"/>
  <c r="S91" i="8"/>
  <c r="O269" i="8"/>
  <c r="O91" i="8"/>
  <c r="Q80" i="8"/>
  <c r="P134" i="8"/>
  <c r="O223" i="8"/>
  <c r="T200" i="8"/>
  <c r="P278" i="8"/>
  <c r="R48" i="8"/>
  <c r="N59" i="8"/>
  <c r="Q58" i="8"/>
  <c r="O116" i="8"/>
  <c r="J128" i="8"/>
  <c r="C221" i="60"/>
  <c r="D8" i="12"/>
  <c r="D10" i="12"/>
  <c r="E40" i="8"/>
  <c r="D9" i="12"/>
  <c r="E43" i="8"/>
  <c r="E41" i="8"/>
  <c r="D7" i="12"/>
  <c r="E42" i="8"/>
  <c r="C11" i="57"/>
  <c r="AY141" i="10"/>
  <c r="AY34" i="10"/>
  <c r="G32" i="1"/>
  <c r="J127" i="8"/>
  <c r="J146" i="8"/>
  <c r="J148" i="8"/>
  <c r="J126" i="8"/>
  <c r="J147" i="8"/>
  <c r="C8" i="3"/>
  <c r="AY80" i="10"/>
  <c r="AY207" i="10"/>
  <c r="AY48" i="10"/>
  <c r="AY38" i="10"/>
  <c r="AY32" i="10"/>
  <c r="AY253" i="10"/>
  <c r="AY189" i="10"/>
  <c r="AY44" i="10"/>
  <c r="AY194" i="10"/>
  <c r="AY160" i="10"/>
  <c r="AY257" i="10"/>
  <c r="AY195" i="10"/>
  <c r="AY185" i="10"/>
  <c r="C9" i="3"/>
  <c r="C32" i="6" s="1"/>
  <c r="C9" i="62" s="1"/>
  <c r="C8" i="8"/>
  <c r="D34" i="1"/>
  <c r="C34" i="1"/>
  <c r="C414" i="8"/>
  <c r="C32" i="62" s="1"/>
  <c r="AY146" i="10"/>
  <c r="AY196" i="10"/>
  <c r="AY258" i="10"/>
  <c r="AY211" i="10"/>
  <c r="AY126" i="10"/>
  <c r="AY283" i="10"/>
  <c r="AY265" i="10"/>
  <c r="AY154" i="10"/>
  <c r="AY28" i="10"/>
  <c r="AY218" i="10"/>
  <c r="AY17" i="10"/>
  <c r="AY214" i="10"/>
  <c r="AY143" i="10"/>
  <c r="AY342" i="10"/>
  <c r="AY134" i="10"/>
  <c r="AY169" i="10"/>
  <c r="AY70" i="10"/>
  <c r="AY222" i="10"/>
  <c r="AY121" i="10"/>
  <c r="AY138" i="10"/>
  <c r="AY13" i="10"/>
  <c r="AY224" i="10"/>
  <c r="AY229" i="10"/>
  <c r="AY145" i="10"/>
  <c r="AY360" i="10"/>
  <c r="AI442" i="8"/>
  <c r="H257" i="8"/>
  <c r="F251" i="8"/>
  <c r="B377" i="8"/>
  <c r="D377" i="8"/>
  <c r="H384" i="8"/>
  <c r="C256" i="8"/>
  <c r="H259" i="8"/>
  <c r="F259" i="8"/>
  <c r="B376" i="8"/>
  <c r="C30" i="62"/>
  <c r="H254" i="8"/>
  <c r="H385" i="8"/>
  <c r="F260" i="8"/>
  <c r="A196" i="12"/>
  <c r="H377" i="8"/>
  <c r="C259" i="8"/>
  <c r="F384" i="8"/>
  <c r="C253" i="8"/>
  <c r="H373" i="8"/>
  <c r="A198" i="12"/>
  <c r="H37" i="1"/>
  <c r="H39" i="1"/>
  <c r="B40" i="1"/>
  <c r="C40" i="1" s="1"/>
  <c r="H256" i="8"/>
  <c r="A197" i="12"/>
  <c r="F385" i="8"/>
  <c r="F254" i="8"/>
  <c r="H253" i="8"/>
  <c r="F377" i="8"/>
  <c r="F253" i="8"/>
  <c r="C211" i="60"/>
  <c r="D110" i="12"/>
  <c r="C110" i="12" s="1"/>
  <c r="C109" i="12"/>
  <c r="D90" i="12"/>
  <c r="C90" i="12" s="1"/>
  <c r="D73" i="12"/>
  <c r="C73" i="12" s="1"/>
  <c r="D91" i="12"/>
  <c r="C91" i="12" s="1"/>
  <c r="D128" i="12"/>
  <c r="C128" i="12" s="1"/>
  <c r="D127" i="12"/>
  <c r="C127" i="12" s="1"/>
  <c r="D111" i="12"/>
  <c r="D89" i="12"/>
  <c r="C107" i="8"/>
  <c r="K107" i="8" s="1"/>
  <c r="C110" i="8"/>
  <c r="K110" i="8" s="1"/>
  <c r="C109" i="8"/>
  <c r="K109" i="8" s="1"/>
  <c r="C108" i="8"/>
  <c r="K108" i="8" s="1"/>
  <c r="D72" i="12"/>
  <c r="C72" i="12" s="1"/>
  <c r="D70" i="12"/>
  <c r="C70" i="12" s="1"/>
  <c r="D71" i="12"/>
  <c r="C71" i="12" s="1"/>
  <c r="C213" i="60" l="1"/>
  <c r="C223" i="60"/>
  <c r="C75" i="4"/>
  <c r="C20" i="8"/>
  <c r="I222" i="8"/>
  <c r="B402" i="8"/>
  <c r="F402" i="8" s="1"/>
  <c r="BC112" i="10"/>
  <c r="BC109" i="10"/>
  <c r="BC91" i="10"/>
  <c r="BC110" i="10"/>
  <c r="BC105" i="10"/>
  <c r="BC92" i="10"/>
  <c r="BC89" i="10"/>
  <c r="BC90" i="10"/>
  <c r="BC94" i="10"/>
  <c r="BC106" i="10"/>
  <c r="BC111" i="10"/>
  <c r="BC107" i="10"/>
  <c r="BC108" i="10"/>
  <c r="BC95" i="10"/>
  <c r="BC96" i="10"/>
  <c r="BC93" i="10"/>
  <c r="C80" i="3"/>
  <c r="BC78" i="10"/>
  <c r="BC301" i="10"/>
  <c r="BC314" i="10"/>
  <c r="BC320" i="10"/>
  <c r="BC318" i="10"/>
  <c r="BC302" i="10"/>
  <c r="BC315" i="10"/>
  <c r="BC303" i="10"/>
  <c r="BC316" i="10"/>
  <c r="BC299" i="10"/>
  <c r="BC304" i="10"/>
  <c r="BC313" i="10"/>
  <c r="BC319" i="10"/>
  <c r="BC300" i="10"/>
  <c r="BC298" i="10"/>
  <c r="BC297" i="10"/>
  <c r="BC317" i="10"/>
  <c r="D117" i="1"/>
  <c r="C117" i="1"/>
  <c r="D43" i="1"/>
  <c r="C43" i="1"/>
  <c r="I442" i="8" s="1"/>
  <c r="F442" i="8"/>
  <c r="A72" i="5"/>
  <c r="H88" i="1"/>
  <c r="A71" i="5"/>
  <c r="B88" i="1"/>
  <c r="C88" i="1" s="1"/>
  <c r="AK442" i="8" s="1"/>
  <c r="A69" i="5"/>
  <c r="D78" i="1"/>
  <c r="C34" i="60"/>
  <c r="BC207" i="10"/>
  <c r="D79" i="1"/>
  <c r="H79" i="1" s="1"/>
  <c r="C78" i="1"/>
  <c r="C181" i="8"/>
  <c r="H181" i="8" s="1"/>
  <c r="C183" i="8"/>
  <c r="F183" i="8" s="1"/>
  <c r="C182" i="8"/>
  <c r="H182" i="8" s="1"/>
  <c r="F180" i="8"/>
  <c r="C160" i="8"/>
  <c r="H160" i="8" s="1"/>
  <c r="C162" i="8"/>
  <c r="H162" i="8" s="1"/>
  <c r="C15" i="6"/>
  <c r="C58" i="11"/>
  <c r="C45" i="64" s="1"/>
  <c r="C46" i="64" s="1"/>
  <c r="G105" i="1"/>
  <c r="BC202" i="10"/>
  <c r="BC288" i="10"/>
  <c r="C12" i="4"/>
  <c r="C29" i="4"/>
  <c r="H161" i="8"/>
  <c r="C25" i="49"/>
  <c r="C38" i="3"/>
  <c r="BC176" i="10"/>
  <c r="BC10" i="10"/>
  <c r="C213" i="8"/>
  <c r="C223" i="8"/>
  <c r="C16" i="49"/>
  <c r="C217" i="8"/>
  <c r="C220" i="8"/>
  <c r="BC189" i="10"/>
  <c r="BC330" i="10"/>
  <c r="BC42" i="10"/>
  <c r="BC9" i="10"/>
  <c r="BC233" i="10"/>
  <c r="BC32" i="10"/>
  <c r="BC77" i="10"/>
  <c r="BC208" i="10"/>
  <c r="BC75" i="10"/>
  <c r="BC73" i="10"/>
  <c r="BC333" i="10"/>
  <c r="BC121" i="10"/>
  <c r="BC252" i="10"/>
  <c r="BC238" i="10"/>
  <c r="BC59" i="10"/>
  <c r="BC28" i="10"/>
  <c r="D341" i="8"/>
  <c r="C10" i="6"/>
  <c r="C9" i="6"/>
  <c r="BC29" i="10"/>
  <c r="BC282" i="10"/>
  <c r="BC255" i="10"/>
  <c r="BC205" i="10"/>
  <c r="BC284" i="10"/>
  <c r="BC45" i="10"/>
  <c r="BC41" i="10"/>
  <c r="BC125" i="10"/>
  <c r="BC335" i="10"/>
  <c r="BC287" i="10"/>
  <c r="BC25" i="10"/>
  <c r="BC351" i="10"/>
  <c r="BC336" i="10"/>
  <c r="BC63" i="10"/>
  <c r="BC160" i="10"/>
  <c r="BB352" i="10"/>
  <c r="C14" i="57"/>
  <c r="C24" i="57" s="1"/>
  <c r="C58" i="57" s="1"/>
  <c r="BB346" i="10"/>
  <c r="BB350" i="10"/>
  <c r="BC254" i="10"/>
  <c r="BC140" i="10"/>
  <c r="BC268" i="10"/>
  <c r="BC158" i="10"/>
  <c r="BC62" i="10"/>
  <c r="BC219" i="10"/>
  <c r="BC265" i="10"/>
  <c r="BC192" i="10"/>
  <c r="BC221" i="10"/>
  <c r="BC332" i="10"/>
  <c r="BC272" i="10"/>
  <c r="BC30" i="10"/>
  <c r="BC286" i="10"/>
  <c r="BB351" i="10"/>
  <c r="BC128" i="10"/>
  <c r="BC122" i="10"/>
  <c r="BC156" i="10"/>
  <c r="BC137" i="10"/>
  <c r="BC191" i="10"/>
  <c r="BC126" i="10"/>
  <c r="BC31" i="10"/>
  <c r="BC239" i="10"/>
  <c r="BC124" i="10"/>
  <c r="BC44" i="10"/>
  <c r="BC349" i="10"/>
  <c r="BC13" i="10"/>
  <c r="BC281" i="10"/>
  <c r="BB348" i="10"/>
  <c r="BC201" i="10"/>
  <c r="BC80" i="10"/>
  <c r="BC253" i="10"/>
  <c r="BC27" i="10"/>
  <c r="BC47" i="10"/>
  <c r="BC352" i="10"/>
  <c r="BC58" i="10"/>
  <c r="BC350" i="10"/>
  <c r="BB345" i="10"/>
  <c r="BC234" i="10"/>
  <c r="BC15" i="10"/>
  <c r="BC190" i="10"/>
  <c r="BC11" i="10"/>
  <c r="BC169" i="10"/>
  <c r="BC329" i="10"/>
  <c r="BC43" i="10"/>
  <c r="BC334" i="10"/>
  <c r="BC172" i="10"/>
  <c r="BC155" i="10"/>
  <c r="BC251" i="10"/>
  <c r="BC144" i="10"/>
  <c r="BC249" i="10"/>
  <c r="BC143" i="10"/>
  <c r="BC141" i="10"/>
  <c r="BC220" i="10"/>
  <c r="BC12" i="10"/>
  <c r="BC331" i="10"/>
  <c r="BC270" i="10"/>
  <c r="BC240" i="10"/>
  <c r="BC237" i="10"/>
  <c r="BC267" i="10"/>
  <c r="BC347" i="10"/>
  <c r="BC217" i="10"/>
  <c r="BC61" i="10"/>
  <c r="BC188" i="10"/>
  <c r="BC173" i="10"/>
  <c r="BC174" i="10"/>
  <c r="BC123" i="10"/>
  <c r="BC57" i="10"/>
  <c r="BC250" i="10"/>
  <c r="BC187" i="10"/>
  <c r="BC186" i="10"/>
  <c r="BC76" i="10"/>
  <c r="BC266" i="10"/>
  <c r="BC204" i="10"/>
  <c r="BC159" i="10"/>
  <c r="BC256" i="10"/>
  <c r="BC223" i="10"/>
  <c r="BC269" i="10"/>
  <c r="BC142" i="10"/>
  <c r="BC171" i="10"/>
  <c r="BC154" i="10"/>
  <c r="BC26" i="10"/>
  <c r="BC139" i="10"/>
  <c r="BC235" i="10"/>
  <c r="BC16" i="10"/>
  <c r="BC170" i="10"/>
  <c r="BC224" i="10"/>
  <c r="BC46" i="10"/>
  <c r="BC203" i="10"/>
  <c r="BC138" i="10"/>
  <c r="BC153" i="10"/>
  <c r="BC345" i="10"/>
  <c r="BC285" i="10"/>
  <c r="BC218" i="10"/>
  <c r="BC236" i="10"/>
  <c r="BC206" i="10"/>
  <c r="BC346" i="10"/>
  <c r="BC48" i="10"/>
  <c r="BC127" i="10"/>
  <c r="BC283" i="10"/>
  <c r="BC74" i="10"/>
  <c r="BC348" i="10"/>
  <c r="BC157" i="10"/>
  <c r="BB347" i="10"/>
  <c r="BC79" i="10"/>
  <c r="BB349" i="10"/>
  <c r="BC14" i="10"/>
  <c r="BC60" i="10"/>
  <c r="BC271" i="10"/>
  <c r="BC175" i="10"/>
  <c r="BC222" i="10"/>
  <c r="BC185" i="10"/>
  <c r="BC64" i="10"/>
  <c r="Q442" i="8"/>
  <c r="C65" i="1"/>
  <c r="D65" i="1"/>
  <c r="C150" i="60"/>
  <c r="C151" i="60" s="1"/>
  <c r="C152" i="60" s="1"/>
  <c r="C153" i="60" s="1"/>
  <c r="C159" i="60" s="1"/>
  <c r="C264" i="8" s="1"/>
  <c r="C262" i="8"/>
  <c r="C149" i="60"/>
  <c r="D201" i="12" s="1"/>
  <c r="C201" i="12" s="1"/>
  <c r="C57" i="4"/>
  <c r="C130" i="8"/>
  <c r="C131" i="8"/>
  <c r="C132" i="8"/>
  <c r="C53" i="1"/>
  <c r="O442" i="8" s="1"/>
  <c r="D53" i="1"/>
  <c r="C46" i="49"/>
  <c r="C203" i="8" s="1"/>
  <c r="C4" i="8"/>
  <c r="D331" i="8"/>
  <c r="D345" i="8"/>
  <c r="C436" i="8" s="1"/>
  <c r="C48" i="4"/>
  <c r="C49" i="4" s="1"/>
  <c r="C12" i="57"/>
  <c r="C134" i="57"/>
  <c r="C12" i="8"/>
  <c r="C13" i="8"/>
  <c r="C23" i="4"/>
  <c r="C24" i="4" s="1"/>
  <c r="C170" i="57"/>
  <c r="C18" i="57"/>
  <c r="C88" i="57" s="1"/>
  <c r="C66" i="3"/>
  <c r="C67" i="3" s="1"/>
  <c r="C71" i="3" s="1"/>
  <c r="C17" i="57"/>
  <c r="C79" i="57" s="1"/>
  <c r="C93" i="57" s="1"/>
  <c r="C171" i="57"/>
  <c r="C133" i="57"/>
  <c r="C16" i="57"/>
  <c r="C78" i="57" s="1"/>
  <c r="C89" i="57" s="1"/>
  <c r="C10" i="57"/>
  <c r="C10" i="3"/>
  <c r="G33" i="1" s="1"/>
  <c r="C140" i="57"/>
  <c r="C165" i="57"/>
  <c r="C166" i="57" s="1"/>
  <c r="C141" i="57"/>
  <c r="C136" i="57"/>
  <c r="C442" i="8"/>
  <c r="H34" i="1"/>
  <c r="H442" i="8"/>
  <c r="AG107" i="8"/>
  <c r="AH107" i="8" s="1"/>
  <c r="J107" i="8"/>
  <c r="J108" i="8"/>
  <c r="AG108" i="8"/>
  <c r="AH108" i="8" s="1"/>
  <c r="E89" i="12"/>
  <c r="C89" i="12"/>
  <c r="AG109" i="8"/>
  <c r="AH109" i="8" s="1"/>
  <c r="J109" i="8"/>
  <c r="E111" i="12"/>
  <c r="C111" i="12"/>
  <c r="AG110" i="8"/>
  <c r="AH110" i="8" s="1"/>
  <c r="J110" i="8"/>
  <c r="D402" i="8" l="1"/>
  <c r="C30" i="4"/>
  <c r="K81" i="8" s="1"/>
  <c r="AG81" i="8" s="1"/>
  <c r="L111" i="12"/>
  <c r="K111" i="12"/>
  <c r="J111" i="12"/>
  <c r="Q111" i="12"/>
  <c r="I111" i="12"/>
  <c r="P111" i="12"/>
  <c r="H111" i="12"/>
  <c r="O111" i="12"/>
  <c r="G111" i="12"/>
  <c r="N111" i="12"/>
  <c r="F111" i="12"/>
  <c r="M111" i="12"/>
  <c r="I203" i="8"/>
  <c r="J203" i="8" s="1"/>
  <c r="K203" i="8"/>
  <c r="AG203" i="8" s="1"/>
  <c r="AH203" i="8" s="1"/>
  <c r="P89" i="12"/>
  <c r="H89" i="12"/>
  <c r="O89" i="12"/>
  <c r="G89" i="12"/>
  <c r="N89" i="12"/>
  <c r="F89" i="12"/>
  <c r="M89" i="12"/>
  <c r="L89" i="12"/>
  <c r="K89" i="12"/>
  <c r="Q89" i="12"/>
  <c r="J89" i="12"/>
  <c r="I89" i="12"/>
  <c r="K220" i="8"/>
  <c r="AG220" i="8" s="1"/>
  <c r="I220" i="8"/>
  <c r="J220" i="8" s="1"/>
  <c r="I213" i="8"/>
  <c r="J213" i="8" s="1"/>
  <c r="K213" i="8"/>
  <c r="AG213" i="8" s="1"/>
  <c r="K217" i="8"/>
  <c r="AG217" i="8" s="1"/>
  <c r="I217" i="8"/>
  <c r="J217" i="8" s="1"/>
  <c r="K48" i="8"/>
  <c r="AG48" i="8" s="1"/>
  <c r="AH48" i="8" s="1"/>
  <c r="K223" i="8"/>
  <c r="AG223" i="8" s="1"/>
  <c r="I223" i="8"/>
  <c r="J223" i="8" s="1"/>
  <c r="K264" i="8"/>
  <c r="AG264" i="8" s="1"/>
  <c r="AH264" i="8" s="1"/>
  <c r="I264" i="8"/>
  <c r="J264" i="8" s="1"/>
  <c r="K262" i="8"/>
  <c r="AG262" i="8" s="1"/>
  <c r="AH262" i="8" s="1"/>
  <c r="I262" i="8"/>
  <c r="J262" i="8" s="1"/>
  <c r="G262" i="8"/>
  <c r="H262" i="8"/>
  <c r="C59" i="8"/>
  <c r="H59" i="8" s="1"/>
  <c r="D11" i="1"/>
  <c r="D12" i="1"/>
  <c r="D16" i="1"/>
  <c r="D15" i="1"/>
  <c r="D9" i="1"/>
  <c r="D10" i="1"/>
  <c r="D14" i="1"/>
  <c r="D13" i="1"/>
  <c r="C16" i="6"/>
  <c r="C27" i="6"/>
  <c r="C28" i="6" s="1"/>
  <c r="C41" i="4" s="1" a="1"/>
  <c r="C41" i="4" s="1"/>
  <c r="C83" i="3"/>
  <c r="C68" i="1" s="1"/>
  <c r="W442" i="8" s="1"/>
  <c r="C154" i="60"/>
  <c r="C161" i="60" s="1"/>
  <c r="C89" i="1"/>
  <c r="AL442" i="8" s="1"/>
  <c r="D89" i="1"/>
  <c r="K207" i="8"/>
  <c r="AG207" i="8" s="1"/>
  <c r="AG256" i="8"/>
  <c r="AG253" i="8"/>
  <c r="AG259" i="8"/>
  <c r="H117" i="1"/>
  <c r="H78" i="1"/>
  <c r="C60" i="8"/>
  <c r="F60" i="8" s="1"/>
  <c r="C61" i="8"/>
  <c r="H61" i="8" s="1"/>
  <c r="C35" i="60"/>
  <c r="K61" i="8" s="1"/>
  <c r="F181" i="8"/>
  <c r="H183" i="8"/>
  <c r="F162" i="8"/>
  <c r="AB442" i="8"/>
  <c r="F182" i="8"/>
  <c r="F160" i="8"/>
  <c r="C31" i="3"/>
  <c r="C32" i="3" s="1"/>
  <c r="C36" i="6" s="1"/>
  <c r="C16" i="4"/>
  <c r="C157" i="60"/>
  <c r="C158" i="60" s="1"/>
  <c r="C263" i="8" s="1"/>
  <c r="C7" i="4"/>
  <c r="C37" i="57"/>
  <c r="C68" i="57" s="1"/>
  <c r="C13" i="4"/>
  <c r="T442" i="8"/>
  <c r="H65" i="1"/>
  <c r="E262" i="8"/>
  <c r="F262" i="8"/>
  <c r="G52" i="1"/>
  <c r="G51" i="1"/>
  <c r="H53" i="1"/>
  <c r="AN442" i="8"/>
  <c r="F132" i="8"/>
  <c r="H132" i="8"/>
  <c r="F131" i="8"/>
  <c r="H131" i="8"/>
  <c r="F130" i="8"/>
  <c r="H130" i="8"/>
  <c r="H43" i="1"/>
  <c r="C227" i="8"/>
  <c r="C145" i="57"/>
  <c r="K208" i="8"/>
  <c r="AG208" i="8" s="1"/>
  <c r="D53" i="12"/>
  <c r="C9" i="49"/>
  <c r="D51" i="12"/>
  <c r="D54" i="12"/>
  <c r="D55" i="12"/>
  <c r="D52" i="12"/>
  <c r="C37" i="49"/>
  <c r="C143" i="57"/>
  <c r="C147" i="57"/>
  <c r="C70" i="3"/>
  <c r="C72" i="3"/>
  <c r="C14" i="8" l="1"/>
  <c r="C27" i="60"/>
  <c r="E82" i="8"/>
  <c r="D47" i="12"/>
  <c r="D49" i="12"/>
  <c r="C11" i="49"/>
  <c r="K117" i="8" s="1"/>
  <c r="AG117" i="8" s="1"/>
  <c r="D48" i="12"/>
  <c r="E79" i="8"/>
  <c r="D46" i="12"/>
  <c r="E80" i="8"/>
  <c r="K79" i="8"/>
  <c r="AG79" i="8" s="1"/>
  <c r="AH79" i="8" s="1"/>
  <c r="K80" i="8"/>
  <c r="AG80" i="8" s="1"/>
  <c r="E81" i="8"/>
  <c r="K82" i="8"/>
  <c r="AG82" i="8" s="1"/>
  <c r="AH82" i="8" s="1"/>
  <c r="G79" i="8"/>
  <c r="G80" i="8"/>
  <c r="G81" i="8"/>
  <c r="G82" i="8"/>
  <c r="C39" i="49"/>
  <c r="K227" i="8"/>
  <c r="AG227" i="8" s="1"/>
  <c r="AH227" i="8" s="1"/>
  <c r="I227" i="8"/>
  <c r="J227" i="8" s="1"/>
  <c r="K53" i="8"/>
  <c r="AG53" i="8" s="1"/>
  <c r="K263" i="8"/>
  <c r="AG263" i="8" s="1"/>
  <c r="AH263" i="8" s="1"/>
  <c r="I263" i="8"/>
  <c r="J263" i="8" s="1"/>
  <c r="G60" i="8"/>
  <c r="K60" i="8"/>
  <c r="AG60" i="8" s="1"/>
  <c r="F59" i="8"/>
  <c r="G59" i="8"/>
  <c r="K59" i="8"/>
  <c r="AG59" i="8" s="1"/>
  <c r="G61" i="8"/>
  <c r="K183" i="8"/>
  <c r="AG183" i="8" s="1"/>
  <c r="G181" i="8"/>
  <c r="K180" i="8"/>
  <c r="AG180" i="8" s="1"/>
  <c r="G183" i="8"/>
  <c r="K182" i="8"/>
  <c r="AG182" i="8" s="1"/>
  <c r="G180" i="8"/>
  <c r="G182" i="8"/>
  <c r="K181" i="8"/>
  <c r="AG181" i="8" s="1"/>
  <c r="K162" i="8"/>
  <c r="AG162" i="8" s="1"/>
  <c r="G160" i="8"/>
  <c r="G131" i="8"/>
  <c r="K130" i="8"/>
  <c r="AG130" i="8" s="1"/>
  <c r="G162" i="8"/>
  <c r="K161" i="8"/>
  <c r="AG161" i="8" s="1"/>
  <c r="K132" i="8"/>
  <c r="AG132" i="8" s="1"/>
  <c r="G130" i="8"/>
  <c r="G161" i="8"/>
  <c r="G132" i="8"/>
  <c r="K160" i="8"/>
  <c r="AG160" i="8" s="1"/>
  <c r="K131" i="8"/>
  <c r="AG131" i="8" s="1"/>
  <c r="AH131" i="8" s="1"/>
  <c r="C14" i="4"/>
  <c r="D131" i="12" s="1"/>
  <c r="E132" i="8"/>
  <c r="D28" i="12"/>
  <c r="C45" i="4"/>
  <c r="C54" i="4" s="1"/>
  <c r="H69" i="1"/>
  <c r="D68" i="1"/>
  <c r="H68" i="1" s="1"/>
  <c r="C160" i="60"/>
  <c r="C265" i="8" s="1"/>
  <c r="C156" i="60"/>
  <c r="C266" i="8" s="1"/>
  <c r="C155" i="60"/>
  <c r="C267" i="8" s="1"/>
  <c r="H89" i="1"/>
  <c r="H60" i="8"/>
  <c r="E60" i="8"/>
  <c r="AG61" i="8"/>
  <c r="D30" i="12"/>
  <c r="F61" i="8"/>
  <c r="E59" i="8"/>
  <c r="E61" i="8"/>
  <c r="D29" i="12"/>
  <c r="AH223" i="8"/>
  <c r="AH217" i="8"/>
  <c r="AH220" i="8"/>
  <c r="AH213" i="8"/>
  <c r="D163" i="12"/>
  <c r="C18" i="4"/>
  <c r="C233" i="8" s="1"/>
  <c r="C50" i="6"/>
  <c r="C76" i="6" s="1"/>
  <c r="C79" i="6" s="1"/>
  <c r="C26" i="4"/>
  <c r="C33" i="3"/>
  <c r="C39" i="3" s="1"/>
  <c r="C40" i="3" s="1"/>
  <c r="C51" i="3" s="1"/>
  <c r="C49" i="6"/>
  <c r="C73" i="6" s="1"/>
  <c r="C48" i="6"/>
  <c r="C61" i="6" s="1"/>
  <c r="C168" i="8"/>
  <c r="C33" i="49"/>
  <c r="G97" i="1"/>
  <c r="E180" i="8"/>
  <c r="E181" i="8"/>
  <c r="E183" i="8"/>
  <c r="E182" i="8"/>
  <c r="E130" i="8"/>
  <c r="C44" i="49"/>
  <c r="C200" i="8" s="1"/>
  <c r="G98" i="1"/>
  <c r="C53" i="8"/>
  <c r="C55" i="8"/>
  <c r="C56" i="8"/>
  <c r="C54" i="8"/>
  <c r="D107" i="1"/>
  <c r="D130" i="12"/>
  <c r="C107" i="1"/>
  <c r="C9" i="4"/>
  <c r="E161" i="8"/>
  <c r="E162" i="8"/>
  <c r="E160" i="8"/>
  <c r="E131" i="8"/>
  <c r="C17" i="6"/>
  <c r="C18" i="6" s="1"/>
  <c r="C9" i="8"/>
  <c r="G62" i="1"/>
  <c r="C44" i="3"/>
  <c r="D145" i="12"/>
  <c r="D144" i="12"/>
  <c r="D143" i="12"/>
  <c r="D146" i="12"/>
  <c r="D125" i="12"/>
  <c r="D94" i="12"/>
  <c r="D123" i="12"/>
  <c r="D95" i="12"/>
  <c r="E95" i="12" s="1"/>
  <c r="D124" i="12"/>
  <c r="D93" i="12"/>
  <c r="E93" i="12" s="1"/>
  <c r="D81" i="1"/>
  <c r="D80" i="1"/>
  <c r="H80" i="1" s="1"/>
  <c r="C81" i="1"/>
  <c r="C60" i="4"/>
  <c r="C45" i="49"/>
  <c r="C202" i="8" s="1"/>
  <c r="C36" i="11"/>
  <c r="C46" i="8"/>
  <c r="K46" i="8" s="1"/>
  <c r="C76" i="3"/>
  <c r="C47" i="8" s="1"/>
  <c r="G79" i="1"/>
  <c r="C74" i="3"/>
  <c r="C73" i="3"/>
  <c r="C45" i="8"/>
  <c r="C34" i="6"/>
  <c r="C11" i="62" s="1"/>
  <c r="C157" i="57"/>
  <c r="E157" i="57" s="1"/>
  <c r="C146" i="57"/>
  <c r="C148" i="57" s="1"/>
  <c r="D101" i="12" l="1"/>
  <c r="E101" i="12" s="1"/>
  <c r="N101" i="12" s="1"/>
  <c r="C64" i="4"/>
  <c r="D113" i="12"/>
  <c r="D114" i="12"/>
  <c r="E117" i="8"/>
  <c r="G116" i="8"/>
  <c r="G118" i="8"/>
  <c r="D99" i="12"/>
  <c r="E99" i="12" s="1"/>
  <c r="N99" i="12" s="1"/>
  <c r="E118" i="8"/>
  <c r="K118" i="8"/>
  <c r="AG118" i="8" s="1"/>
  <c r="AH118" i="8" s="1"/>
  <c r="D79" i="12"/>
  <c r="E79" i="12" s="1"/>
  <c r="N79" i="12" s="1"/>
  <c r="D80" i="12"/>
  <c r="D100" i="12"/>
  <c r="K116" i="8"/>
  <c r="AG116" i="8" s="1"/>
  <c r="E116" i="8"/>
  <c r="D115" i="12"/>
  <c r="D81" i="12"/>
  <c r="G117" i="8"/>
  <c r="K193" i="8"/>
  <c r="AG193" i="8" s="1"/>
  <c r="D155" i="12"/>
  <c r="D153" i="12"/>
  <c r="D156" i="12"/>
  <c r="G191" i="8"/>
  <c r="E191" i="8"/>
  <c r="G192" i="8"/>
  <c r="K190" i="8"/>
  <c r="AG190" i="8" s="1"/>
  <c r="AH190" i="8" s="1"/>
  <c r="E193" i="8"/>
  <c r="G193" i="8"/>
  <c r="D154" i="12"/>
  <c r="G190" i="8"/>
  <c r="K192" i="8"/>
  <c r="AG192" i="8" s="1"/>
  <c r="E192" i="8"/>
  <c r="K191" i="8"/>
  <c r="AG191" i="8" s="1"/>
  <c r="E190" i="8"/>
  <c r="K202" i="8"/>
  <c r="AG202" i="8" s="1"/>
  <c r="I202" i="8"/>
  <c r="J202" i="8" s="1"/>
  <c r="I47" i="8"/>
  <c r="J47" i="8" s="1"/>
  <c r="K47" i="8"/>
  <c r="AG47" i="8" s="1"/>
  <c r="L93" i="12"/>
  <c r="K93" i="12"/>
  <c r="J93" i="12"/>
  <c r="Q93" i="12"/>
  <c r="I93" i="12"/>
  <c r="P93" i="12"/>
  <c r="H93" i="12"/>
  <c r="O93" i="12"/>
  <c r="G93" i="12"/>
  <c r="N93" i="12"/>
  <c r="F93" i="12"/>
  <c r="M93" i="12"/>
  <c r="K45" i="8"/>
  <c r="AG45" i="8" s="1"/>
  <c r="I45" i="8"/>
  <c r="J45" i="8" s="1"/>
  <c r="L95" i="12"/>
  <c r="K95" i="12"/>
  <c r="J95" i="12"/>
  <c r="Q95" i="12"/>
  <c r="I95" i="12"/>
  <c r="P95" i="12"/>
  <c r="H95" i="12"/>
  <c r="O95" i="12"/>
  <c r="G95" i="12"/>
  <c r="N95" i="12"/>
  <c r="F95" i="12"/>
  <c r="M95" i="12"/>
  <c r="C27" i="4"/>
  <c r="C10" i="49" s="1"/>
  <c r="K266" i="8"/>
  <c r="AG266" i="8" s="1"/>
  <c r="AH266" i="8" s="1"/>
  <c r="I266" i="8"/>
  <c r="J266" i="8" s="1"/>
  <c r="G265" i="8"/>
  <c r="K265" i="8"/>
  <c r="AG265" i="8" s="1"/>
  <c r="AH265" i="8" s="1"/>
  <c r="I265" i="8"/>
  <c r="J265" i="8" s="1"/>
  <c r="K267" i="8"/>
  <c r="AG267" i="8" s="1"/>
  <c r="AH267" i="8" s="1"/>
  <c r="I267" i="8"/>
  <c r="J267" i="8" s="1"/>
  <c r="G168" i="8"/>
  <c r="K168" i="8"/>
  <c r="AG168" i="8" s="1"/>
  <c r="K200" i="8"/>
  <c r="AG200" i="8" s="1"/>
  <c r="I200" i="8"/>
  <c r="J200" i="8" s="1"/>
  <c r="K54" i="8"/>
  <c r="AG54" i="8" s="1"/>
  <c r="G54" i="8"/>
  <c r="K56" i="8"/>
  <c r="AG56" i="8" s="1"/>
  <c r="G56" i="8"/>
  <c r="G55" i="8"/>
  <c r="K55" i="8"/>
  <c r="AG55" i="8" s="1"/>
  <c r="F265" i="8"/>
  <c r="C74" i="6"/>
  <c r="D190" i="12" s="1"/>
  <c r="C257" i="8"/>
  <c r="C62" i="6"/>
  <c r="C254" i="8"/>
  <c r="C158" i="57"/>
  <c r="C159" i="57" s="1"/>
  <c r="C160" i="57" s="1"/>
  <c r="E160" i="57" s="1"/>
  <c r="AA366" i="10" s="1"/>
  <c r="Z366" i="10"/>
  <c r="Y366" i="10"/>
  <c r="H265" i="8"/>
  <c r="E265" i="8"/>
  <c r="C34" i="3"/>
  <c r="G94" i="1" s="1"/>
  <c r="C19" i="4"/>
  <c r="G63" i="1"/>
  <c r="C85" i="6"/>
  <c r="C52" i="6"/>
  <c r="C55" i="6" s="1"/>
  <c r="C64" i="6"/>
  <c r="C67" i="6" s="1"/>
  <c r="C19" i="6"/>
  <c r="AM442" i="8"/>
  <c r="H107" i="1"/>
  <c r="H53" i="8"/>
  <c r="F53" i="8"/>
  <c r="C20" i="6"/>
  <c r="C151" i="8"/>
  <c r="C152" i="8"/>
  <c r="C150" i="8"/>
  <c r="H54" i="8"/>
  <c r="E54" i="8"/>
  <c r="F54" i="8"/>
  <c r="E168" i="8"/>
  <c r="H168" i="8"/>
  <c r="F168" i="8"/>
  <c r="H56" i="8"/>
  <c r="E56" i="8"/>
  <c r="F56" i="8"/>
  <c r="D24" i="12"/>
  <c r="D25" i="12"/>
  <c r="D26" i="12"/>
  <c r="G92" i="1"/>
  <c r="C10" i="4"/>
  <c r="C63" i="4" s="1"/>
  <c r="C53" i="11"/>
  <c r="C54" i="11" s="1"/>
  <c r="C55" i="11" s="1"/>
  <c r="C14" i="11"/>
  <c r="C24" i="11" s="1"/>
  <c r="E55" i="8"/>
  <c r="H55" i="8"/>
  <c r="F55" i="8"/>
  <c r="C77" i="6"/>
  <c r="C78" i="6" s="1"/>
  <c r="C70" i="4" s="1"/>
  <c r="H81" i="1"/>
  <c r="E45" i="8"/>
  <c r="F45" i="8"/>
  <c r="G45" i="8"/>
  <c r="H45" i="8"/>
  <c r="C49" i="8"/>
  <c r="C75" i="3"/>
  <c r="C50" i="8" s="1"/>
  <c r="H46" i="8"/>
  <c r="G46" i="8"/>
  <c r="E46" i="8"/>
  <c r="F46" i="8"/>
  <c r="AG46" i="8"/>
  <c r="AE442" i="8"/>
  <c r="J101" i="12" l="1"/>
  <c r="L101" i="12"/>
  <c r="K101" i="12"/>
  <c r="M101" i="12"/>
  <c r="H101" i="12"/>
  <c r="I101" i="12"/>
  <c r="P101" i="12"/>
  <c r="O101" i="12"/>
  <c r="Q101" i="12"/>
  <c r="F101" i="12"/>
  <c r="G101" i="12"/>
  <c r="K233" i="8"/>
  <c r="AG233" i="8" s="1"/>
  <c r="G233" i="8"/>
  <c r="L99" i="12"/>
  <c r="O99" i="12"/>
  <c r="J79" i="12"/>
  <c r="K99" i="12"/>
  <c r="G99" i="12"/>
  <c r="M99" i="12"/>
  <c r="H99" i="12"/>
  <c r="Q99" i="12"/>
  <c r="J99" i="12"/>
  <c r="P99" i="12"/>
  <c r="F99" i="12"/>
  <c r="G79" i="12"/>
  <c r="I99" i="12"/>
  <c r="H79" i="12"/>
  <c r="I79" i="12"/>
  <c r="P79" i="12"/>
  <c r="Q79" i="12"/>
  <c r="O79" i="12"/>
  <c r="M79" i="12"/>
  <c r="L79" i="12"/>
  <c r="K79" i="12"/>
  <c r="F79" i="12"/>
  <c r="E76" i="8"/>
  <c r="E73" i="8"/>
  <c r="D41" i="12"/>
  <c r="E74" i="8"/>
  <c r="E77" i="8"/>
  <c r="C38" i="49"/>
  <c r="D148" i="12" s="1"/>
  <c r="E75" i="8"/>
  <c r="K73" i="8"/>
  <c r="AG73" i="8" s="1"/>
  <c r="AH73" i="8" s="1"/>
  <c r="K77" i="8"/>
  <c r="AG77" i="8" s="1"/>
  <c r="AH77" i="8" s="1"/>
  <c r="G75" i="8"/>
  <c r="G77" i="8"/>
  <c r="K75" i="8"/>
  <c r="AG75" i="8" s="1"/>
  <c r="K76" i="8"/>
  <c r="AG76" i="8" s="1"/>
  <c r="G73" i="8"/>
  <c r="K74" i="8"/>
  <c r="AG74" i="8" s="1"/>
  <c r="AH74" i="8" s="1"/>
  <c r="G74" i="8"/>
  <c r="G76" i="8"/>
  <c r="I49" i="8"/>
  <c r="K49" i="8"/>
  <c r="AG49" i="8" s="1"/>
  <c r="D42" i="12"/>
  <c r="D40" i="12"/>
  <c r="K50" i="8"/>
  <c r="AG50" i="8" s="1"/>
  <c r="I50" i="8"/>
  <c r="J50" i="8" s="1"/>
  <c r="D44" i="12"/>
  <c r="D43" i="12"/>
  <c r="G135" i="8"/>
  <c r="K114" i="8"/>
  <c r="AG114" i="8" s="1"/>
  <c r="K134" i="8"/>
  <c r="AG134" i="8" s="1"/>
  <c r="G114" i="8"/>
  <c r="G134" i="8"/>
  <c r="K113" i="8"/>
  <c r="AG113" i="8" s="1"/>
  <c r="K133" i="8"/>
  <c r="AG133" i="8" s="1"/>
  <c r="K115" i="8"/>
  <c r="AG115" i="8" s="1"/>
  <c r="AH115" i="8" s="1"/>
  <c r="G113" i="8"/>
  <c r="K135" i="8"/>
  <c r="AG135" i="8" s="1"/>
  <c r="AH135" i="8" s="1"/>
  <c r="G133" i="8"/>
  <c r="G115" i="8"/>
  <c r="K150" i="8"/>
  <c r="AG150" i="8" s="1"/>
  <c r="G150" i="8"/>
  <c r="K152" i="8"/>
  <c r="AG152" i="8" s="1"/>
  <c r="G152" i="8"/>
  <c r="G151" i="8"/>
  <c r="K151" i="8"/>
  <c r="AG151" i="8" s="1"/>
  <c r="AZ115" i="10" a="1"/>
  <c r="AZ115" i="10" s="1"/>
  <c r="AX115" i="10" s="1"/>
  <c r="AZ100" i="10" a="1"/>
  <c r="AZ100" i="10" s="1"/>
  <c r="AX100" i="10" s="1"/>
  <c r="AZ97" i="10" a="1"/>
  <c r="AZ97" i="10" s="1"/>
  <c r="AX97" i="10" s="1"/>
  <c r="AZ120" i="10" a="1"/>
  <c r="AZ120" i="10" s="1"/>
  <c r="AX120" i="10" s="1"/>
  <c r="AZ114" i="10" a="1"/>
  <c r="AZ114" i="10" s="1"/>
  <c r="AX114" i="10" s="1"/>
  <c r="AZ116" i="10" a="1"/>
  <c r="AZ116" i="10" s="1"/>
  <c r="AX116" i="10" s="1"/>
  <c r="AZ118" i="10" a="1"/>
  <c r="AZ118" i="10" s="1"/>
  <c r="AX118" i="10" s="1"/>
  <c r="AZ117" i="10" a="1"/>
  <c r="AZ117" i="10" s="1"/>
  <c r="AX117" i="10" s="1"/>
  <c r="AZ98" i="10" a="1"/>
  <c r="AZ98" i="10" s="1"/>
  <c r="AX98" i="10" s="1"/>
  <c r="AZ102" i="10" a="1"/>
  <c r="AZ102" i="10" s="1"/>
  <c r="AX102" i="10" s="1"/>
  <c r="AZ101" i="10" a="1"/>
  <c r="AZ101" i="10" s="1"/>
  <c r="AX101" i="10" s="1"/>
  <c r="AZ99" i="10" a="1"/>
  <c r="AZ99" i="10" s="1"/>
  <c r="AX99" i="10" s="1"/>
  <c r="AZ119" i="10" a="1"/>
  <c r="AZ119" i="10" s="1"/>
  <c r="AX119" i="10" s="1"/>
  <c r="AZ113" i="10" a="1"/>
  <c r="AZ113" i="10" s="1"/>
  <c r="AX113" i="10" s="1"/>
  <c r="AZ104" i="10" a="1"/>
  <c r="AZ104" i="10" s="1"/>
  <c r="AX104" i="10" s="1"/>
  <c r="AZ103" i="10" a="1"/>
  <c r="AZ103" i="10" s="1"/>
  <c r="AX103" i="10" s="1"/>
  <c r="C42" i="4"/>
  <c r="C51" i="4" s="1"/>
  <c r="C43" i="4"/>
  <c r="C52" i="4" s="1"/>
  <c r="D187" i="12"/>
  <c r="E254" i="8"/>
  <c r="AG254" i="8"/>
  <c r="AH254" i="8" s="1"/>
  <c r="C86" i="6"/>
  <c r="C260" i="8"/>
  <c r="E257" i="8"/>
  <c r="AG257" i="8"/>
  <c r="AH257" i="8" s="1"/>
  <c r="AZ357" i="10" a="1"/>
  <c r="AZ357" i="10" s="1"/>
  <c r="AZ340" i="10" a="1"/>
  <c r="AZ340" i="10" s="1"/>
  <c r="AX340" i="10" s="1"/>
  <c r="AZ323" i="10" a="1"/>
  <c r="AZ323" i="10" s="1"/>
  <c r="AX323" i="10" s="1"/>
  <c r="AZ294" i="10" a="1"/>
  <c r="AZ294" i="10" s="1"/>
  <c r="AX294" i="10" s="1"/>
  <c r="AZ259" i="10" a="1"/>
  <c r="AZ259" i="10" s="1"/>
  <c r="AX259" i="10" s="1"/>
  <c r="AZ247" i="10" a="1"/>
  <c r="AZ247" i="10" s="1"/>
  <c r="AX247" i="10" s="1"/>
  <c r="AZ360" i="10" a="1"/>
  <c r="AZ360" i="10" s="1"/>
  <c r="AZ354" i="10" a="1"/>
  <c r="AZ354" i="10" s="1"/>
  <c r="AZ343" i="10" a="1"/>
  <c r="AZ343" i="10" s="1"/>
  <c r="AX343" i="10" s="1"/>
  <c r="AZ326" i="10" a="1"/>
  <c r="AZ326" i="10" s="1"/>
  <c r="AX326" i="10" s="1"/>
  <c r="AZ311" i="10" a="1"/>
  <c r="AZ311" i="10" s="1"/>
  <c r="AX311" i="10" s="1"/>
  <c r="AZ308" i="10" a="1"/>
  <c r="AZ308" i="10" s="1"/>
  <c r="AX308" i="10" s="1"/>
  <c r="AZ290" i="10" a="1"/>
  <c r="AZ290" i="10" s="1"/>
  <c r="AX290" i="10" s="1"/>
  <c r="AZ278" i="10" a="1"/>
  <c r="AZ278" i="10" s="1"/>
  <c r="AX278" i="10" s="1"/>
  <c r="AZ243" i="10" a="1"/>
  <c r="AZ243" i="10" s="1"/>
  <c r="AX243" i="10" s="1"/>
  <c r="AZ356" i="10" a="1"/>
  <c r="AZ356" i="10" s="1"/>
  <c r="AZ337" i="10" a="1"/>
  <c r="AZ337" i="10" s="1"/>
  <c r="AX337" i="10" s="1"/>
  <c r="AZ305" i="10" a="1"/>
  <c r="AZ305" i="10" s="1"/>
  <c r="AX305" i="10" s="1"/>
  <c r="AZ296" i="10" a="1"/>
  <c r="AZ296" i="10" s="1"/>
  <c r="AX296" i="10" s="1"/>
  <c r="AZ293" i="10" a="1"/>
  <c r="AZ293" i="10" s="1"/>
  <c r="AX293" i="10" s="1"/>
  <c r="AZ274" i="10" a="1"/>
  <c r="AZ274" i="10" s="1"/>
  <c r="AX274" i="10" s="1"/>
  <c r="AZ262" i="10" a="1"/>
  <c r="AZ262" i="10" s="1"/>
  <c r="AX262" i="10" s="1"/>
  <c r="AZ231" i="10" a="1"/>
  <c r="AZ231" i="10" s="1"/>
  <c r="AX231" i="10" s="1"/>
  <c r="AZ212" i="10" a="1"/>
  <c r="AZ212" i="10" s="1"/>
  <c r="AX212" i="10" s="1"/>
  <c r="AZ209" i="10" a="1"/>
  <c r="AZ209" i="10" s="1"/>
  <c r="AX209" i="10" s="1"/>
  <c r="AZ328" i="10" a="1"/>
  <c r="AZ328" i="10" s="1"/>
  <c r="AX328" i="10" s="1"/>
  <c r="AZ322" i="10" a="1"/>
  <c r="AZ322" i="10" s="1"/>
  <c r="AX322" i="10" s="1"/>
  <c r="AZ307" i="10" a="1"/>
  <c r="AZ307" i="10" s="1"/>
  <c r="AX307" i="10" s="1"/>
  <c r="AZ280" i="10" a="1"/>
  <c r="AZ280" i="10" s="1"/>
  <c r="AX280" i="10" s="1"/>
  <c r="AZ277" i="10" a="1"/>
  <c r="AZ277" i="10" s="1"/>
  <c r="AX277" i="10" s="1"/>
  <c r="AZ258" i="10" a="1"/>
  <c r="AZ258" i="10" s="1"/>
  <c r="AX258" i="10" s="1"/>
  <c r="AZ246" i="10" a="1"/>
  <c r="AZ246" i="10" s="1"/>
  <c r="AX246" i="10" s="1"/>
  <c r="AZ227" i="10" a="1"/>
  <c r="AZ227" i="10" s="1"/>
  <c r="AX227" i="10" s="1"/>
  <c r="AZ215" i="10" a="1"/>
  <c r="AZ215" i="10" s="1"/>
  <c r="AX215" i="10" s="1"/>
  <c r="AZ197" i="10" a="1"/>
  <c r="AZ197" i="10" s="1"/>
  <c r="AX197" i="10" s="1"/>
  <c r="AZ359" i="10" a="1"/>
  <c r="AZ359" i="10" s="1"/>
  <c r="AZ353" i="10" a="1"/>
  <c r="AZ353" i="10" s="1"/>
  <c r="AZ342" i="10" a="1"/>
  <c r="AZ342" i="10" s="1"/>
  <c r="AX342" i="10" s="1"/>
  <c r="AZ339" i="10" a="1"/>
  <c r="AZ339" i="10" s="1"/>
  <c r="AX339" i="10" s="1"/>
  <c r="AZ325" i="10" a="1"/>
  <c r="AZ325" i="10" s="1"/>
  <c r="AX325" i="10" s="1"/>
  <c r="AZ310" i="10" a="1"/>
  <c r="AZ310" i="10" s="1"/>
  <c r="AX310" i="10" s="1"/>
  <c r="AZ292" i="10" a="1"/>
  <c r="AZ292" i="10" s="1"/>
  <c r="AX292" i="10" s="1"/>
  <c r="AZ289" i="10" a="1"/>
  <c r="AZ289" i="10" s="1"/>
  <c r="AX289" i="10" s="1"/>
  <c r="AZ264" i="10" a="1"/>
  <c r="AZ264" i="10" s="1"/>
  <c r="AX264" i="10" s="1"/>
  <c r="AZ261" i="10" a="1"/>
  <c r="AZ261" i="10" s="1"/>
  <c r="AX261" i="10" s="1"/>
  <c r="AZ242" i="10" a="1"/>
  <c r="AZ242" i="10" s="1"/>
  <c r="AX242" i="10" s="1"/>
  <c r="AZ211" i="10" a="1"/>
  <c r="AZ211" i="10" s="1"/>
  <c r="AX211" i="10" s="1"/>
  <c r="AZ344" i="10" a="1"/>
  <c r="AZ344" i="10" s="1"/>
  <c r="AX344" i="10" s="1"/>
  <c r="AZ295" i="10" a="1"/>
  <c r="AZ295" i="10" s="1"/>
  <c r="AX295" i="10" s="1"/>
  <c r="AZ276" i="10" a="1"/>
  <c r="AZ276" i="10" s="1"/>
  <c r="AX276" i="10" s="1"/>
  <c r="AZ273" i="10" a="1"/>
  <c r="AZ273" i="10" s="1"/>
  <c r="AX273" i="10" s="1"/>
  <c r="AZ248" i="10" a="1"/>
  <c r="AZ248" i="10" s="1"/>
  <c r="AX248" i="10" s="1"/>
  <c r="AZ245" i="10" a="1"/>
  <c r="AZ245" i="10" s="1"/>
  <c r="AX245" i="10" s="1"/>
  <c r="AZ230" i="10" a="1"/>
  <c r="AZ230" i="10" s="1"/>
  <c r="AX230" i="10" s="1"/>
  <c r="AZ358" i="10" a="1"/>
  <c r="AZ358" i="10" s="1"/>
  <c r="AZ355" i="10" a="1"/>
  <c r="AZ355" i="10" s="1"/>
  <c r="AZ338" i="10" a="1"/>
  <c r="AZ338" i="10" s="1"/>
  <c r="AX338" i="10" s="1"/>
  <c r="AZ309" i="10" a="1"/>
  <c r="AZ309" i="10" s="1"/>
  <c r="AX309" i="10" s="1"/>
  <c r="AZ275" i="10" a="1"/>
  <c r="AZ275" i="10" s="1"/>
  <c r="AX275" i="10" s="1"/>
  <c r="AZ263" i="10" a="1"/>
  <c r="AZ263" i="10" s="1"/>
  <c r="AX263" i="10" s="1"/>
  <c r="AZ244" i="10" a="1"/>
  <c r="AZ244" i="10" s="1"/>
  <c r="AX244" i="10" s="1"/>
  <c r="AZ241" i="10" a="1"/>
  <c r="AZ241" i="10" s="1"/>
  <c r="AX241" i="10" s="1"/>
  <c r="AZ232" i="10" a="1"/>
  <c r="AZ232" i="10" s="1"/>
  <c r="AX232" i="10" s="1"/>
  <c r="AZ229" i="10" a="1"/>
  <c r="AZ229" i="10" s="1"/>
  <c r="AX229" i="10" s="1"/>
  <c r="AZ306" i="10" a="1"/>
  <c r="AZ306" i="10" s="1"/>
  <c r="AX306" i="10" s="1"/>
  <c r="AZ213" i="10" a="1"/>
  <c r="AZ213" i="10" s="1"/>
  <c r="AX213" i="10" s="1"/>
  <c r="AZ168" i="10" a="1"/>
  <c r="AZ168" i="10" s="1"/>
  <c r="AX168" i="10" s="1"/>
  <c r="AZ161" i="10" a="1"/>
  <c r="AZ161" i="10" s="1"/>
  <c r="AX161" i="10" s="1"/>
  <c r="AZ136" i="10" a="1"/>
  <c r="AZ136" i="10" s="1"/>
  <c r="AX136" i="10" s="1"/>
  <c r="AZ129" i="10" a="1"/>
  <c r="AZ129" i="10" s="1"/>
  <c r="AX129" i="10" s="1"/>
  <c r="AZ72" i="10" a="1"/>
  <c r="AZ72" i="10" s="1"/>
  <c r="AX72" i="10" s="1"/>
  <c r="AZ65" i="10" a="1"/>
  <c r="AZ65" i="10" s="1"/>
  <c r="AX65" i="10" s="1"/>
  <c r="AZ130" i="10" a="1"/>
  <c r="AZ130" i="10" s="1"/>
  <c r="AX130" i="10" s="1"/>
  <c r="AZ312" i="10" a="1"/>
  <c r="AZ312" i="10" s="1"/>
  <c r="AX312" i="10" s="1"/>
  <c r="AZ291" i="10" a="1"/>
  <c r="AZ291" i="10" s="1"/>
  <c r="AX291" i="10" s="1"/>
  <c r="AZ279" i="10" a="1"/>
  <c r="AZ279" i="10" s="1"/>
  <c r="AX279" i="10" s="1"/>
  <c r="AZ194" i="10" a="1"/>
  <c r="AZ194" i="10" s="1"/>
  <c r="AX194" i="10" s="1"/>
  <c r="AZ182" i="10" a="1"/>
  <c r="AZ182" i="10" s="1"/>
  <c r="AX182" i="10" s="1"/>
  <c r="AZ164" i="10" a="1"/>
  <c r="AZ164" i="10" s="1"/>
  <c r="AX164" i="10" s="1"/>
  <c r="AZ150" i="10" a="1"/>
  <c r="AZ150" i="10" s="1"/>
  <c r="AX150" i="10" s="1"/>
  <c r="AZ132" i="10" a="1"/>
  <c r="AZ132" i="10" s="1"/>
  <c r="AX132" i="10" s="1"/>
  <c r="AZ86" i="10" a="1"/>
  <c r="AZ86" i="10" s="1"/>
  <c r="AX86" i="10" s="1"/>
  <c r="AZ68" i="10" a="1"/>
  <c r="AZ68" i="10" s="1"/>
  <c r="AX68" i="10" s="1"/>
  <c r="AZ54" i="10" a="1"/>
  <c r="AZ54" i="10" s="1"/>
  <c r="AX54" i="10" s="1"/>
  <c r="AZ39" i="10" a="1"/>
  <c r="AZ39" i="10" s="1"/>
  <c r="AX39" i="10" s="1"/>
  <c r="AZ35" i="10" a="1"/>
  <c r="AZ35" i="10" s="1"/>
  <c r="AX35" i="10" s="1"/>
  <c r="AZ23" i="10" a="1"/>
  <c r="AZ23" i="10" s="1"/>
  <c r="AX23" i="10" s="1"/>
  <c r="AZ19" i="10" a="1"/>
  <c r="AZ19" i="10" s="1"/>
  <c r="AX19" i="10" s="1"/>
  <c r="AZ195" i="10" a="1"/>
  <c r="AZ195" i="10" s="1"/>
  <c r="AX195" i="10" s="1"/>
  <c r="AZ324" i="10" a="1"/>
  <c r="AZ324" i="10" s="1"/>
  <c r="AX324" i="10" s="1"/>
  <c r="AZ226" i="10" a="1"/>
  <c r="AZ226" i="10" s="1"/>
  <c r="AX226" i="10" s="1"/>
  <c r="AZ178" i="10" a="1"/>
  <c r="AZ178" i="10" s="1"/>
  <c r="AX178" i="10" s="1"/>
  <c r="AZ146" i="10" a="1"/>
  <c r="AZ146" i="10" s="1"/>
  <c r="AX146" i="10" s="1"/>
  <c r="AZ82" i="10" a="1"/>
  <c r="AZ82" i="10" s="1"/>
  <c r="AX82" i="10" s="1"/>
  <c r="AZ50" i="10" a="1"/>
  <c r="AZ50" i="10" s="1"/>
  <c r="AX50" i="10" s="1"/>
  <c r="AZ327" i="10" a="1"/>
  <c r="AZ327" i="10" s="1"/>
  <c r="AX327" i="10" s="1"/>
  <c r="AZ257" i="10" a="1"/>
  <c r="AZ257" i="10" s="1"/>
  <c r="AX257" i="10" s="1"/>
  <c r="AZ216" i="10" a="1"/>
  <c r="AZ216" i="10" s="1"/>
  <c r="AX216" i="10" s="1"/>
  <c r="AZ200" i="10" a="1"/>
  <c r="AZ200" i="10" s="1"/>
  <c r="AX200" i="10" s="1"/>
  <c r="AZ181" i="10" a="1"/>
  <c r="AZ181" i="10" s="1"/>
  <c r="AX181" i="10" s="1"/>
  <c r="AZ167" i="10" a="1"/>
  <c r="AZ167" i="10" s="1"/>
  <c r="AX167" i="10" s="1"/>
  <c r="AZ163" i="10" a="1"/>
  <c r="AZ163" i="10" s="1"/>
  <c r="AX163" i="10" s="1"/>
  <c r="AZ149" i="10" a="1"/>
  <c r="AZ149" i="10" s="1"/>
  <c r="AX149" i="10" s="1"/>
  <c r="AZ135" i="10" a="1"/>
  <c r="AZ135" i="10" s="1"/>
  <c r="AX135" i="10" s="1"/>
  <c r="AZ131" i="10" a="1"/>
  <c r="AZ131" i="10" s="1"/>
  <c r="AX131" i="10" s="1"/>
  <c r="AZ85" i="10" a="1"/>
  <c r="AZ85" i="10" s="1"/>
  <c r="AX85" i="10" s="1"/>
  <c r="AZ71" i="10" a="1"/>
  <c r="AZ71" i="10" s="1"/>
  <c r="AX71" i="10" s="1"/>
  <c r="AZ67" i="10" a="1"/>
  <c r="AZ67" i="10" s="1"/>
  <c r="AX67" i="10" s="1"/>
  <c r="AZ53" i="10" a="1"/>
  <c r="AZ53" i="10" s="1"/>
  <c r="AX53" i="10" s="1"/>
  <c r="AZ38" i="10" a="1"/>
  <c r="AZ38" i="10" s="1"/>
  <c r="AX38" i="10" s="1"/>
  <c r="AZ34" i="10" a="1"/>
  <c r="AZ34" i="10" s="1"/>
  <c r="AX34" i="10" s="1"/>
  <c r="AZ22" i="10" a="1"/>
  <c r="AZ22" i="10" s="1"/>
  <c r="AX22" i="10" s="1"/>
  <c r="AZ18" i="10" a="1"/>
  <c r="AZ18" i="10" s="1"/>
  <c r="AX18" i="10" s="1"/>
  <c r="AZ17" i="10" a="1"/>
  <c r="AZ17" i="10" s="1"/>
  <c r="AX17" i="10" s="1"/>
  <c r="AZ321" i="10" a="1"/>
  <c r="AZ321" i="10" s="1"/>
  <c r="AX321" i="10" s="1"/>
  <c r="AZ225" i="10" a="1"/>
  <c r="AZ225" i="10" s="1"/>
  <c r="AX225" i="10" s="1"/>
  <c r="AZ210" i="10" a="1"/>
  <c r="AZ210" i="10" s="1"/>
  <c r="AX210" i="10" s="1"/>
  <c r="AZ196" i="10" a="1"/>
  <c r="AZ196" i="10" s="1"/>
  <c r="AX196" i="10" s="1"/>
  <c r="AZ184" i="10" a="1"/>
  <c r="AZ184" i="10" s="1"/>
  <c r="AX184" i="10" s="1"/>
  <c r="AZ177" i="10" a="1"/>
  <c r="AZ177" i="10" s="1"/>
  <c r="AX177" i="10" s="1"/>
  <c r="AZ152" i="10" a="1"/>
  <c r="AZ152" i="10" s="1"/>
  <c r="AX152" i="10" s="1"/>
  <c r="AZ145" i="10" a="1"/>
  <c r="AZ145" i="10" s="1"/>
  <c r="AX145" i="10" s="1"/>
  <c r="AZ88" i="10" a="1"/>
  <c r="AZ88" i="10" s="1"/>
  <c r="AX88" i="10" s="1"/>
  <c r="AZ81" i="10" a="1"/>
  <c r="AZ81" i="10" s="1"/>
  <c r="AX81" i="10" s="1"/>
  <c r="AZ56" i="10" a="1"/>
  <c r="AZ56" i="10" s="1"/>
  <c r="AX56" i="10" s="1"/>
  <c r="AZ49" i="10" a="1"/>
  <c r="AZ49" i="10" s="1"/>
  <c r="AX49" i="10" s="1"/>
  <c r="AZ21" i="10" a="1"/>
  <c r="AZ21" i="10" s="1"/>
  <c r="AX21" i="10" s="1"/>
  <c r="AZ341" i="10" a="1"/>
  <c r="AZ341" i="10" s="1"/>
  <c r="AX341" i="10" s="1"/>
  <c r="AZ66" i="10" a="1"/>
  <c r="AZ66" i="10" s="1"/>
  <c r="AX66" i="10" s="1"/>
  <c r="AZ199" i="10" a="1"/>
  <c r="AZ199" i="10" s="1"/>
  <c r="AX199" i="10" s="1"/>
  <c r="AZ193" i="10" a="1"/>
  <c r="AZ193" i="10" s="1"/>
  <c r="AX193" i="10" s="1"/>
  <c r="AZ180" i="10" a="1"/>
  <c r="AZ180" i="10" s="1"/>
  <c r="AX180" i="10" s="1"/>
  <c r="AZ166" i="10" a="1"/>
  <c r="AZ166" i="10" s="1"/>
  <c r="AX166" i="10" s="1"/>
  <c r="AZ148" i="10" a="1"/>
  <c r="AZ148" i="10" s="1"/>
  <c r="AX148" i="10" s="1"/>
  <c r="AZ134" i="10" a="1"/>
  <c r="AZ134" i="10" s="1"/>
  <c r="AX134" i="10" s="1"/>
  <c r="AZ84" i="10" a="1"/>
  <c r="AZ84" i="10" s="1"/>
  <c r="AX84" i="10" s="1"/>
  <c r="AZ70" i="10" a="1"/>
  <c r="AZ70" i="10" s="1"/>
  <c r="AX70" i="10" s="1"/>
  <c r="AZ52" i="10" a="1"/>
  <c r="AZ52" i="10" s="1"/>
  <c r="AX52" i="10" s="1"/>
  <c r="AZ37" i="10" a="1"/>
  <c r="AZ37" i="10" s="1"/>
  <c r="AX37" i="10" s="1"/>
  <c r="AZ33" i="10" a="1"/>
  <c r="AZ33" i="10" s="1"/>
  <c r="AX33" i="10" s="1"/>
  <c r="AZ162" i="10" a="1"/>
  <c r="AZ162" i="10" s="1"/>
  <c r="AX162" i="10" s="1"/>
  <c r="AZ260" i="10" a="1"/>
  <c r="AZ260" i="10" s="1"/>
  <c r="AX260" i="10" s="1"/>
  <c r="AZ228" i="10" a="1"/>
  <c r="AZ228" i="10" s="1"/>
  <c r="AX228" i="10" s="1"/>
  <c r="AZ198" i="10" a="1"/>
  <c r="AZ198" i="10" s="1"/>
  <c r="AX198" i="10" s="1"/>
  <c r="AZ183" i="10" a="1"/>
  <c r="AZ183" i="10" s="1"/>
  <c r="AX183" i="10" s="1"/>
  <c r="AZ179" i="10" a="1"/>
  <c r="AZ179" i="10" s="1"/>
  <c r="AX179" i="10" s="1"/>
  <c r="AZ165" i="10" a="1"/>
  <c r="AZ165" i="10" s="1"/>
  <c r="AX165" i="10" s="1"/>
  <c r="AZ151" i="10" a="1"/>
  <c r="AZ151" i="10" s="1"/>
  <c r="AX151" i="10" s="1"/>
  <c r="AZ147" i="10" a="1"/>
  <c r="AZ147" i="10" s="1"/>
  <c r="AX147" i="10" s="1"/>
  <c r="AZ133" i="10" a="1"/>
  <c r="AZ133" i="10" s="1"/>
  <c r="AX133" i="10" s="1"/>
  <c r="AZ87" i="10" a="1"/>
  <c r="AZ87" i="10" s="1"/>
  <c r="AX87" i="10" s="1"/>
  <c r="AZ83" i="10" a="1"/>
  <c r="AZ83" i="10" s="1"/>
  <c r="AX83" i="10" s="1"/>
  <c r="AZ69" i="10" a="1"/>
  <c r="AZ69" i="10" s="1"/>
  <c r="AX69" i="10" s="1"/>
  <c r="AZ55" i="10" a="1"/>
  <c r="AZ55" i="10" s="1"/>
  <c r="AX55" i="10" s="1"/>
  <c r="AZ51" i="10" a="1"/>
  <c r="AZ51" i="10" s="1"/>
  <c r="AX51" i="10" s="1"/>
  <c r="AZ40" i="10" a="1"/>
  <c r="AZ40" i="10" s="1"/>
  <c r="AX40" i="10" s="1"/>
  <c r="AZ36" i="10" a="1"/>
  <c r="AZ36" i="10" s="1"/>
  <c r="AX36" i="10" s="1"/>
  <c r="AZ24" i="10" a="1"/>
  <c r="AZ24" i="10" s="1"/>
  <c r="AX24" i="10" s="1"/>
  <c r="AZ20" i="10" a="1"/>
  <c r="AZ20" i="10" s="1"/>
  <c r="AX20" i="10" s="1"/>
  <c r="AZ214" i="10" a="1"/>
  <c r="AZ214" i="10" s="1"/>
  <c r="AX214" i="10" s="1"/>
  <c r="AH200" i="8"/>
  <c r="C23" i="6"/>
  <c r="C24" i="6" s="1"/>
  <c r="C35" i="3"/>
  <c r="D164" i="12"/>
  <c r="E233" i="8"/>
  <c r="E135" i="8"/>
  <c r="E133" i="8"/>
  <c r="D97" i="12"/>
  <c r="D78" i="12"/>
  <c r="D76" i="12"/>
  <c r="E76" i="12" s="1"/>
  <c r="D98" i="12"/>
  <c r="E98" i="12" s="1"/>
  <c r="E134" i="8"/>
  <c r="D77" i="12"/>
  <c r="E115" i="8"/>
  <c r="E113" i="8"/>
  <c r="E114" i="8"/>
  <c r="D96" i="12"/>
  <c r="E96" i="12" s="1"/>
  <c r="C65" i="6"/>
  <c r="C66" i="6" s="1"/>
  <c r="C53" i="6"/>
  <c r="C54" i="6" s="1"/>
  <c r="C50" i="4"/>
  <c r="C62" i="4" s="1"/>
  <c r="C22" i="6"/>
  <c r="C25" i="6"/>
  <c r="C43" i="64"/>
  <c r="C44" i="64" s="1"/>
  <c r="F152" i="8"/>
  <c r="E152" i="8"/>
  <c r="H152" i="8"/>
  <c r="C381" i="8"/>
  <c r="C9" i="56"/>
  <c r="C167" i="8"/>
  <c r="E150" i="8"/>
  <c r="F150" i="8"/>
  <c r="H150" i="8"/>
  <c r="F151" i="8"/>
  <c r="E151" i="8"/>
  <c r="H151" i="8"/>
  <c r="C21" i="6"/>
  <c r="C81" i="6"/>
  <c r="C84" i="6"/>
  <c r="C82" i="6"/>
  <c r="C83" i="6" s="1"/>
  <c r="C80" i="6"/>
  <c r="AH202" i="8"/>
  <c r="AH45" i="8"/>
  <c r="J49" i="8"/>
  <c r="AH47" i="8"/>
  <c r="J53" i="8" l="1"/>
  <c r="C101" i="12"/>
  <c r="D149" i="12"/>
  <c r="D151" i="12"/>
  <c r="D150" i="12"/>
  <c r="P98" i="12"/>
  <c r="H98" i="12"/>
  <c r="O98" i="12"/>
  <c r="G98" i="12"/>
  <c r="N98" i="12"/>
  <c r="F98" i="12"/>
  <c r="M98" i="12"/>
  <c r="L98" i="12"/>
  <c r="K98" i="12"/>
  <c r="I98" i="12"/>
  <c r="J98" i="12"/>
  <c r="Q98" i="12"/>
  <c r="L76" i="12"/>
  <c r="K76" i="12"/>
  <c r="M76" i="12"/>
  <c r="J76" i="12"/>
  <c r="Q76" i="12"/>
  <c r="I76" i="12"/>
  <c r="P76" i="12"/>
  <c r="H76" i="12"/>
  <c r="O76" i="12"/>
  <c r="G76" i="12"/>
  <c r="N76" i="12"/>
  <c r="F76" i="12"/>
  <c r="P96" i="12"/>
  <c r="H96" i="12"/>
  <c r="O96" i="12"/>
  <c r="G96" i="12"/>
  <c r="N96" i="12"/>
  <c r="F96" i="12"/>
  <c r="M96" i="12"/>
  <c r="L96" i="12"/>
  <c r="K96" i="12"/>
  <c r="I96" i="12"/>
  <c r="J96" i="12"/>
  <c r="Q96" i="12"/>
  <c r="K167" i="8"/>
  <c r="AG167" i="8" s="1"/>
  <c r="G167" i="8"/>
  <c r="D193" i="12"/>
  <c r="C44" i="4"/>
  <c r="C53" i="4" s="1"/>
  <c r="G259" i="8"/>
  <c r="E259" i="8"/>
  <c r="E260" i="8"/>
  <c r="AG260" i="8"/>
  <c r="AH260" i="8" s="1"/>
  <c r="C57" i="6"/>
  <c r="C68" i="4"/>
  <c r="C68" i="6"/>
  <c r="C69" i="4"/>
  <c r="C40" i="49"/>
  <c r="C185" i="8" s="1"/>
  <c r="C17" i="49"/>
  <c r="C17" i="60"/>
  <c r="C43" i="49"/>
  <c r="C199" i="8" s="1"/>
  <c r="C59" i="11"/>
  <c r="C60" i="11" s="1"/>
  <c r="C382" i="8" s="1"/>
  <c r="C18" i="49"/>
  <c r="C117" i="8" s="1"/>
  <c r="C11" i="60"/>
  <c r="C49" i="49"/>
  <c r="C208" i="8" s="1"/>
  <c r="J208" i="8" s="1"/>
  <c r="AH208" i="8" s="1"/>
  <c r="C27" i="49"/>
  <c r="C138" i="8" s="1"/>
  <c r="C11" i="8"/>
  <c r="C48" i="49"/>
  <c r="C205" i="8" s="1"/>
  <c r="C82" i="3"/>
  <c r="C26" i="49"/>
  <c r="C134" i="8" s="1"/>
  <c r="C58" i="4"/>
  <c r="C59" i="4"/>
  <c r="C14" i="60"/>
  <c r="D70" i="1"/>
  <c r="H71" i="1"/>
  <c r="C42" i="8"/>
  <c r="C70" i="1"/>
  <c r="X442" i="8" s="1"/>
  <c r="C43" i="8"/>
  <c r="C17" i="11"/>
  <c r="C30" i="11" s="1"/>
  <c r="C40" i="8"/>
  <c r="C47" i="49"/>
  <c r="C204" i="8" s="1"/>
  <c r="C41" i="8"/>
  <c r="G64" i="1"/>
  <c r="C58" i="6"/>
  <c r="C59" i="6" s="1"/>
  <c r="C56" i="6"/>
  <c r="C60" i="6"/>
  <c r="E53" i="8"/>
  <c r="G53" i="8"/>
  <c r="F167" i="8"/>
  <c r="H167" i="8"/>
  <c r="E167" i="8"/>
  <c r="C72" i="6"/>
  <c r="C69" i="6"/>
  <c r="C70" i="6"/>
  <c r="C71" i="6" s="1"/>
  <c r="AH50" i="8"/>
  <c r="AH49" i="8"/>
  <c r="K248" i="8" l="1"/>
  <c r="AG248" i="8" s="1"/>
  <c r="AH248" i="8" s="1"/>
  <c r="C248" i="8"/>
  <c r="C28" i="60"/>
  <c r="C207" i="60" s="1"/>
  <c r="C202" i="60"/>
  <c r="C81" i="56"/>
  <c r="K40" i="8"/>
  <c r="AG40" i="8" s="1"/>
  <c r="K204" i="8"/>
  <c r="AG204" i="8" s="1"/>
  <c r="I204" i="8"/>
  <c r="J204" i="8" s="1"/>
  <c r="I199" i="8"/>
  <c r="K199" i="8"/>
  <c r="AG199" i="8" s="1"/>
  <c r="K42" i="8"/>
  <c r="AG42" i="8" s="1"/>
  <c r="K205" i="8"/>
  <c r="AG205" i="8" s="1"/>
  <c r="I205" i="8"/>
  <c r="J205" i="8" s="1"/>
  <c r="K43" i="8"/>
  <c r="AG43" i="8" s="1"/>
  <c r="K41" i="8"/>
  <c r="AG41" i="8" s="1"/>
  <c r="AH41" i="8" s="1"/>
  <c r="K185" i="8"/>
  <c r="AG185" i="8" s="1"/>
  <c r="AH185" i="8" s="1"/>
  <c r="G185" i="8"/>
  <c r="I185" i="8"/>
  <c r="J185" i="8" s="1"/>
  <c r="K138" i="8"/>
  <c r="AG138" i="8" s="1"/>
  <c r="AH138" i="8" s="1"/>
  <c r="I138" i="8"/>
  <c r="J138" i="8" s="1"/>
  <c r="G138" i="8"/>
  <c r="I256" i="8"/>
  <c r="I259" i="8"/>
  <c r="AH259" i="8"/>
  <c r="G253" i="8"/>
  <c r="E253" i="8"/>
  <c r="G256" i="8"/>
  <c r="E256" i="8"/>
  <c r="C114" i="8"/>
  <c r="C12" i="60"/>
  <c r="C13" i="60" s="1"/>
  <c r="C38" i="60"/>
  <c r="C39" i="60" s="1"/>
  <c r="C188" i="8"/>
  <c r="F185" i="8"/>
  <c r="C186" i="8"/>
  <c r="H185" i="8"/>
  <c r="E185" i="8"/>
  <c r="C187" i="8"/>
  <c r="I53" i="8"/>
  <c r="AH53" i="8"/>
  <c r="C31" i="6"/>
  <c r="C113" i="8"/>
  <c r="C18" i="60"/>
  <c r="C115" i="8"/>
  <c r="C61" i="4"/>
  <c r="J199" i="8"/>
  <c r="C16" i="11"/>
  <c r="C27" i="11" s="1"/>
  <c r="C116" i="8"/>
  <c r="E138" i="8"/>
  <c r="C207" i="8"/>
  <c r="J207" i="8" s="1"/>
  <c r="AH207" i="8" s="1"/>
  <c r="H138" i="8"/>
  <c r="C118" i="8"/>
  <c r="C137" i="8"/>
  <c r="F138" i="8"/>
  <c r="C136" i="8"/>
  <c r="C135" i="8"/>
  <c r="C133" i="8"/>
  <c r="C399" i="8"/>
  <c r="C13" i="11"/>
  <c r="C23" i="11" s="1"/>
  <c r="C164" i="60"/>
  <c r="C168" i="60" s="1"/>
  <c r="C169" i="60" s="1"/>
  <c r="H70" i="1"/>
  <c r="C12" i="11"/>
  <c r="C22" i="11" s="1"/>
  <c r="C98" i="12"/>
  <c r="I135" i="8" s="1"/>
  <c r="AH204" i="8" l="1"/>
  <c r="G186" i="8"/>
  <c r="I186" i="8"/>
  <c r="J186" i="8" s="1"/>
  <c r="K186" i="8"/>
  <c r="AG186" i="8" s="1"/>
  <c r="AH186" i="8" s="1"/>
  <c r="AH205" i="8"/>
  <c r="AH199" i="8"/>
  <c r="K188" i="8"/>
  <c r="AG188" i="8" s="1"/>
  <c r="AH188" i="8" s="1"/>
  <c r="I188" i="8"/>
  <c r="J188" i="8" s="1"/>
  <c r="G188" i="8"/>
  <c r="K187" i="8"/>
  <c r="AG187" i="8" s="1"/>
  <c r="AH187" i="8" s="1"/>
  <c r="I187" i="8"/>
  <c r="J187" i="8" s="1"/>
  <c r="G187" i="8"/>
  <c r="C122" i="60"/>
  <c r="E92" i="8" s="1"/>
  <c r="K58" i="8"/>
  <c r="AG58" i="8" s="1"/>
  <c r="K137" i="8"/>
  <c r="AG137" i="8" s="1"/>
  <c r="AH137" i="8" s="1"/>
  <c r="G137" i="8"/>
  <c r="K136" i="8"/>
  <c r="AG136" i="8" s="1"/>
  <c r="G136" i="8"/>
  <c r="E137" i="8"/>
  <c r="C13" i="62"/>
  <c r="C20" i="62" s="1"/>
  <c r="C26" i="62" s="1"/>
  <c r="AH256" i="8"/>
  <c r="I253" i="8"/>
  <c r="AH253" i="8"/>
  <c r="C52" i="60"/>
  <c r="C183" i="60" s="1"/>
  <c r="C58" i="8"/>
  <c r="C40" i="60"/>
  <c r="C41" i="60" s="1"/>
  <c r="C42" i="60" s="1"/>
  <c r="C45" i="60" s="1"/>
  <c r="E188" i="8"/>
  <c r="H188" i="8"/>
  <c r="F188" i="8"/>
  <c r="H187" i="8"/>
  <c r="F186" i="8"/>
  <c r="E186" i="8"/>
  <c r="H186" i="8"/>
  <c r="E187" i="8"/>
  <c r="F187" i="8"/>
  <c r="G116" i="1"/>
  <c r="C15" i="62"/>
  <c r="C23" i="60"/>
  <c r="C227" i="60" s="1"/>
  <c r="C8" i="62"/>
  <c r="C26" i="11"/>
  <c r="F136" i="8"/>
  <c r="E136" i="8"/>
  <c r="H137" i="8"/>
  <c r="F137" i="8"/>
  <c r="J135" i="8"/>
  <c r="H136" i="8"/>
  <c r="C166" i="60"/>
  <c r="C172" i="60"/>
  <c r="C271" i="8"/>
  <c r="C273" i="8"/>
  <c r="C272" i="8"/>
  <c r="C274" i="8"/>
  <c r="C82" i="4"/>
  <c r="C165" i="60"/>
  <c r="D58" i="12" l="1"/>
  <c r="C139" i="60"/>
  <c r="D84" i="12" s="1"/>
  <c r="C135" i="60"/>
  <c r="C136" i="60" s="1"/>
  <c r="C95" i="8" s="1"/>
  <c r="I95" i="8" s="1"/>
  <c r="J95" i="8" s="1"/>
  <c r="E91" i="8"/>
  <c r="D59" i="12"/>
  <c r="C129" i="60"/>
  <c r="C144" i="60"/>
  <c r="G195" i="8" s="1"/>
  <c r="D57" i="12"/>
  <c r="D60" i="12"/>
  <c r="E90" i="8"/>
  <c r="C132" i="60"/>
  <c r="C133" i="60" s="1"/>
  <c r="F272" i="8"/>
  <c r="K272" i="8"/>
  <c r="AG272" i="8" s="1"/>
  <c r="AH272" i="8" s="1"/>
  <c r="F271" i="8"/>
  <c r="K271" i="8"/>
  <c r="AG271" i="8" s="1"/>
  <c r="AH271" i="8" s="1"/>
  <c r="H273" i="8"/>
  <c r="I273" i="8"/>
  <c r="K273" i="8"/>
  <c r="AG273" i="8" s="1"/>
  <c r="AH273" i="8" s="1"/>
  <c r="K90" i="8"/>
  <c r="AG90" i="8" s="1"/>
  <c r="AH90" i="8" s="1"/>
  <c r="K91" i="8"/>
  <c r="AG91" i="8" s="1"/>
  <c r="G91" i="8"/>
  <c r="C125" i="60"/>
  <c r="C126" i="60" s="1"/>
  <c r="C128" i="60" s="1"/>
  <c r="C127" i="60" s="1"/>
  <c r="C130" i="60" s="1"/>
  <c r="K93" i="8"/>
  <c r="AG93" i="8" s="1"/>
  <c r="AH93" i="8" s="1"/>
  <c r="G90" i="8"/>
  <c r="G92" i="8"/>
  <c r="K92" i="8"/>
  <c r="AG92" i="8" s="1"/>
  <c r="G93" i="8"/>
  <c r="K274" i="8"/>
  <c r="AG274" i="8" s="1"/>
  <c r="AH274" i="8" s="1"/>
  <c r="I274" i="8"/>
  <c r="E93" i="8"/>
  <c r="C21" i="62"/>
  <c r="C27" i="62"/>
  <c r="C36" i="62"/>
  <c r="B401" i="8"/>
  <c r="D401" i="8" s="1"/>
  <c r="C32" i="56"/>
  <c r="C33" i="56" s="1"/>
  <c r="C69" i="60"/>
  <c r="C43" i="60"/>
  <c r="C44" i="60" s="1"/>
  <c r="C50" i="60" s="1"/>
  <c r="C92" i="60"/>
  <c r="C184" i="60"/>
  <c r="C379" i="8" s="1"/>
  <c r="C67" i="60"/>
  <c r="C68" i="60" s="1"/>
  <c r="C35" i="4" s="1"/>
  <c r="C93" i="60"/>
  <c r="C143" i="60"/>
  <c r="C201" i="8" s="1"/>
  <c r="C234" i="8"/>
  <c r="C71" i="4"/>
  <c r="C98" i="60"/>
  <c r="C199" i="60"/>
  <c r="C200" i="60" s="1"/>
  <c r="C203" i="60" s="1"/>
  <c r="C105" i="60"/>
  <c r="C20" i="60"/>
  <c r="C378" i="8"/>
  <c r="C19" i="60"/>
  <c r="H58" i="8"/>
  <c r="F58" i="8"/>
  <c r="C22" i="62"/>
  <c r="C16" i="62"/>
  <c r="C48" i="62"/>
  <c r="D184" i="12" s="1"/>
  <c r="C184" i="12" s="1"/>
  <c r="C402" i="8"/>
  <c r="H402" i="8" s="1"/>
  <c r="C38" i="6"/>
  <c r="G42" i="1"/>
  <c r="I42" i="1"/>
  <c r="C230" i="60"/>
  <c r="C167" i="60"/>
  <c r="C173" i="60" s="1"/>
  <c r="J273" i="8" s="1"/>
  <c r="H271" i="8"/>
  <c r="H272" i="8"/>
  <c r="F273" i="8"/>
  <c r="G274" i="8"/>
  <c r="J274" i="8"/>
  <c r="E274" i="8"/>
  <c r="F274" i="8"/>
  <c r="H274" i="8"/>
  <c r="D83" i="12" l="1"/>
  <c r="D103" i="12"/>
  <c r="D118" i="12"/>
  <c r="D104" i="12"/>
  <c r="E104" i="12" s="1"/>
  <c r="G104" i="12" s="1"/>
  <c r="D116" i="12"/>
  <c r="D117" i="12"/>
  <c r="D158" i="12"/>
  <c r="E195" i="8"/>
  <c r="K197" i="8"/>
  <c r="AG197" i="8" s="1"/>
  <c r="G198" i="8"/>
  <c r="D159" i="12"/>
  <c r="C131" i="60"/>
  <c r="D102" i="12"/>
  <c r="E102" i="12" s="1"/>
  <c r="G102" i="12" s="1"/>
  <c r="D161" i="12"/>
  <c r="K195" i="8"/>
  <c r="AG195" i="8" s="1"/>
  <c r="AH195" i="8" s="1"/>
  <c r="E197" i="8"/>
  <c r="G196" i="8"/>
  <c r="K198" i="8"/>
  <c r="AG198" i="8" s="1"/>
  <c r="G197" i="8"/>
  <c r="E196" i="8"/>
  <c r="K196" i="8"/>
  <c r="AG196" i="8" s="1"/>
  <c r="D160" i="12"/>
  <c r="D82" i="12"/>
  <c r="E82" i="12" s="1"/>
  <c r="P82" i="12" s="1"/>
  <c r="E198" i="8"/>
  <c r="K95" i="8"/>
  <c r="AG95" i="8" s="1"/>
  <c r="AH95" i="8" s="1"/>
  <c r="C19" i="11"/>
  <c r="C36" i="4"/>
  <c r="C38" i="4"/>
  <c r="K201" i="8"/>
  <c r="AG201" i="8" s="1"/>
  <c r="I201" i="8"/>
  <c r="J201" i="8" s="1"/>
  <c r="I234" i="8"/>
  <c r="G234" i="8"/>
  <c r="K234" i="8"/>
  <c r="AG234" i="8" s="1"/>
  <c r="AH234" i="8" s="1"/>
  <c r="C77" i="60"/>
  <c r="C33" i="4"/>
  <c r="F401" i="8"/>
  <c r="C76" i="60"/>
  <c r="C34" i="4" s="1"/>
  <c r="C70" i="60"/>
  <c r="C71" i="60" s="1"/>
  <c r="B378" i="8"/>
  <c r="E378" i="8" s="1"/>
  <c r="C48" i="60"/>
  <c r="C49" i="60" s="1"/>
  <c r="C72" i="4"/>
  <c r="C94" i="60"/>
  <c r="C196" i="60" s="1"/>
  <c r="B379" i="8" s="1"/>
  <c r="E379" i="8" s="1"/>
  <c r="C95" i="60"/>
  <c r="C100" i="60"/>
  <c r="C37" i="4" s="1"/>
  <c r="C101" i="60"/>
  <c r="C30" i="49"/>
  <c r="C21" i="49"/>
  <c r="C102" i="60"/>
  <c r="C21" i="60"/>
  <c r="C246" i="8"/>
  <c r="C245" i="8"/>
  <c r="C244" i="8"/>
  <c r="C99" i="60"/>
  <c r="C46" i="60"/>
  <c r="F234" i="8"/>
  <c r="H234" i="8"/>
  <c r="J234" i="8"/>
  <c r="E234" i="8"/>
  <c r="C47" i="60"/>
  <c r="C15" i="11"/>
  <c r="C25" i="11" s="1"/>
  <c r="C141" i="60"/>
  <c r="C177" i="60"/>
  <c r="C178" i="60" s="1"/>
  <c r="C179" i="60" s="1"/>
  <c r="C383" i="8" s="1"/>
  <c r="E383" i="8" s="1"/>
  <c r="C142" i="60"/>
  <c r="C169" i="8"/>
  <c r="C140" i="60"/>
  <c r="C106" i="60"/>
  <c r="G169" i="8" s="1"/>
  <c r="C18" i="62"/>
  <c r="C17" i="62"/>
  <c r="E402" i="8"/>
  <c r="C208" i="60"/>
  <c r="C212" i="60" s="1"/>
  <c r="C214" i="60" s="1"/>
  <c r="G400" i="8" s="1"/>
  <c r="E400" i="8" s="1"/>
  <c r="C29" i="60"/>
  <c r="C400" i="8" s="1"/>
  <c r="H400" i="8" s="1"/>
  <c r="C43" i="6"/>
  <c r="C39" i="6"/>
  <c r="G273" i="8"/>
  <c r="E273" i="8"/>
  <c r="C170" i="60"/>
  <c r="C171" i="60" l="1"/>
  <c r="I272" i="8"/>
  <c r="I271" i="8"/>
  <c r="O104" i="12"/>
  <c r="H104" i="12"/>
  <c r="P104" i="12"/>
  <c r="J104" i="12"/>
  <c r="I104" i="12"/>
  <c r="K104" i="12"/>
  <c r="L104" i="12"/>
  <c r="M104" i="12"/>
  <c r="F104" i="12"/>
  <c r="N104" i="12"/>
  <c r="Q104" i="12"/>
  <c r="C134" i="60"/>
  <c r="C94" i="8" s="1"/>
  <c r="I94" i="8" s="1"/>
  <c r="K94" i="8" s="1"/>
  <c r="AG94" i="8" s="1"/>
  <c r="F102" i="12"/>
  <c r="N102" i="12"/>
  <c r="O102" i="12"/>
  <c r="J102" i="12"/>
  <c r="H102" i="12"/>
  <c r="I102" i="12"/>
  <c r="P102" i="12"/>
  <c r="M102" i="12"/>
  <c r="K102" i="12"/>
  <c r="L102" i="12"/>
  <c r="C97" i="8"/>
  <c r="I97" i="8" s="1"/>
  <c r="K97" i="8" s="1"/>
  <c r="AG97" i="8" s="1"/>
  <c r="O82" i="12"/>
  <c r="Q82" i="12"/>
  <c r="H82" i="12"/>
  <c r="I82" i="12"/>
  <c r="F82" i="12"/>
  <c r="J82" i="12"/>
  <c r="N82" i="12"/>
  <c r="K82" i="12"/>
  <c r="M82" i="12"/>
  <c r="L82" i="12"/>
  <c r="G82" i="12"/>
  <c r="Q102" i="12"/>
  <c r="J58" i="8"/>
  <c r="I58" i="8" s="1"/>
  <c r="C65" i="4"/>
  <c r="C66" i="4" s="1"/>
  <c r="I244" i="8"/>
  <c r="G244" i="8"/>
  <c r="K244" i="8"/>
  <c r="AG244" i="8" s="1"/>
  <c r="AH244" i="8" s="1"/>
  <c r="K245" i="8"/>
  <c r="AG245" i="8" s="1"/>
  <c r="AH245" i="8" s="1"/>
  <c r="I245" i="8"/>
  <c r="G245" i="8"/>
  <c r="K246" i="8"/>
  <c r="AG246" i="8" s="1"/>
  <c r="AH246" i="8" s="1"/>
  <c r="I246" i="8"/>
  <c r="G246" i="8"/>
  <c r="K169" i="8"/>
  <c r="AG169" i="8" s="1"/>
  <c r="G379" i="8"/>
  <c r="H379" i="8" s="1"/>
  <c r="G378" i="8"/>
  <c r="H378" i="8" s="1"/>
  <c r="C65" i="8"/>
  <c r="C72" i="60"/>
  <c r="C46" i="4" s="1"/>
  <c r="C79" i="60"/>
  <c r="C96" i="60"/>
  <c r="C47" i="4" s="1"/>
  <c r="C66" i="8"/>
  <c r="C13" i="49"/>
  <c r="D63" i="12"/>
  <c r="C63" i="12" s="1"/>
  <c r="D62" i="12"/>
  <c r="C62" i="12" s="1"/>
  <c r="C73" i="60"/>
  <c r="C74" i="60" s="1"/>
  <c r="C55" i="60"/>
  <c r="C57" i="60" s="1"/>
  <c r="E58" i="8"/>
  <c r="G58" i="8"/>
  <c r="C144" i="8"/>
  <c r="C145" i="8"/>
  <c r="C143" i="8"/>
  <c r="C121" i="8"/>
  <c r="C120" i="8"/>
  <c r="C119" i="8"/>
  <c r="D177" i="12"/>
  <c r="C177" i="12" s="1"/>
  <c r="D178" i="12"/>
  <c r="C178" i="12" s="1"/>
  <c r="C176" i="8"/>
  <c r="C175" i="8"/>
  <c r="C174" i="8"/>
  <c r="C177" i="8"/>
  <c r="C35" i="49"/>
  <c r="H169" i="8"/>
  <c r="F169" i="8"/>
  <c r="H244" i="8"/>
  <c r="E244" i="8"/>
  <c r="J244" i="8"/>
  <c r="F244" i="8"/>
  <c r="C14" i="49"/>
  <c r="D68" i="12"/>
  <c r="C68" i="12" s="1"/>
  <c r="D65" i="12"/>
  <c r="C65" i="12" s="1"/>
  <c r="D67" i="12"/>
  <c r="C67" i="12" s="1"/>
  <c r="D66" i="12"/>
  <c r="C66" i="12" s="1"/>
  <c r="D138" i="12"/>
  <c r="C138" i="12" s="1"/>
  <c r="D140" i="12"/>
  <c r="C140" i="12" s="1"/>
  <c r="D139" i="12"/>
  <c r="C139" i="12" s="1"/>
  <c r="D137" i="12"/>
  <c r="C137" i="12" s="1"/>
  <c r="C155" i="8"/>
  <c r="C154" i="8"/>
  <c r="C153" i="8"/>
  <c r="H245" i="8"/>
  <c r="E245" i="8"/>
  <c r="F245" i="8"/>
  <c r="J245" i="8"/>
  <c r="C97" i="60"/>
  <c r="C69" i="8"/>
  <c r="C68" i="8"/>
  <c r="C70" i="8"/>
  <c r="C125" i="8"/>
  <c r="C124" i="8"/>
  <c r="C123" i="8"/>
  <c r="D132" i="12"/>
  <c r="E169" i="8"/>
  <c r="F246" i="8"/>
  <c r="H246" i="8"/>
  <c r="E246" i="8"/>
  <c r="J246" i="8"/>
  <c r="C140" i="8"/>
  <c r="C139" i="8"/>
  <c r="C141" i="8"/>
  <c r="AH201" i="8"/>
  <c r="F383" i="8"/>
  <c r="C22" i="60"/>
  <c r="C24" i="60" s="1"/>
  <c r="C217" i="60" s="1"/>
  <c r="G271" i="8"/>
  <c r="C23" i="62"/>
  <c r="C49" i="62"/>
  <c r="C64" i="11"/>
  <c r="C63" i="11"/>
  <c r="C88" i="62" s="1"/>
  <c r="C384" i="8" s="1"/>
  <c r="G384" i="8" s="1"/>
  <c r="C9" i="11"/>
  <c r="C86" i="62" s="1"/>
  <c r="G373" i="8" s="1"/>
  <c r="C41" i="6"/>
  <c r="C37" i="11"/>
  <c r="C87" i="62" s="1"/>
  <c r="E271" i="8"/>
  <c r="C45" i="6"/>
  <c r="C376" i="8" s="1"/>
  <c r="G376" i="8" s="1"/>
  <c r="C44" i="6"/>
  <c r="J272" i="8"/>
  <c r="J271" i="8"/>
  <c r="G272" i="8"/>
  <c r="E272" i="8"/>
  <c r="C96" i="8" l="1"/>
  <c r="I96" i="8" s="1"/>
  <c r="J96" i="8" s="1"/>
  <c r="C104" i="12"/>
  <c r="J94" i="8"/>
  <c r="AH94" i="8" s="1"/>
  <c r="K125" i="8"/>
  <c r="AG125" i="8" s="1"/>
  <c r="AH125" i="8" s="1"/>
  <c r="I125" i="8"/>
  <c r="G125" i="8"/>
  <c r="G177" i="8"/>
  <c r="K177" i="8"/>
  <c r="AG177" i="8" s="1"/>
  <c r="AH177" i="8" s="1"/>
  <c r="I177" i="8"/>
  <c r="K144" i="8"/>
  <c r="AG144" i="8" s="1"/>
  <c r="AH144" i="8" s="1"/>
  <c r="I144" i="8"/>
  <c r="J144" i="8" s="1"/>
  <c r="G144" i="8"/>
  <c r="K123" i="8"/>
  <c r="AG123" i="8" s="1"/>
  <c r="AH123" i="8" s="1"/>
  <c r="I123" i="8"/>
  <c r="G123" i="8"/>
  <c r="G174" i="8"/>
  <c r="I174" i="8"/>
  <c r="K174" i="8"/>
  <c r="AG174" i="8" s="1"/>
  <c r="AH174" i="8" s="1"/>
  <c r="K143" i="8"/>
  <c r="AG143" i="8" s="1"/>
  <c r="AH143" i="8" s="1"/>
  <c r="I143" i="8"/>
  <c r="J143" i="8" s="1"/>
  <c r="G143" i="8"/>
  <c r="K176" i="8"/>
  <c r="AG176" i="8" s="1"/>
  <c r="AH176" i="8" s="1"/>
  <c r="I176" i="8"/>
  <c r="G176" i="8"/>
  <c r="G124" i="8"/>
  <c r="K124" i="8"/>
  <c r="AG124" i="8" s="1"/>
  <c r="AH124" i="8" s="1"/>
  <c r="I124" i="8"/>
  <c r="J124" i="8" s="1"/>
  <c r="K175" i="8"/>
  <c r="AG175" i="8" s="1"/>
  <c r="AH175" i="8" s="1"/>
  <c r="I175" i="8"/>
  <c r="G175" i="8"/>
  <c r="K145" i="8"/>
  <c r="AG145" i="8" s="1"/>
  <c r="AH145" i="8" s="1"/>
  <c r="G145" i="8"/>
  <c r="I145" i="8"/>
  <c r="J145" i="8" s="1"/>
  <c r="K66" i="8"/>
  <c r="AG66" i="8" s="1"/>
  <c r="AH66" i="8" s="1"/>
  <c r="I66" i="8"/>
  <c r="K65" i="8"/>
  <c r="AG65" i="8" s="1"/>
  <c r="AH65" i="8" s="1"/>
  <c r="I65" i="8"/>
  <c r="K68" i="8"/>
  <c r="AG68" i="8" s="1"/>
  <c r="AH68" i="8" s="1"/>
  <c r="I68" i="8"/>
  <c r="G68" i="8"/>
  <c r="I69" i="8"/>
  <c r="G69" i="8"/>
  <c r="K69" i="8"/>
  <c r="AG69" i="8" s="1"/>
  <c r="AH69" i="8" s="1"/>
  <c r="K70" i="8"/>
  <c r="AG70" i="8" s="1"/>
  <c r="AH70" i="8" s="1"/>
  <c r="I70" i="8"/>
  <c r="G70" i="8"/>
  <c r="C401" i="8"/>
  <c r="H401" i="8" s="1"/>
  <c r="G153" i="8"/>
  <c r="K153" i="8"/>
  <c r="AG153" i="8" s="1"/>
  <c r="K154" i="8"/>
  <c r="AG154" i="8" s="1"/>
  <c r="G154" i="8"/>
  <c r="K141" i="8"/>
  <c r="AG141" i="8" s="1"/>
  <c r="AH141" i="8" s="1"/>
  <c r="I141" i="8"/>
  <c r="J141" i="8" s="1"/>
  <c r="G141" i="8"/>
  <c r="G119" i="8"/>
  <c r="K119" i="8"/>
  <c r="AG119" i="8" s="1"/>
  <c r="K120" i="8"/>
  <c r="AG120" i="8" s="1"/>
  <c r="G120" i="8"/>
  <c r="K140" i="8"/>
  <c r="AG140" i="8" s="1"/>
  <c r="AH140" i="8" s="1"/>
  <c r="G140" i="8"/>
  <c r="K121" i="8"/>
  <c r="AG121" i="8" s="1"/>
  <c r="AH121" i="8" s="1"/>
  <c r="G121" i="8"/>
  <c r="K155" i="8"/>
  <c r="AG155" i="8" s="1"/>
  <c r="G155" i="8"/>
  <c r="G139" i="8"/>
  <c r="K139" i="8"/>
  <c r="AG139" i="8" s="1"/>
  <c r="J97" i="8"/>
  <c r="AH97" i="8" s="1"/>
  <c r="C377" i="8"/>
  <c r="C231" i="60"/>
  <c r="C64" i="8"/>
  <c r="C18" i="11"/>
  <c r="C29" i="11" s="1"/>
  <c r="C63" i="8"/>
  <c r="J65" i="8"/>
  <c r="J66" i="8"/>
  <c r="AH58" i="8"/>
  <c r="C75" i="60"/>
  <c r="D174" i="12" s="1"/>
  <c r="C174" i="12" s="1"/>
  <c r="C240" i="8"/>
  <c r="C242" i="8"/>
  <c r="C241" i="8"/>
  <c r="C172" i="8"/>
  <c r="C171" i="8"/>
  <c r="C55" i="4"/>
  <c r="C74" i="4" s="1"/>
  <c r="D33" i="12"/>
  <c r="C33" i="12" s="1"/>
  <c r="D32" i="12"/>
  <c r="C32" i="12" s="1"/>
  <c r="C82" i="60"/>
  <c r="D105" i="12"/>
  <c r="D85" i="12"/>
  <c r="D119" i="12"/>
  <c r="C119" i="12" s="1"/>
  <c r="C34" i="49"/>
  <c r="C156" i="8" s="1"/>
  <c r="C50" i="49"/>
  <c r="C29" i="49"/>
  <c r="C142" i="8" s="1"/>
  <c r="C20" i="49"/>
  <c r="C78" i="60"/>
  <c r="J176" i="8"/>
  <c r="C58" i="60"/>
  <c r="D170" i="12" s="1"/>
  <c r="H123" i="8"/>
  <c r="E123" i="8"/>
  <c r="F123" i="8"/>
  <c r="F174" i="8"/>
  <c r="J174" i="8"/>
  <c r="E174" i="8"/>
  <c r="H174" i="8"/>
  <c r="E143" i="8"/>
  <c r="F143" i="8"/>
  <c r="H143" i="8"/>
  <c r="E124" i="8"/>
  <c r="H124" i="8"/>
  <c r="F124" i="8"/>
  <c r="E154" i="8"/>
  <c r="H154" i="8"/>
  <c r="F154" i="8"/>
  <c r="F175" i="8"/>
  <c r="E175" i="8"/>
  <c r="H175" i="8"/>
  <c r="H145" i="8"/>
  <c r="E145" i="8"/>
  <c r="F145" i="8"/>
  <c r="H121" i="8"/>
  <c r="F121" i="8"/>
  <c r="E121" i="8"/>
  <c r="E153" i="8"/>
  <c r="H153" i="8"/>
  <c r="F153" i="8"/>
  <c r="E141" i="8"/>
  <c r="H141" i="8"/>
  <c r="F141" i="8"/>
  <c r="F125" i="8"/>
  <c r="H125" i="8"/>
  <c r="E125" i="8"/>
  <c r="E155" i="8"/>
  <c r="F155" i="8"/>
  <c r="H155" i="8"/>
  <c r="H176" i="8"/>
  <c r="F176" i="8"/>
  <c r="E176" i="8"/>
  <c r="F144" i="8"/>
  <c r="H144" i="8"/>
  <c r="E144" i="8"/>
  <c r="C56" i="4"/>
  <c r="C73" i="4" s="1"/>
  <c r="D37" i="12"/>
  <c r="C37" i="12" s="1"/>
  <c r="D35" i="12"/>
  <c r="C35" i="12" s="1"/>
  <c r="D36" i="12"/>
  <c r="C36" i="12" s="1"/>
  <c r="E177" i="8"/>
  <c r="H177" i="8"/>
  <c r="F177" i="8"/>
  <c r="E139" i="8"/>
  <c r="F139" i="8"/>
  <c r="H139" i="8"/>
  <c r="E140" i="8"/>
  <c r="F140" i="8"/>
  <c r="H140" i="8"/>
  <c r="F70" i="8"/>
  <c r="E70" i="8"/>
  <c r="H70" i="8"/>
  <c r="D107" i="12"/>
  <c r="C107" i="12" s="1"/>
  <c r="D120" i="12"/>
  <c r="C120" i="12" s="1"/>
  <c r="D87" i="12"/>
  <c r="C87" i="12" s="1"/>
  <c r="D122" i="12"/>
  <c r="C122" i="12" s="1"/>
  <c r="D106" i="12"/>
  <c r="E106" i="12" s="1"/>
  <c r="D88" i="12"/>
  <c r="C88" i="12" s="1"/>
  <c r="D121" i="12"/>
  <c r="C121" i="12" s="1"/>
  <c r="D108" i="12"/>
  <c r="E108" i="12" s="1"/>
  <c r="D86" i="12"/>
  <c r="E86" i="12" s="1"/>
  <c r="C236" i="8"/>
  <c r="C238" i="8"/>
  <c r="C237" i="8"/>
  <c r="E68" i="8"/>
  <c r="H68" i="8"/>
  <c r="F68" i="8"/>
  <c r="J177" i="8"/>
  <c r="H119" i="8"/>
  <c r="F119" i="8"/>
  <c r="E119" i="8"/>
  <c r="C32" i="11"/>
  <c r="C117" i="60"/>
  <c r="I401" i="8"/>
  <c r="C218" i="60"/>
  <c r="C109" i="60"/>
  <c r="F69" i="8"/>
  <c r="H69" i="8"/>
  <c r="E69" i="8"/>
  <c r="J175" i="8"/>
  <c r="C158" i="8"/>
  <c r="C159" i="8"/>
  <c r="C157" i="8"/>
  <c r="E120" i="8"/>
  <c r="H120" i="8"/>
  <c r="F120" i="8"/>
  <c r="C42" i="6"/>
  <c r="D183" i="12" s="1"/>
  <c r="C183" i="12" s="1"/>
  <c r="C250" i="8"/>
  <c r="E251" i="8"/>
  <c r="C89" i="62"/>
  <c r="C385" i="8" s="1"/>
  <c r="C50" i="62"/>
  <c r="C71" i="62" s="1"/>
  <c r="C20" i="11"/>
  <c r="C31" i="11" s="1"/>
  <c r="P108" i="12" l="1"/>
  <c r="H108" i="12"/>
  <c r="O108" i="12"/>
  <c r="G108" i="12"/>
  <c r="N108" i="12"/>
  <c r="F108" i="12"/>
  <c r="M108" i="12"/>
  <c r="L108" i="12"/>
  <c r="K108" i="12"/>
  <c r="Q108" i="12"/>
  <c r="J108" i="12"/>
  <c r="I108" i="12"/>
  <c r="P106" i="12"/>
  <c r="H106" i="12"/>
  <c r="O106" i="12"/>
  <c r="G106" i="12"/>
  <c r="N106" i="12"/>
  <c r="F106" i="12"/>
  <c r="M106" i="12"/>
  <c r="L106" i="12"/>
  <c r="K106" i="12"/>
  <c r="Q106" i="12"/>
  <c r="J106" i="12"/>
  <c r="I106" i="12"/>
  <c r="L86" i="12"/>
  <c r="K86" i="12"/>
  <c r="J86" i="12"/>
  <c r="Q86" i="12"/>
  <c r="I86" i="12"/>
  <c r="P86" i="12"/>
  <c r="H86" i="12"/>
  <c r="O86" i="12"/>
  <c r="G86" i="12"/>
  <c r="M86" i="12"/>
  <c r="N86" i="12"/>
  <c r="F86" i="12"/>
  <c r="K142" i="8"/>
  <c r="AG142" i="8" s="1"/>
  <c r="I142" i="8"/>
  <c r="G142" i="8"/>
  <c r="K156" i="8"/>
  <c r="AG156" i="8" s="1"/>
  <c r="I156" i="8"/>
  <c r="J156" i="8" s="1"/>
  <c r="G156" i="8"/>
  <c r="K171" i="8"/>
  <c r="AG171" i="8" s="1"/>
  <c r="AH171" i="8" s="1"/>
  <c r="I171" i="8"/>
  <c r="G171" i="8"/>
  <c r="G172" i="8"/>
  <c r="K172" i="8"/>
  <c r="AG172" i="8" s="1"/>
  <c r="I172" i="8"/>
  <c r="G157" i="8"/>
  <c r="I157" i="8"/>
  <c r="J157" i="8" s="1"/>
  <c r="K157" i="8"/>
  <c r="AG157" i="8" s="1"/>
  <c r="AH157" i="8" s="1"/>
  <c r="K159" i="8"/>
  <c r="AG159" i="8" s="1"/>
  <c r="AH159" i="8" s="1"/>
  <c r="I159" i="8"/>
  <c r="J159" i="8" s="1"/>
  <c r="G159" i="8"/>
  <c r="K158" i="8"/>
  <c r="AG158" i="8" s="1"/>
  <c r="AH158" i="8" s="1"/>
  <c r="I158" i="8"/>
  <c r="J158" i="8" s="1"/>
  <c r="G158" i="8"/>
  <c r="K64" i="8"/>
  <c r="AG64" i="8" s="1"/>
  <c r="AH64" i="8" s="1"/>
  <c r="I64" i="8"/>
  <c r="J64" i="8" s="1"/>
  <c r="G64" i="8"/>
  <c r="K241" i="8"/>
  <c r="AG241" i="8" s="1"/>
  <c r="I241" i="8"/>
  <c r="G241" i="8"/>
  <c r="K242" i="8"/>
  <c r="AG242" i="8" s="1"/>
  <c r="AH242" i="8" s="1"/>
  <c r="I242" i="8"/>
  <c r="G242" i="8"/>
  <c r="K240" i="8"/>
  <c r="AG240" i="8" s="1"/>
  <c r="AH240" i="8" s="1"/>
  <c r="I240" i="8"/>
  <c r="G240" i="8"/>
  <c r="K63" i="8"/>
  <c r="AG63" i="8" s="1"/>
  <c r="I63" i="8"/>
  <c r="J63" i="8" s="1"/>
  <c r="G63" i="8"/>
  <c r="K236" i="8"/>
  <c r="AG236" i="8" s="1"/>
  <c r="AH236" i="8" s="1"/>
  <c r="I236" i="8"/>
  <c r="G236" i="8"/>
  <c r="G237" i="8"/>
  <c r="K237" i="8"/>
  <c r="AG237" i="8" s="1"/>
  <c r="AH237" i="8" s="1"/>
  <c r="I237" i="8"/>
  <c r="K238" i="8"/>
  <c r="AG238" i="8" s="1"/>
  <c r="I238" i="8"/>
  <c r="G238" i="8"/>
  <c r="I250" i="8"/>
  <c r="J250" i="8" s="1"/>
  <c r="G250" i="8"/>
  <c r="K250" i="8"/>
  <c r="AG250" i="8" s="1"/>
  <c r="J125" i="8"/>
  <c r="J70" i="8"/>
  <c r="J69" i="8"/>
  <c r="K96" i="8"/>
  <c r="AG96" i="8" s="1"/>
  <c r="AH96" i="8" s="1"/>
  <c r="F172" i="8"/>
  <c r="H63" i="8"/>
  <c r="H64" i="8"/>
  <c r="J68" i="8"/>
  <c r="F64" i="8"/>
  <c r="E63" i="8"/>
  <c r="E64" i="8"/>
  <c r="F63" i="8"/>
  <c r="D173" i="12"/>
  <c r="C173" i="12" s="1"/>
  <c r="E241" i="8"/>
  <c r="H241" i="8"/>
  <c r="F241" i="8"/>
  <c r="J241" i="8"/>
  <c r="J242" i="8"/>
  <c r="E242" i="8"/>
  <c r="H242" i="8"/>
  <c r="F242" i="8"/>
  <c r="E240" i="8"/>
  <c r="J240" i="8"/>
  <c r="F240" i="8"/>
  <c r="H240" i="8"/>
  <c r="H172" i="8"/>
  <c r="E171" i="8"/>
  <c r="H171" i="8"/>
  <c r="F171" i="8"/>
  <c r="E172" i="8"/>
  <c r="E156" i="8"/>
  <c r="F156" i="8"/>
  <c r="H156" i="8"/>
  <c r="F142" i="8"/>
  <c r="E142" i="8"/>
  <c r="H142" i="8"/>
  <c r="C22" i="49"/>
  <c r="C57" i="49" s="1"/>
  <c r="C63" i="49" s="1"/>
  <c r="C214" i="8" s="1"/>
  <c r="C122" i="8"/>
  <c r="D134" i="12"/>
  <c r="C134" i="12" s="1"/>
  <c r="J171" i="8" s="1"/>
  <c r="D135" i="12"/>
  <c r="C135" i="12" s="1"/>
  <c r="J172" i="8" s="1"/>
  <c r="E105" i="12"/>
  <c r="E85" i="12"/>
  <c r="C83" i="60"/>
  <c r="C84" i="60" s="1"/>
  <c r="C85" i="60" s="1"/>
  <c r="C86" i="60" s="1"/>
  <c r="C87" i="60"/>
  <c r="D169" i="12"/>
  <c r="C108" i="12"/>
  <c r="E158" i="8"/>
  <c r="F158" i="8"/>
  <c r="H158" i="8"/>
  <c r="E157" i="8"/>
  <c r="F157" i="8"/>
  <c r="H157" i="8"/>
  <c r="F159" i="8"/>
  <c r="E159" i="8"/>
  <c r="H159" i="8"/>
  <c r="C222" i="8"/>
  <c r="K222" i="8" s="1"/>
  <c r="E236" i="8"/>
  <c r="J236" i="8"/>
  <c r="F236" i="8"/>
  <c r="H236" i="8"/>
  <c r="D165" i="12"/>
  <c r="C110" i="60"/>
  <c r="E237" i="8"/>
  <c r="F237" i="8"/>
  <c r="H237" i="8"/>
  <c r="C269" i="8"/>
  <c r="C118" i="60"/>
  <c r="H238" i="8"/>
  <c r="F238" i="8"/>
  <c r="E238" i="8"/>
  <c r="C24" i="62"/>
  <c r="C67" i="4"/>
  <c r="C76" i="4" s="1"/>
  <c r="G385" i="8"/>
  <c r="C314" i="8"/>
  <c r="C251" i="8"/>
  <c r="C53" i="62"/>
  <c r="C54" i="62" s="1"/>
  <c r="C61" i="62" s="1"/>
  <c r="E334" i="8"/>
  <c r="E250" i="8"/>
  <c r="F250" i="8"/>
  <c r="H250" i="8"/>
  <c r="P85" i="12" l="1"/>
  <c r="H85" i="12"/>
  <c r="O85" i="12"/>
  <c r="G85" i="12"/>
  <c r="N85" i="12"/>
  <c r="F85" i="12"/>
  <c r="M85" i="12"/>
  <c r="L85" i="12"/>
  <c r="K85" i="12"/>
  <c r="I85" i="12"/>
  <c r="J85" i="12"/>
  <c r="Q85" i="12"/>
  <c r="L105" i="12"/>
  <c r="K105" i="12"/>
  <c r="J105" i="12"/>
  <c r="Q105" i="12"/>
  <c r="I105" i="12"/>
  <c r="P105" i="12"/>
  <c r="H105" i="12"/>
  <c r="O105" i="12"/>
  <c r="G105" i="12"/>
  <c r="M105" i="12"/>
  <c r="N105" i="12"/>
  <c r="F105" i="12"/>
  <c r="K122" i="8"/>
  <c r="AG122" i="8" s="1"/>
  <c r="I122" i="8"/>
  <c r="G122" i="8"/>
  <c r="I269" i="8"/>
  <c r="K269" i="8"/>
  <c r="AG269" i="8" s="1"/>
  <c r="K314" i="8"/>
  <c r="AG314" i="8" s="1"/>
  <c r="I314" i="8"/>
  <c r="K251" i="8"/>
  <c r="AG251" i="8" s="1"/>
  <c r="AH251" i="8" s="1"/>
  <c r="I251" i="8"/>
  <c r="J251" i="8" s="1"/>
  <c r="K214" i="8"/>
  <c r="AG214" i="8" s="1"/>
  <c r="I214" i="8"/>
  <c r="J214" i="8" s="1"/>
  <c r="AH63" i="8"/>
  <c r="AH250" i="8"/>
  <c r="C60" i="49"/>
  <c r="AH241" i="8"/>
  <c r="AH156" i="8"/>
  <c r="AH172" i="8"/>
  <c r="C59" i="49"/>
  <c r="C58" i="49"/>
  <c r="C62" i="49" s="1"/>
  <c r="C215" i="8" s="1"/>
  <c r="H122" i="8"/>
  <c r="E122" i="8"/>
  <c r="F122" i="8"/>
  <c r="C88" i="60"/>
  <c r="C89" i="60"/>
  <c r="E269" i="8"/>
  <c r="J222" i="8"/>
  <c r="AG222" i="8"/>
  <c r="F269" i="8"/>
  <c r="H269" i="8"/>
  <c r="G269" i="8"/>
  <c r="C55" i="62"/>
  <c r="H314" i="8"/>
  <c r="F314" i="8"/>
  <c r="C56" i="62"/>
  <c r="C78" i="4"/>
  <c r="C80" i="4"/>
  <c r="C77" i="4"/>
  <c r="K215" i="8" l="1"/>
  <c r="AG215" i="8" s="1"/>
  <c r="I215" i="8"/>
  <c r="J215" i="8" s="1"/>
  <c r="AH214" i="8"/>
  <c r="G314" i="8"/>
  <c r="C83" i="4"/>
  <c r="C83" i="56" s="1"/>
  <c r="C64" i="49"/>
  <c r="C216" i="8" s="1"/>
  <c r="C105" i="12"/>
  <c r="J142" i="8" s="1"/>
  <c r="AH142" i="8" s="1"/>
  <c r="C85" i="12"/>
  <c r="J122" i="8" s="1"/>
  <c r="AH122" i="8" s="1"/>
  <c r="J269" i="8"/>
  <c r="AH269" i="8" s="1"/>
  <c r="AH222" i="8"/>
  <c r="C25" i="64"/>
  <c r="C48" i="11" s="1"/>
  <c r="C24" i="64"/>
  <c r="C47" i="11" s="1"/>
  <c r="E314" i="8"/>
  <c r="J314" i="8" s="1"/>
  <c r="AH314" i="8" s="1"/>
  <c r="C23" i="64"/>
  <c r="C46" i="11" s="1"/>
  <c r="C22" i="64"/>
  <c r="C45" i="11" s="1"/>
  <c r="C59" i="62"/>
  <c r="C60" i="62" s="1"/>
  <c r="D206" i="12"/>
  <c r="C29" i="64"/>
  <c r="G279" i="8"/>
  <c r="G278" i="8"/>
  <c r="C67" i="11"/>
  <c r="G277" i="8"/>
  <c r="G280" i="8"/>
  <c r="E277" i="8"/>
  <c r="C277" i="8"/>
  <c r="D207" i="12"/>
  <c r="C279" i="8"/>
  <c r="C7" i="64"/>
  <c r="C79" i="4"/>
  <c r="C44" i="11" s="1"/>
  <c r="C49" i="64"/>
  <c r="E278" i="8"/>
  <c r="C278" i="8"/>
  <c r="D205" i="12"/>
  <c r="E279" i="8"/>
  <c r="C280" i="8"/>
  <c r="E280" i="8"/>
  <c r="C57" i="62"/>
  <c r="G292" i="8"/>
  <c r="E294" i="8"/>
  <c r="C13" i="64"/>
  <c r="C15" i="64" s="1"/>
  <c r="E293" i="8"/>
  <c r="C60" i="64"/>
  <c r="C293" i="8"/>
  <c r="C94" i="62"/>
  <c r="C96" i="62" s="1"/>
  <c r="G293" i="8"/>
  <c r="G294" i="8"/>
  <c r="C291" i="8"/>
  <c r="D220" i="12"/>
  <c r="E292" i="8"/>
  <c r="G291" i="8"/>
  <c r="D219" i="12"/>
  <c r="C294" i="8"/>
  <c r="E291" i="8"/>
  <c r="C292" i="8"/>
  <c r="D218" i="12"/>
  <c r="C36" i="64"/>
  <c r="C8" i="64"/>
  <c r="C68" i="11"/>
  <c r="C95" i="62"/>
  <c r="C97" i="62" s="1"/>
  <c r="C12" i="64"/>
  <c r="C18" i="64" s="1"/>
  <c r="C58" i="62"/>
  <c r="C81" i="62" l="1"/>
  <c r="K279" i="8"/>
  <c r="AG279" i="8" s="1"/>
  <c r="C82" i="62"/>
  <c r="K294" i="8"/>
  <c r="AG294" i="8" s="1"/>
  <c r="AJ294" i="8" s="1"/>
  <c r="K293" i="8"/>
  <c r="AG293" i="8" s="1"/>
  <c r="K277" i="8"/>
  <c r="AG277" i="8" s="1"/>
  <c r="AJ277" i="8" s="1"/>
  <c r="I277" i="8"/>
  <c r="J277" i="8" s="1"/>
  <c r="K278" i="8"/>
  <c r="AG278" i="8" s="1"/>
  <c r="AJ278" i="8" s="1"/>
  <c r="C78" i="62"/>
  <c r="C75" i="62"/>
  <c r="C79" i="62"/>
  <c r="K291" i="8"/>
  <c r="AG291" i="8" s="1"/>
  <c r="I291" i="8"/>
  <c r="J291" i="8" s="1"/>
  <c r="K292" i="8"/>
  <c r="AG292" i="8" s="1"/>
  <c r="AJ292" i="8" s="1"/>
  <c r="C80" i="62"/>
  <c r="K280" i="8"/>
  <c r="AG280" i="8" s="1"/>
  <c r="AJ280" i="8" s="1"/>
  <c r="C31" i="56"/>
  <c r="C47" i="56" s="1"/>
  <c r="I216" i="8"/>
  <c r="J216" i="8" s="1"/>
  <c r="K216" i="8"/>
  <c r="AG216" i="8" s="1"/>
  <c r="AH215" i="8"/>
  <c r="C67" i="49"/>
  <c r="C68" i="49" s="1"/>
  <c r="C70" i="49" s="1"/>
  <c r="C218" i="8" s="1"/>
  <c r="C10" i="56"/>
  <c r="C11" i="56"/>
  <c r="C12" i="56"/>
  <c r="C98" i="62"/>
  <c r="C14" i="64"/>
  <c r="C16" i="64" s="1"/>
  <c r="C30" i="64"/>
  <c r="C50" i="64"/>
  <c r="D233" i="12"/>
  <c r="C233" i="12" s="1"/>
  <c r="C100" i="62"/>
  <c r="D232" i="12"/>
  <c r="C232" i="12" s="1"/>
  <c r="D231" i="12"/>
  <c r="C231" i="12" s="1"/>
  <c r="C306" i="8"/>
  <c r="C307" i="8"/>
  <c r="C305" i="8"/>
  <c r="C308" i="8"/>
  <c r="C62" i="62"/>
  <c r="C69" i="62" s="1"/>
  <c r="C312" i="8"/>
  <c r="D237" i="12"/>
  <c r="C237" i="12" s="1"/>
  <c r="D235" i="12"/>
  <c r="C235" i="12" s="1"/>
  <c r="C101" i="62"/>
  <c r="D236" i="12"/>
  <c r="C236" i="12" s="1"/>
  <c r="C313" i="8"/>
  <c r="C310" i="8"/>
  <c r="C311" i="8"/>
  <c r="C59" i="64"/>
  <c r="C35" i="64"/>
  <c r="C374" i="8"/>
  <c r="C28" i="11"/>
  <c r="C33" i="11" s="1"/>
  <c r="C39" i="11" s="1"/>
  <c r="C367" i="8" s="1"/>
  <c r="C81" i="4"/>
  <c r="C19" i="64"/>
  <c r="C48" i="64"/>
  <c r="C28" i="64"/>
  <c r="K306" i="8" l="1"/>
  <c r="AG306" i="8" s="1"/>
  <c r="I306" i="8"/>
  <c r="K312" i="8"/>
  <c r="AG312" i="8" s="1"/>
  <c r="I312" i="8"/>
  <c r="J312" i="8" s="1"/>
  <c r="K311" i="8"/>
  <c r="AG311" i="8" s="1"/>
  <c r="I311" i="8"/>
  <c r="J311" i="8" s="1"/>
  <c r="K218" i="8"/>
  <c r="AG218" i="8" s="1"/>
  <c r="I218" i="8"/>
  <c r="J218" i="8" s="1"/>
  <c r="K310" i="8"/>
  <c r="AG310" i="8" s="1"/>
  <c r="I310" i="8"/>
  <c r="J310" i="8" s="1"/>
  <c r="K308" i="8"/>
  <c r="AG308" i="8" s="1"/>
  <c r="I308" i="8"/>
  <c r="K313" i="8"/>
  <c r="AG313" i="8" s="1"/>
  <c r="I313" i="8"/>
  <c r="J313" i="8" s="1"/>
  <c r="K305" i="8"/>
  <c r="AG305" i="8" s="1"/>
  <c r="I305" i="8"/>
  <c r="J305" i="8" s="1"/>
  <c r="I307" i="8"/>
  <c r="K307" i="8"/>
  <c r="AG307" i="8" s="1"/>
  <c r="AH293" i="8"/>
  <c r="AJ293" i="8"/>
  <c r="AH279" i="8"/>
  <c r="AJ279" i="8"/>
  <c r="AH216" i="8"/>
  <c r="C121" i="60"/>
  <c r="C25" i="4"/>
  <c r="C22" i="4"/>
  <c r="C28" i="4"/>
  <c r="C71" i="49"/>
  <c r="C219" i="8" s="1"/>
  <c r="C69" i="49"/>
  <c r="C212" i="8" s="1"/>
  <c r="C102" i="8"/>
  <c r="C31" i="64"/>
  <c r="G79" i="64" s="1"/>
  <c r="C102" i="62"/>
  <c r="H367" i="8"/>
  <c r="C387" i="8"/>
  <c r="C92" i="62"/>
  <c r="C69" i="11"/>
  <c r="C13" i="56"/>
  <c r="AH277" i="8"/>
  <c r="C51" i="64"/>
  <c r="C52" i="64" s="1"/>
  <c r="C54" i="64" s="1"/>
  <c r="C56" i="64" s="1"/>
  <c r="C57" i="64" s="1"/>
  <c r="G306" i="8"/>
  <c r="E306" i="8"/>
  <c r="C35" i="56"/>
  <c r="C334" i="8"/>
  <c r="C425" i="8" s="1"/>
  <c r="C34" i="56"/>
  <c r="C74" i="49"/>
  <c r="C40" i="11"/>
  <c r="C365" i="8" s="1"/>
  <c r="C41" i="11"/>
  <c r="C366" i="8" s="1"/>
  <c r="E311" i="8"/>
  <c r="G311" i="8"/>
  <c r="E312" i="8"/>
  <c r="G312" i="8"/>
  <c r="C61" i="64"/>
  <c r="C62" i="64" s="1"/>
  <c r="C63" i="64" s="1"/>
  <c r="C65" i="64" s="1"/>
  <c r="C37" i="64"/>
  <c r="C38" i="64" s="1"/>
  <c r="E310" i="8"/>
  <c r="G310" i="8"/>
  <c r="E313" i="8"/>
  <c r="G313" i="8"/>
  <c r="G308" i="8"/>
  <c r="E308" i="8"/>
  <c r="AH291" i="8"/>
  <c r="AJ291" i="8"/>
  <c r="E305" i="8"/>
  <c r="G305" i="8"/>
  <c r="E307" i="8"/>
  <c r="G307" i="8"/>
  <c r="D326" i="8"/>
  <c r="C41" i="56" l="1"/>
  <c r="C40" i="56"/>
  <c r="C38" i="56"/>
  <c r="C44" i="56"/>
  <c r="C43" i="56"/>
  <c r="C39" i="56"/>
  <c r="C42" i="56"/>
  <c r="K102" i="8"/>
  <c r="AG102" i="8" s="1"/>
  <c r="AH102" i="8" s="1"/>
  <c r="I102" i="8"/>
  <c r="J102" i="8" s="1"/>
  <c r="G102" i="8"/>
  <c r="I212" i="8"/>
  <c r="J212" i="8" s="1"/>
  <c r="K212" i="8"/>
  <c r="AG212" i="8" s="1"/>
  <c r="K219" i="8"/>
  <c r="AG219" i="8" s="1"/>
  <c r="I219" i="8"/>
  <c r="J219" i="8" s="1"/>
  <c r="AH218" i="8"/>
  <c r="C100" i="8"/>
  <c r="C99" i="8"/>
  <c r="C105" i="8"/>
  <c r="C104" i="8"/>
  <c r="C103" i="8"/>
  <c r="F102" i="8"/>
  <c r="E102" i="8"/>
  <c r="H102" i="8"/>
  <c r="C75" i="49"/>
  <c r="C224" i="8"/>
  <c r="C230" i="8"/>
  <c r="C228" i="8"/>
  <c r="C229" i="8"/>
  <c r="G81" i="64"/>
  <c r="G84" i="64"/>
  <c r="G82" i="64"/>
  <c r="G83" i="64"/>
  <c r="C32" i="64"/>
  <c r="C41" i="62"/>
  <c r="C40" i="62"/>
  <c r="C386" i="8" s="1"/>
  <c r="H386" i="8" s="1"/>
  <c r="C55" i="64"/>
  <c r="G98" i="64" s="1"/>
  <c r="C66" i="62"/>
  <c r="C67" i="64"/>
  <c r="C68" i="64" s="1"/>
  <c r="C66" i="64"/>
  <c r="G103" i="64" s="1"/>
  <c r="AH306" i="8"/>
  <c r="AJ306" i="8"/>
  <c r="J306" i="8"/>
  <c r="J307" i="8"/>
  <c r="G88" i="64"/>
  <c r="G91" i="64"/>
  <c r="G93" i="64"/>
  <c r="G92" i="64"/>
  <c r="C39" i="64"/>
  <c r="G90" i="64"/>
  <c r="AJ307" i="8"/>
  <c r="AH307" i="8"/>
  <c r="AJ312" i="8"/>
  <c r="AH312" i="8"/>
  <c r="AH308" i="8"/>
  <c r="AJ308" i="8"/>
  <c r="J308" i="8"/>
  <c r="AH310" i="8"/>
  <c r="AJ310" i="8"/>
  <c r="C87" i="8"/>
  <c r="C88" i="8"/>
  <c r="C85" i="8"/>
  <c r="C84" i="8"/>
  <c r="C86" i="8"/>
  <c r="C91" i="8"/>
  <c r="C92" i="8"/>
  <c r="C90" i="8"/>
  <c r="C93" i="8"/>
  <c r="AH305" i="8"/>
  <c r="AJ305" i="8"/>
  <c r="AJ311" i="8"/>
  <c r="AH311" i="8"/>
  <c r="C79" i="8"/>
  <c r="C81" i="8"/>
  <c r="C80" i="8"/>
  <c r="C82" i="8"/>
  <c r="AJ313" i="8"/>
  <c r="AH313" i="8"/>
  <c r="C73" i="8"/>
  <c r="C77" i="8"/>
  <c r="C74" i="8"/>
  <c r="C76" i="8"/>
  <c r="C75" i="8"/>
  <c r="C74" i="64" l="1"/>
  <c r="C33" i="64"/>
  <c r="C75" i="64"/>
  <c r="C40" i="64"/>
  <c r="I230" i="8"/>
  <c r="J230" i="8" s="1"/>
  <c r="K230" i="8"/>
  <c r="AG230" i="8" s="1"/>
  <c r="K105" i="8"/>
  <c r="AG105" i="8" s="1"/>
  <c r="AH105" i="8" s="1"/>
  <c r="I105" i="8"/>
  <c r="J105" i="8" s="1"/>
  <c r="G105" i="8"/>
  <c r="K224" i="8"/>
  <c r="AG224" i="8" s="1"/>
  <c r="I224" i="8"/>
  <c r="J224" i="8" s="1"/>
  <c r="K99" i="8"/>
  <c r="AG99" i="8" s="1"/>
  <c r="AH99" i="8" s="1"/>
  <c r="I99" i="8"/>
  <c r="J99" i="8" s="1"/>
  <c r="G99" i="8"/>
  <c r="K100" i="8"/>
  <c r="AG100" i="8" s="1"/>
  <c r="G100" i="8"/>
  <c r="I100" i="8"/>
  <c r="J100" i="8" s="1"/>
  <c r="K86" i="8"/>
  <c r="AG86" i="8" s="1"/>
  <c r="G86" i="8"/>
  <c r="G84" i="8"/>
  <c r="K84" i="8"/>
  <c r="AG84" i="8" s="1"/>
  <c r="AH84" i="8" s="1"/>
  <c r="K85" i="8"/>
  <c r="AG85" i="8" s="1"/>
  <c r="AH85" i="8" s="1"/>
  <c r="G85" i="8"/>
  <c r="K88" i="8"/>
  <c r="AG88" i="8" s="1"/>
  <c r="AH88" i="8" s="1"/>
  <c r="G88" i="8"/>
  <c r="K229" i="8"/>
  <c r="AG229" i="8" s="1"/>
  <c r="I229" i="8"/>
  <c r="J229" i="8" s="1"/>
  <c r="I103" i="8"/>
  <c r="J103" i="8" s="1"/>
  <c r="G103" i="8"/>
  <c r="K103" i="8"/>
  <c r="AG103" i="8" s="1"/>
  <c r="AH103" i="8" s="1"/>
  <c r="G87" i="8"/>
  <c r="K87" i="8"/>
  <c r="AG87" i="8" s="1"/>
  <c r="K228" i="8"/>
  <c r="AG228" i="8" s="1"/>
  <c r="I228" i="8"/>
  <c r="J228" i="8" s="1"/>
  <c r="K104" i="8"/>
  <c r="AG104" i="8" s="1"/>
  <c r="AH104" i="8" s="1"/>
  <c r="I104" i="8"/>
  <c r="J104" i="8" s="1"/>
  <c r="G104" i="8"/>
  <c r="AH212" i="8"/>
  <c r="F104" i="8"/>
  <c r="E103" i="8"/>
  <c r="F105" i="8"/>
  <c r="AH219" i="8"/>
  <c r="H104" i="8"/>
  <c r="E104" i="8"/>
  <c r="F99" i="8"/>
  <c r="H99" i="8"/>
  <c r="E99" i="8"/>
  <c r="F100" i="8"/>
  <c r="H100" i="8"/>
  <c r="E100" i="8"/>
  <c r="H103" i="8"/>
  <c r="F103" i="8"/>
  <c r="H105" i="8"/>
  <c r="E105" i="8"/>
  <c r="C225" i="8"/>
  <c r="C65" i="62"/>
  <c r="AJ317" i="8"/>
  <c r="F84" i="8"/>
  <c r="E84" i="8"/>
  <c r="H84" i="8"/>
  <c r="H85" i="8"/>
  <c r="E85" i="8"/>
  <c r="F85" i="8"/>
  <c r="H88" i="8"/>
  <c r="E88" i="8"/>
  <c r="F88" i="8"/>
  <c r="E87" i="8"/>
  <c r="F87" i="8"/>
  <c r="H87" i="8"/>
  <c r="C45" i="56"/>
  <c r="C336" i="8" s="1"/>
  <c r="C427" i="8" s="1"/>
  <c r="E86" i="8"/>
  <c r="H86" i="8"/>
  <c r="F86" i="8"/>
  <c r="C67" i="62"/>
  <c r="I225" i="8" l="1"/>
  <c r="J225" i="8" s="1"/>
  <c r="K225" i="8"/>
  <c r="AG225" i="8" s="1"/>
  <c r="AH100" i="8"/>
  <c r="AH229" i="8"/>
  <c r="AH224" i="8"/>
  <c r="AH230" i="8"/>
  <c r="AH228" i="8"/>
  <c r="C50" i="56"/>
  <c r="C52" i="56" s="1"/>
  <c r="AH225" i="8" l="1"/>
  <c r="C53" i="56"/>
  <c r="C55" i="56" s="1"/>
  <c r="C54" i="56" s="1"/>
  <c r="C57" i="56" s="1"/>
  <c r="C66" i="56"/>
  <c r="C56" i="56"/>
  <c r="C65" i="56"/>
  <c r="C59" i="56"/>
  <c r="C62" i="56" s="1"/>
  <c r="C61" i="56" l="1"/>
  <c r="C60" i="56"/>
  <c r="C63" i="56"/>
  <c r="C58" i="56"/>
  <c r="C73" i="56" s="1"/>
  <c r="C67" i="56"/>
  <c r="C70" i="56" s="1"/>
  <c r="C64" i="56" l="1"/>
  <c r="C72" i="56" l="1"/>
  <c r="C71" i="56"/>
  <c r="C95" i="12"/>
  <c r="I132" i="8" s="1"/>
  <c r="G382" i="8"/>
  <c r="H382" i="8" s="1"/>
  <c r="K90" i="64"/>
  <c r="G381" i="8"/>
  <c r="H381" i="8" s="1"/>
  <c r="K103" i="64"/>
  <c r="C326" i="8"/>
  <c r="G402" i="8"/>
  <c r="G367" i="8"/>
  <c r="G366" i="8"/>
  <c r="G365" i="8"/>
  <c r="J132" i="8" l="1"/>
  <c r="AH132" i="8" s="1"/>
  <c r="K98" i="64"/>
  <c r="G386" i="8"/>
  <c r="K91" i="64"/>
  <c r="K81" i="64"/>
  <c r="K88" i="64"/>
  <c r="K79" i="64"/>
  <c r="G387" i="8"/>
  <c r="H387" i="8" s="1"/>
  <c r="K82" i="64"/>
  <c r="G383" i="8"/>
  <c r="H383" i="8" s="1"/>
  <c r="C204" i="60"/>
  <c r="G399" i="8" s="1"/>
  <c r="E399" i="8" s="1"/>
  <c r="K92" i="64"/>
  <c r="K84" i="64"/>
  <c r="K93" i="64"/>
  <c r="K83" i="64"/>
  <c r="C72" i="62"/>
  <c r="C31" i="62" l="1"/>
  <c r="C33" i="62" s="1"/>
  <c r="C49" i="11"/>
  <c r="G374" i="8" s="1"/>
  <c r="E374" i="8" s="1"/>
  <c r="C83" i="62"/>
  <c r="C222" i="60"/>
  <c r="C224" i="60" s="1"/>
  <c r="G401" i="8" l="1"/>
  <c r="E401" i="8" s="1"/>
  <c r="H374" i="8"/>
  <c r="C24" i="3" l="1"/>
  <c r="D66" i="1" l="1"/>
  <c r="H66" i="1" s="1"/>
  <c r="C66" i="1"/>
  <c r="C90" i="57"/>
  <c r="C91" i="57" s="1"/>
  <c r="C67" i="1"/>
  <c r="V442" i="8" s="1"/>
  <c r="C22" i="57"/>
  <c r="C94" i="57"/>
  <c r="D67" i="1"/>
  <c r="C108" i="57"/>
  <c r="C109" i="57" s="1"/>
  <c r="C92" i="57"/>
  <c r="C123" i="57"/>
  <c r="C125" i="57" s="1"/>
  <c r="C25" i="12" l="1"/>
  <c r="C26" i="12"/>
  <c r="C219" i="12"/>
  <c r="C131" i="12"/>
  <c r="C218" i="12"/>
  <c r="C220" i="12"/>
  <c r="C95" i="57"/>
  <c r="C21" i="57" s="1"/>
  <c r="C28" i="57" s="1"/>
  <c r="C20" i="1"/>
  <c r="U442" i="8"/>
  <c r="C33" i="57"/>
  <c r="H67" i="1"/>
  <c r="C27" i="57"/>
  <c r="C26" i="57"/>
  <c r="I56" i="8" l="1"/>
  <c r="J56" i="8" s="1"/>
  <c r="AH56" i="8" s="1"/>
  <c r="I55" i="8"/>
  <c r="J55" i="8" s="1"/>
  <c r="AH55" i="8" s="1"/>
  <c r="I294" i="8"/>
  <c r="J294" i="8" s="1"/>
  <c r="AH294" i="8" s="1"/>
  <c r="I292" i="8"/>
  <c r="J292" i="8" s="1"/>
  <c r="AH292" i="8" s="1"/>
  <c r="I293" i="8"/>
  <c r="J293" i="8" s="1"/>
  <c r="I168" i="8"/>
  <c r="J168" i="8" s="1"/>
  <c r="E58" i="57"/>
  <c r="C29" i="57"/>
  <c r="C55" i="57" s="1"/>
  <c r="U366" i="10" s="1"/>
  <c r="I19" i="1"/>
  <c r="G19" i="1"/>
  <c r="AH40" i="8"/>
  <c r="AH168" i="8" l="1"/>
  <c r="C7" i="11"/>
  <c r="G370" i="8" s="1"/>
  <c r="H370" i="8" s="1"/>
  <c r="C83" i="57"/>
  <c r="C85" i="57" s="1"/>
  <c r="C82" i="57"/>
  <c r="C59" i="57"/>
  <c r="C60" i="57" s="1"/>
  <c r="C61" i="57" s="1"/>
  <c r="E61" i="57" s="1"/>
  <c r="C62" i="57" s="1"/>
  <c r="E24" i="8"/>
  <c r="E23" i="1"/>
  <c r="I28" i="1"/>
  <c r="E62" i="57" l="1"/>
  <c r="C76" i="12" l="1"/>
  <c r="I113" i="8" s="1"/>
  <c r="C86" i="12"/>
  <c r="J123" i="8" s="1"/>
  <c r="C82" i="12"/>
  <c r="I119" i="8" s="1"/>
  <c r="C79" i="12"/>
  <c r="I116" i="8" s="1"/>
  <c r="C96" i="12"/>
  <c r="I133" i="8" s="1"/>
  <c r="C99" i="12"/>
  <c r="C102" i="12"/>
  <c r="C106" i="12"/>
  <c r="C93" i="12"/>
  <c r="I130" i="8" s="1"/>
  <c r="C170" i="12"/>
  <c r="J238" i="8" s="1"/>
  <c r="AH238" i="8" s="1"/>
  <c r="D196" i="12"/>
  <c r="D180" i="12"/>
  <c r="D198" i="12"/>
  <c r="C198" i="12" s="1"/>
  <c r="C115" i="12"/>
  <c r="I152" i="8" s="1"/>
  <c r="C125" i="12"/>
  <c r="I162" i="8" s="1"/>
  <c r="C118" i="12"/>
  <c r="I155" i="8" s="1"/>
  <c r="C24" i="12"/>
  <c r="D199" i="12"/>
  <c r="C199" i="12" s="1"/>
  <c r="D197" i="12"/>
  <c r="C51" i="12"/>
  <c r="I84" i="8" s="1"/>
  <c r="C40" i="12"/>
  <c r="I73" i="8" s="1"/>
  <c r="C169" i="12"/>
  <c r="J237" i="8" s="1"/>
  <c r="C164" i="12"/>
  <c r="C166" i="12"/>
  <c r="C117" i="12"/>
  <c r="I154" i="8" s="1"/>
  <c r="C124" i="12"/>
  <c r="I161" i="8" s="1"/>
  <c r="C114" i="12"/>
  <c r="I151" i="8" s="1"/>
  <c r="C78" i="12"/>
  <c r="I115" i="8" s="1"/>
  <c r="C81" i="12"/>
  <c r="I118" i="8" s="1"/>
  <c r="C84" i="12"/>
  <c r="I121" i="8" s="1"/>
  <c r="I139" i="8" l="1"/>
  <c r="J139" i="8" s="1"/>
  <c r="AH139" i="8" s="1"/>
  <c r="I136" i="8"/>
  <c r="J136" i="8" s="1"/>
  <c r="AH136" i="8" s="1"/>
  <c r="I54" i="8"/>
  <c r="J54" i="8" s="1"/>
  <c r="AH54" i="8" s="1"/>
  <c r="I233" i="8"/>
  <c r="J233" i="8" s="1"/>
  <c r="AH233" i="8" s="1"/>
  <c r="C55" i="12"/>
  <c r="J162" i="8"/>
  <c r="AH162" i="8" s="1"/>
  <c r="J161" i="8"/>
  <c r="AH161" i="8" s="1"/>
  <c r="J155" i="8"/>
  <c r="AH155" i="8" s="1"/>
  <c r="J154" i="8"/>
  <c r="AH154" i="8" s="1"/>
  <c r="J152" i="8"/>
  <c r="AH152" i="8" s="1"/>
  <c r="J151" i="8"/>
  <c r="AH151" i="8" s="1"/>
  <c r="J133" i="8"/>
  <c r="AH133" i="8" s="1"/>
  <c r="J130" i="8"/>
  <c r="AH130" i="8" s="1"/>
  <c r="J121" i="8"/>
  <c r="J119" i="8"/>
  <c r="AH119" i="8" s="1"/>
  <c r="J118" i="8"/>
  <c r="J116" i="8"/>
  <c r="AH116" i="8" s="1"/>
  <c r="J115" i="8"/>
  <c r="J113" i="8"/>
  <c r="AH113" i="8" s="1"/>
  <c r="J73" i="8"/>
  <c r="C132" i="12"/>
  <c r="I169" i="8" s="1"/>
  <c r="C48" i="12"/>
  <c r="I81" i="8" s="1"/>
  <c r="C151" i="12"/>
  <c r="C30" i="12"/>
  <c r="I61" i="8" s="1"/>
  <c r="C160" i="12"/>
  <c r="I197" i="8" s="1"/>
  <c r="C60" i="12"/>
  <c r="I93" i="8" s="1"/>
  <c r="C116" i="12"/>
  <c r="I153" i="8" s="1"/>
  <c r="C43" i="12"/>
  <c r="I76" i="8" s="1"/>
  <c r="C130" i="12"/>
  <c r="I167" i="8" s="1"/>
  <c r="C29" i="12"/>
  <c r="I60" i="8" s="1"/>
  <c r="C197" i="12"/>
  <c r="E377" i="8" s="1"/>
  <c r="C113" i="12"/>
  <c r="I150" i="8" s="1"/>
  <c r="C14" i="12"/>
  <c r="C49" i="12"/>
  <c r="I82" i="8" s="1"/>
  <c r="C165" i="12"/>
  <c r="C103" i="12"/>
  <c r="C123" i="12"/>
  <c r="I160" i="8" s="1"/>
  <c r="C145" i="12"/>
  <c r="I182" i="8" s="1"/>
  <c r="C57" i="12"/>
  <c r="I90" i="8" s="1"/>
  <c r="C156" i="12"/>
  <c r="I193" i="8" s="1"/>
  <c r="C144" i="12"/>
  <c r="I181" i="8" s="1"/>
  <c r="C13" i="12"/>
  <c r="C149" i="12"/>
  <c r="C15" i="12"/>
  <c r="C41" i="12"/>
  <c r="I74" i="8" s="1"/>
  <c r="C161" i="12"/>
  <c r="I198" i="8" s="1"/>
  <c r="C163" i="12"/>
  <c r="C207" i="12"/>
  <c r="I280" i="8" s="1"/>
  <c r="C59" i="12"/>
  <c r="I92" i="8" s="1"/>
  <c r="C158" i="12"/>
  <c r="I195" i="8" s="1"/>
  <c r="C77" i="12"/>
  <c r="I114" i="8" s="1"/>
  <c r="C47" i="12"/>
  <c r="I80" i="8" s="1"/>
  <c r="C52" i="12"/>
  <c r="I85" i="8" s="1"/>
  <c r="C196" i="12"/>
  <c r="C8" i="12"/>
  <c r="C80" i="12"/>
  <c r="I117" i="8" s="1"/>
  <c r="C180" i="12"/>
  <c r="C205" i="12"/>
  <c r="I278" i="8" s="1"/>
  <c r="C44" i="12"/>
  <c r="I77" i="8" s="1"/>
  <c r="C193" i="12"/>
  <c r="J260" i="8" s="1"/>
  <c r="C100" i="12"/>
  <c r="C187" i="12"/>
  <c r="J254" i="8" s="1"/>
  <c r="C9" i="12"/>
  <c r="C53" i="12"/>
  <c r="I86" i="8" s="1"/>
  <c r="C94" i="12"/>
  <c r="I131" i="8" s="1"/>
  <c r="C143" i="12"/>
  <c r="I180" i="8" s="1"/>
  <c r="C150" i="12"/>
  <c r="C58" i="12"/>
  <c r="I91" i="8" s="1"/>
  <c r="C154" i="12"/>
  <c r="I191" i="8" s="1"/>
  <c r="C190" i="12"/>
  <c r="J257" i="8" s="1"/>
  <c r="C7" i="12"/>
  <c r="C32" i="57"/>
  <c r="C153" i="12"/>
  <c r="I190" i="8" s="1"/>
  <c r="J84" i="8"/>
  <c r="C28" i="12"/>
  <c r="I59" i="8" s="1"/>
  <c r="G89" i="64"/>
  <c r="K89" i="64" s="1"/>
  <c r="C46" i="12"/>
  <c r="I79" i="8" s="1"/>
  <c r="C83" i="12"/>
  <c r="I120" i="8" s="1"/>
  <c r="C146" i="12"/>
  <c r="I183" i="8" s="1"/>
  <c r="C54" i="12"/>
  <c r="I87" i="8" s="1"/>
  <c r="C97" i="12"/>
  <c r="I134" i="8" s="1"/>
  <c r="C155" i="12"/>
  <c r="I192" i="8" s="1"/>
  <c r="C206" i="12"/>
  <c r="I279" i="8" s="1"/>
  <c r="C159" i="12"/>
  <c r="I196" i="8" s="1"/>
  <c r="C42" i="12"/>
  <c r="I75" i="8" s="1"/>
  <c r="C10" i="12"/>
  <c r="G80" i="64"/>
  <c r="K80" i="64" s="1"/>
  <c r="C72" i="64"/>
  <c r="C302" i="8" s="1"/>
  <c r="C71" i="64"/>
  <c r="C288" i="8" s="1"/>
  <c r="C148" i="12"/>
  <c r="I140" i="8" l="1"/>
  <c r="J140" i="8" s="1"/>
  <c r="I137" i="8"/>
  <c r="J137" i="8" s="1"/>
  <c r="L80" i="64"/>
  <c r="B116" i="64"/>
  <c r="E288" i="8"/>
  <c r="F288" i="8"/>
  <c r="D288" i="8"/>
  <c r="G288" i="8"/>
  <c r="H288" i="8"/>
  <c r="K288" i="8"/>
  <c r="AG288" i="8" s="1"/>
  <c r="C289" i="8"/>
  <c r="G289" i="8" s="1"/>
  <c r="G302" i="8"/>
  <c r="E302" i="8"/>
  <c r="F302" i="8"/>
  <c r="K302" i="8"/>
  <c r="AG302" i="8" s="1"/>
  <c r="D302" i="8"/>
  <c r="H302" i="8"/>
  <c r="I43" i="8"/>
  <c r="J43" i="8" s="1"/>
  <c r="AH43" i="8" s="1"/>
  <c r="I40" i="8"/>
  <c r="J40" i="8" s="1"/>
  <c r="I42" i="8"/>
  <c r="J42" i="8" s="1"/>
  <c r="AH42" i="8" s="1"/>
  <c r="I41" i="8"/>
  <c r="J41" i="8" s="1"/>
  <c r="C303" i="8"/>
  <c r="K303" i="8" s="1"/>
  <c r="AG303" i="8" s="1"/>
  <c r="L89" i="64"/>
  <c r="B130" i="64"/>
  <c r="I88" i="8"/>
  <c r="J88" i="8" s="1"/>
  <c r="G377" i="8"/>
  <c r="J280" i="8"/>
  <c r="AH280" i="8" s="1"/>
  <c r="J279" i="8"/>
  <c r="J278" i="8"/>
  <c r="AH278" i="8" s="1"/>
  <c r="J248" i="8"/>
  <c r="J198" i="8"/>
  <c r="AH198" i="8" s="1"/>
  <c r="J197" i="8"/>
  <c r="AH197" i="8" s="1"/>
  <c r="J196" i="8"/>
  <c r="AH196" i="8" s="1"/>
  <c r="J195" i="8"/>
  <c r="J193" i="8"/>
  <c r="AH193" i="8" s="1"/>
  <c r="J192" i="8"/>
  <c r="AH192" i="8" s="1"/>
  <c r="J191" i="8"/>
  <c r="AH191" i="8" s="1"/>
  <c r="J190" i="8"/>
  <c r="J183" i="8"/>
  <c r="AH183" i="8" s="1"/>
  <c r="J182" i="8"/>
  <c r="AH182" i="8" s="1"/>
  <c r="J181" i="8"/>
  <c r="AH181" i="8" s="1"/>
  <c r="J180" i="8"/>
  <c r="AH180" i="8" s="1"/>
  <c r="J169" i="8"/>
  <c r="J167" i="8"/>
  <c r="J160" i="8"/>
  <c r="AH160" i="8" s="1"/>
  <c r="J153" i="8"/>
  <c r="AH153" i="8" s="1"/>
  <c r="J150" i="8"/>
  <c r="AH150" i="8" s="1"/>
  <c r="J134" i="8"/>
  <c r="AH134" i="8" s="1"/>
  <c r="J131" i="8"/>
  <c r="J120" i="8"/>
  <c r="AH120" i="8" s="1"/>
  <c r="J117" i="8"/>
  <c r="AH117" i="8" s="1"/>
  <c r="J114" i="8"/>
  <c r="AH114" i="8" s="1"/>
  <c r="J93" i="8"/>
  <c r="J92" i="8"/>
  <c r="AH92" i="8" s="1"/>
  <c r="J91" i="8"/>
  <c r="AH91" i="8" s="1"/>
  <c r="J90" i="8"/>
  <c r="J87" i="8"/>
  <c r="AH87" i="8" s="1"/>
  <c r="J86" i="8"/>
  <c r="AH86" i="8" s="1"/>
  <c r="J85" i="8"/>
  <c r="J82" i="8"/>
  <c r="J81" i="8"/>
  <c r="AH81" i="8" s="1"/>
  <c r="J80" i="8"/>
  <c r="AH80" i="8" s="1"/>
  <c r="J79" i="8"/>
  <c r="J77" i="8"/>
  <c r="J76" i="8"/>
  <c r="AH76" i="8" s="1"/>
  <c r="J75" i="8"/>
  <c r="AH75" i="8" s="1"/>
  <c r="J74" i="8"/>
  <c r="J61" i="8"/>
  <c r="AH61" i="8" s="1"/>
  <c r="J60" i="8"/>
  <c r="AH60" i="8" s="1"/>
  <c r="J59" i="8"/>
  <c r="AH59" i="8" s="1"/>
  <c r="C16" i="12"/>
  <c r="J46" i="8" s="1"/>
  <c r="AH46" i="8" s="1"/>
  <c r="B93" i="64"/>
  <c r="D229" i="12"/>
  <c r="B104" i="64"/>
  <c r="C104" i="64" s="1"/>
  <c r="E104" i="64" s="1"/>
  <c r="D228" i="12"/>
  <c r="C228" i="12" s="1"/>
  <c r="D103" i="64" s="1"/>
  <c r="B91" i="64"/>
  <c r="D226" i="12"/>
  <c r="C226" i="12" s="1"/>
  <c r="D93" i="64" s="1"/>
  <c r="B103" i="64"/>
  <c r="D222" i="12"/>
  <c r="C222" i="12" s="1"/>
  <c r="D88" i="64" s="1"/>
  <c r="D224" i="12"/>
  <c r="C224" i="12" s="1"/>
  <c r="D91" i="64" s="1"/>
  <c r="D223" i="12"/>
  <c r="C223" i="12" s="1"/>
  <c r="D90" i="64" s="1"/>
  <c r="B92" i="64"/>
  <c r="B90" i="64"/>
  <c r="B88" i="64"/>
  <c r="D225" i="12"/>
  <c r="C225" i="12" s="1"/>
  <c r="D92" i="64" s="1"/>
  <c r="C34" i="57"/>
  <c r="D211" i="12"/>
  <c r="C211" i="12" s="1"/>
  <c r="D82" i="64" s="1"/>
  <c r="B81" i="64"/>
  <c r="D215" i="12"/>
  <c r="C215" i="12" s="1"/>
  <c r="D98" i="64" s="1"/>
  <c r="B99" i="64"/>
  <c r="C99" i="64" s="1"/>
  <c r="E99" i="64" s="1"/>
  <c r="D209" i="12"/>
  <c r="C209" i="12" s="1"/>
  <c r="D79" i="64" s="1"/>
  <c r="B83" i="64"/>
  <c r="D213" i="12"/>
  <c r="C213" i="12" s="1"/>
  <c r="D84" i="64" s="1"/>
  <c r="B82" i="64"/>
  <c r="D210" i="12"/>
  <c r="C210" i="12" s="1"/>
  <c r="D81" i="64" s="1"/>
  <c r="B79" i="64"/>
  <c r="B98" i="64"/>
  <c r="B84" i="64"/>
  <c r="D212" i="12"/>
  <c r="C212" i="12" s="1"/>
  <c r="D83" i="64" s="1"/>
  <c r="D216" i="12"/>
  <c r="C318" i="8" l="1"/>
  <c r="F303" i="8"/>
  <c r="E303" i="8"/>
  <c r="H289" i="8"/>
  <c r="F289" i="8"/>
  <c r="D289" i="8"/>
  <c r="H303" i="8"/>
  <c r="D303" i="8"/>
  <c r="E289" i="8"/>
  <c r="K289" i="8"/>
  <c r="AG289" i="8" s="1"/>
  <c r="AH289" i="8" s="1"/>
  <c r="G303" i="8"/>
  <c r="I288" i="8"/>
  <c r="J288" i="8" s="1"/>
  <c r="AH288" i="8" s="1"/>
  <c r="I302" i="8"/>
  <c r="J302" i="8" s="1"/>
  <c r="AH302" i="8" s="1"/>
  <c r="E98" i="64"/>
  <c r="F98" i="64" s="1"/>
  <c r="L98" i="64" s="1"/>
  <c r="C98" i="64"/>
  <c r="E79" i="64"/>
  <c r="F79" i="64" s="1"/>
  <c r="L79" i="64" s="1"/>
  <c r="B111" i="64" s="1"/>
  <c r="C79" i="64"/>
  <c r="E82" i="64"/>
  <c r="F82" i="64" s="1"/>
  <c r="L82" i="64" s="1"/>
  <c r="B113" i="64" s="1"/>
  <c r="C82" i="64"/>
  <c r="C103" i="64"/>
  <c r="E103" i="64"/>
  <c r="F103" i="64" s="1"/>
  <c r="L103" i="64" s="1"/>
  <c r="E81" i="64"/>
  <c r="F81" i="64" s="1"/>
  <c r="L81" i="64" s="1"/>
  <c r="B112" i="64" s="1"/>
  <c r="C81" i="64"/>
  <c r="C93" i="64"/>
  <c r="E93" i="64"/>
  <c r="F93" i="64" s="1"/>
  <c r="L93" i="64" s="1"/>
  <c r="B129" i="64" s="1"/>
  <c r="C83" i="64"/>
  <c r="E83" i="64"/>
  <c r="F83" i="64" s="1"/>
  <c r="L83" i="64" s="1"/>
  <c r="B114" i="64" s="1"/>
  <c r="E88" i="64"/>
  <c r="F88" i="64" s="1"/>
  <c r="L88" i="64" s="1"/>
  <c r="B125" i="64" s="1"/>
  <c r="C88" i="64"/>
  <c r="E91" i="64"/>
  <c r="F91" i="64" s="1"/>
  <c r="L91" i="64" s="1"/>
  <c r="B127" i="64" s="1"/>
  <c r="C91" i="64"/>
  <c r="E90" i="64"/>
  <c r="F90" i="64" s="1"/>
  <c r="L90" i="64" s="1"/>
  <c r="B126" i="64" s="1"/>
  <c r="C90" i="64"/>
  <c r="C84" i="64"/>
  <c r="E84" i="64"/>
  <c r="F84" i="64" s="1"/>
  <c r="L84" i="64" s="1"/>
  <c r="B115" i="64" s="1"/>
  <c r="E92" i="64"/>
  <c r="F92" i="64" s="1"/>
  <c r="L92" i="64" s="1"/>
  <c r="B128" i="64" s="1"/>
  <c r="C92" i="64"/>
  <c r="C180" i="60"/>
  <c r="G371" i="8" s="1"/>
  <c r="H371" i="8" s="1"/>
  <c r="AH169" i="8"/>
  <c r="AH167" i="8"/>
  <c r="C6" i="11"/>
  <c r="G369" i="8" s="1"/>
  <c r="H369" i="8" s="1"/>
  <c r="C74" i="56"/>
  <c r="C75" i="56" s="1"/>
  <c r="C335" i="8" s="1"/>
  <c r="C426" i="8" s="1"/>
  <c r="E216" i="12"/>
  <c r="I46" i="8"/>
  <c r="G99" i="64"/>
  <c r="K99" i="64" s="1"/>
  <c r="G104" i="64"/>
  <c r="K104" i="64" s="1"/>
  <c r="E229" i="12"/>
  <c r="C8" i="11"/>
  <c r="G372" i="8" s="1"/>
  <c r="C35" i="57"/>
  <c r="C39" i="57"/>
  <c r="C40" i="57"/>
  <c r="D113" i="64" l="1"/>
  <c r="E113" i="64" s="1"/>
  <c r="D115" i="64"/>
  <c r="E115" i="64" s="1"/>
  <c r="D111" i="64"/>
  <c r="E111" i="64" s="1"/>
  <c r="D114" i="64"/>
  <c r="E114" i="64" s="1"/>
  <c r="D112" i="64"/>
  <c r="E112" i="64" s="1"/>
  <c r="D129" i="64"/>
  <c r="E129" i="64" s="1"/>
  <c r="D128" i="64"/>
  <c r="E128" i="64" s="1"/>
  <c r="D126" i="64"/>
  <c r="E126" i="64" s="1"/>
  <c r="D125" i="64"/>
  <c r="E125" i="64" s="1"/>
  <c r="D127" i="64"/>
  <c r="E127" i="64" s="1"/>
  <c r="L216" i="12"/>
  <c r="K216" i="12"/>
  <c r="J216" i="12"/>
  <c r="Q216" i="12"/>
  <c r="I216" i="12"/>
  <c r="P216" i="12"/>
  <c r="H216" i="12"/>
  <c r="O216" i="12"/>
  <c r="G216" i="12"/>
  <c r="M216" i="12"/>
  <c r="N216" i="12"/>
  <c r="F216" i="12"/>
  <c r="L229" i="12"/>
  <c r="K229" i="12"/>
  <c r="J229" i="12"/>
  <c r="Q229" i="12"/>
  <c r="I229" i="12"/>
  <c r="P229" i="12"/>
  <c r="H229" i="12"/>
  <c r="O229" i="12"/>
  <c r="G229" i="12"/>
  <c r="M229" i="12"/>
  <c r="N229" i="12"/>
  <c r="F229" i="12"/>
  <c r="C338" i="8"/>
  <c r="C429" i="8" s="1"/>
  <c r="C41" i="57"/>
  <c r="C44" i="57"/>
  <c r="C45" i="57"/>
  <c r="H372" i="8"/>
  <c r="C229" i="12" l="1"/>
  <c r="C216" i="12"/>
  <c r="C42" i="57"/>
  <c r="C46" i="57" s="1"/>
  <c r="C47" i="57" s="1"/>
  <c r="C65" i="57"/>
  <c r="C67" i="57" s="1"/>
  <c r="E67" i="57" s="1"/>
  <c r="W366" i="10" s="1"/>
  <c r="D99" i="64" l="1"/>
  <c r="F99" i="64" s="1"/>
  <c r="L99" i="64" s="1"/>
  <c r="D116" i="64" s="1"/>
  <c r="E116" i="64" s="1"/>
  <c r="C118" i="64" s="1"/>
  <c r="I289" i="8"/>
  <c r="J289" i="8" s="1"/>
  <c r="D104" i="64"/>
  <c r="F104" i="64" s="1"/>
  <c r="L104" i="64" s="1"/>
  <c r="D130" i="64" s="1"/>
  <c r="E130" i="64" s="1"/>
  <c r="C132" i="64" s="1"/>
  <c r="I303" i="8"/>
  <c r="J303" i="8" s="1"/>
  <c r="AH303" i="8" s="1"/>
  <c r="C69" i="57"/>
  <c r="C112" i="57"/>
  <c r="C114" i="57" s="1"/>
  <c r="C116" i="57"/>
  <c r="C117" i="57" s="1"/>
  <c r="C119" i="64" l="1"/>
  <c r="AC285" i="8" s="1"/>
  <c r="S285" i="8" s="1"/>
  <c r="C120" i="64"/>
  <c r="C133" i="64"/>
  <c r="C134" i="64"/>
  <c r="E69" i="57"/>
  <c r="AF285" i="8" l="1"/>
  <c r="V285" i="8" s="1"/>
  <c r="X284" i="8"/>
  <c r="N284" i="8" s="1"/>
  <c r="AD286" i="8"/>
  <c r="T286" i="8" s="1"/>
  <c r="Y284" i="8"/>
  <c r="O284" i="8" s="1"/>
  <c r="AE285" i="8"/>
  <c r="U285" i="8" s="1"/>
  <c r="X282" i="8"/>
  <c r="N282" i="8" s="1"/>
  <c r="AE286" i="8"/>
  <c r="U286" i="8" s="1"/>
  <c r="C76" i="11"/>
  <c r="C396" i="8" s="1"/>
  <c r="G396" i="8" s="1"/>
  <c r="H396" i="8" s="1"/>
  <c r="AF284" i="8"/>
  <c r="V284" i="8" s="1"/>
  <c r="AE283" i="8"/>
  <c r="U283" i="8" s="1"/>
  <c r="X285" i="8"/>
  <c r="N285" i="8" s="1"/>
  <c r="AD284" i="8"/>
  <c r="T284" i="8" s="1"/>
  <c r="Z282" i="8"/>
  <c r="P282" i="8" s="1"/>
  <c r="B281" i="8"/>
  <c r="M284" i="8" s="1"/>
  <c r="AC283" i="8"/>
  <c r="S283" i="8" s="1"/>
  <c r="AA283" i="8"/>
  <c r="Q283" i="8" s="1"/>
  <c r="C74" i="11"/>
  <c r="C394" i="8" s="1"/>
  <c r="G394" i="8" s="1"/>
  <c r="H394" i="8" s="1"/>
  <c r="AA282" i="8"/>
  <c r="Q282" i="8" s="1"/>
  <c r="AB282" i="8"/>
  <c r="R282" i="8" s="1"/>
  <c r="C73" i="11"/>
  <c r="C392" i="8" s="1"/>
  <c r="G392" i="8" s="1"/>
  <c r="H392" i="8" s="1"/>
  <c r="X283" i="8"/>
  <c r="N283" i="8" s="1"/>
  <c r="C77" i="11"/>
  <c r="C397" i="8" s="1"/>
  <c r="G397" i="8" s="1"/>
  <c r="H397" i="8" s="1"/>
  <c r="AE284" i="8"/>
  <c r="U284" i="8" s="1"/>
  <c r="Z283" i="8"/>
  <c r="P283" i="8" s="1"/>
  <c r="Y286" i="8"/>
  <c r="O286" i="8" s="1"/>
  <c r="X286" i="8"/>
  <c r="N286" i="8" s="1"/>
  <c r="C75" i="11"/>
  <c r="C395" i="8" s="1"/>
  <c r="G395" i="8" s="1"/>
  <c r="H395" i="8" s="1"/>
  <c r="AF286" i="8"/>
  <c r="V286" i="8" s="1"/>
  <c r="AF283" i="8"/>
  <c r="V283" i="8" s="1"/>
  <c r="AD282" i="8"/>
  <c r="T282" i="8" s="1"/>
  <c r="C285" i="8"/>
  <c r="H285" i="8" s="1"/>
  <c r="Y285" i="8"/>
  <c r="O285" i="8" s="1"/>
  <c r="AA284" i="8"/>
  <c r="Q284" i="8" s="1"/>
  <c r="Y282" i="8"/>
  <c r="O282" i="8" s="1"/>
  <c r="AA286" i="8"/>
  <c r="Q286" i="8" s="1"/>
  <c r="AC284" i="8"/>
  <c r="S284" i="8" s="1"/>
  <c r="C284" i="8"/>
  <c r="E284" i="8" s="1"/>
  <c r="AB286" i="8"/>
  <c r="R286" i="8" s="1"/>
  <c r="C282" i="8"/>
  <c r="E282" i="8" s="1"/>
  <c r="AF282" i="8"/>
  <c r="V282" i="8" s="1"/>
  <c r="AC286" i="8"/>
  <c r="S286" i="8" s="1"/>
  <c r="AE282" i="8"/>
  <c r="U282" i="8" s="1"/>
  <c r="AD283" i="8"/>
  <c r="T283" i="8" s="1"/>
  <c r="AC282" i="8"/>
  <c r="S282" i="8" s="1"/>
  <c r="C286" i="8"/>
  <c r="D286" i="8" s="1"/>
  <c r="AB283" i="8"/>
  <c r="R283" i="8" s="1"/>
  <c r="Y283" i="8"/>
  <c r="O283" i="8" s="1"/>
  <c r="AA285" i="8"/>
  <c r="Q285" i="8" s="1"/>
  <c r="AD285" i="8"/>
  <c r="T285" i="8" s="1"/>
  <c r="Z284" i="8"/>
  <c r="P284" i="8" s="1"/>
  <c r="AB285" i="8"/>
  <c r="R285" i="8" s="1"/>
  <c r="AB284" i="8"/>
  <c r="R284" i="8" s="1"/>
  <c r="Z285" i="8"/>
  <c r="P285" i="8" s="1"/>
  <c r="Z286" i="8"/>
  <c r="P286" i="8" s="1"/>
  <c r="C283" i="8"/>
  <c r="E283" i="8" s="1"/>
  <c r="C78" i="11"/>
  <c r="C393" i="8" s="1"/>
  <c r="G393" i="8" s="1"/>
  <c r="H393" i="8" s="1"/>
  <c r="AA303" i="8"/>
  <c r="Q303" i="8" s="1"/>
  <c r="AE302" i="8"/>
  <c r="U302" i="8" s="1"/>
  <c r="AB303" i="8"/>
  <c r="R303" i="8" s="1"/>
  <c r="AF302" i="8"/>
  <c r="V302" i="8" s="1"/>
  <c r="Y302" i="8"/>
  <c r="O302" i="8" s="1"/>
  <c r="AB302" i="8"/>
  <c r="R302" i="8" s="1"/>
  <c r="C23" i="56"/>
  <c r="C24" i="56" s="1"/>
  <c r="Z303" i="8"/>
  <c r="P303" i="8" s="1"/>
  <c r="AD302" i="8"/>
  <c r="T302" i="8" s="1"/>
  <c r="AC303" i="8"/>
  <c r="S303" i="8" s="1"/>
  <c r="AA302" i="8"/>
  <c r="Q302" i="8" s="1"/>
  <c r="AD303" i="8"/>
  <c r="T303" i="8" s="1"/>
  <c r="Y303" i="8"/>
  <c r="O303" i="8" s="1"/>
  <c r="X302" i="8"/>
  <c r="N302" i="8" s="1"/>
  <c r="X303" i="8"/>
  <c r="N303" i="8" s="1"/>
  <c r="AE303" i="8"/>
  <c r="U303" i="8" s="1"/>
  <c r="AC302" i="8"/>
  <c r="S302" i="8" s="1"/>
  <c r="AF303" i="8"/>
  <c r="V303" i="8" s="1"/>
  <c r="Z302" i="8"/>
  <c r="P302" i="8" s="1"/>
  <c r="Y298" i="8"/>
  <c r="O298" i="8" s="1"/>
  <c r="Y300" i="8"/>
  <c r="O300" i="8" s="1"/>
  <c r="Z297" i="8"/>
  <c r="P297" i="8" s="1"/>
  <c r="X297" i="8"/>
  <c r="N297" i="8" s="1"/>
  <c r="AA300" i="8"/>
  <c r="Q300" i="8" s="1"/>
  <c r="X298" i="8"/>
  <c r="N298" i="8" s="1"/>
  <c r="X296" i="8"/>
  <c r="N296" i="8" s="1"/>
  <c r="AD297" i="8"/>
  <c r="T297" i="8" s="1"/>
  <c r="AA296" i="8"/>
  <c r="Q296" i="8" s="1"/>
  <c r="Y296" i="8"/>
  <c r="O296" i="8" s="1"/>
  <c r="Y297" i="8"/>
  <c r="O297" i="8" s="1"/>
  <c r="Y299" i="8"/>
  <c r="O299" i="8" s="1"/>
  <c r="AE297" i="8"/>
  <c r="U297" i="8" s="1"/>
  <c r="AC300" i="8"/>
  <c r="S300" i="8" s="1"/>
  <c r="AE299" i="8"/>
  <c r="U299" i="8" s="1"/>
  <c r="B295" i="8"/>
  <c r="AE300" i="8"/>
  <c r="U300" i="8" s="1"/>
  <c r="AF298" i="8"/>
  <c r="V298" i="8" s="1"/>
  <c r="AF297" i="8"/>
  <c r="V297" i="8" s="1"/>
  <c r="C299" i="8"/>
  <c r="C297" i="8"/>
  <c r="C298" i="8"/>
  <c r="X300" i="8"/>
  <c r="N300" i="8" s="1"/>
  <c r="AF296" i="8"/>
  <c r="V296" i="8" s="1"/>
  <c r="AD299" i="8"/>
  <c r="T299" i="8" s="1"/>
  <c r="AC299" i="8"/>
  <c r="S299" i="8" s="1"/>
  <c r="C17" i="56"/>
  <c r="C18" i="56" s="1"/>
  <c r="AA299" i="8"/>
  <c r="Q299" i="8" s="1"/>
  <c r="AC297" i="8"/>
  <c r="S297" i="8" s="1"/>
  <c r="AB299" i="8"/>
  <c r="R299" i="8" s="1"/>
  <c r="Z298" i="8"/>
  <c r="P298" i="8" s="1"/>
  <c r="AB298" i="8"/>
  <c r="R298" i="8" s="1"/>
  <c r="Z300" i="8"/>
  <c r="P300" i="8" s="1"/>
  <c r="AC298" i="8"/>
  <c r="S298" i="8" s="1"/>
  <c r="AC296" i="8"/>
  <c r="S296" i="8" s="1"/>
  <c r="AA298" i="8"/>
  <c r="Q298" i="8" s="1"/>
  <c r="AD300" i="8"/>
  <c r="T300" i="8" s="1"/>
  <c r="AB300" i="8"/>
  <c r="R300" i="8" s="1"/>
  <c r="C300" i="8"/>
  <c r="AD296" i="8"/>
  <c r="T296" i="8" s="1"/>
  <c r="Z299" i="8"/>
  <c r="P299" i="8" s="1"/>
  <c r="C296" i="8"/>
  <c r="AD298" i="8"/>
  <c r="T298" i="8" s="1"/>
  <c r="B301" i="8"/>
  <c r="AA297" i="8"/>
  <c r="Q297" i="8" s="1"/>
  <c r="AB296" i="8"/>
  <c r="R296" i="8" s="1"/>
  <c r="AF300" i="8"/>
  <c r="V300" i="8" s="1"/>
  <c r="AF299" i="8"/>
  <c r="V299" i="8" s="1"/>
  <c r="AB297" i="8"/>
  <c r="R297" i="8" s="1"/>
  <c r="AE296" i="8"/>
  <c r="U296" i="8" s="1"/>
  <c r="X299" i="8"/>
  <c r="N299" i="8" s="1"/>
  <c r="Z296" i="8"/>
  <c r="P296" i="8" s="1"/>
  <c r="AE298" i="8"/>
  <c r="U298" i="8" s="1"/>
  <c r="X288" i="8"/>
  <c r="N288" i="8" s="1"/>
  <c r="AF289" i="8"/>
  <c r="V289" i="8" s="1"/>
  <c r="C82" i="11"/>
  <c r="C390" i="8" s="1"/>
  <c r="G390" i="8" s="1"/>
  <c r="H390" i="8" s="1"/>
  <c r="AA288" i="8"/>
  <c r="Q288" i="8" s="1"/>
  <c r="AB289" i="8"/>
  <c r="R289" i="8" s="1"/>
  <c r="Z288" i="8"/>
  <c r="P288" i="8" s="1"/>
  <c r="AD288" i="8"/>
  <c r="T288" i="8" s="1"/>
  <c r="AC289" i="8"/>
  <c r="S289" i="8" s="1"/>
  <c r="Z289" i="8"/>
  <c r="P289" i="8" s="1"/>
  <c r="Y289" i="8"/>
  <c r="O289" i="8" s="1"/>
  <c r="AE288" i="8"/>
  <c r="U288" i="8" s="1"/>
  <c r="AA289" i="8"/>
  <c r="Q289" i="8" s="1"/>
  <c r="C81" i="11"/>
  <c r="C389" i="8" s="1"/>
  <c r="G389" i="8" s="1"/>
  <c r="H389" i="8" s="1"/>
  <c r="AE289" i="8"/>
  <c r="U289" i="8" s="1"/>
  <c r="AB288" i="8"/>
  <c r="R288" i="8" s="1"/>
  <c r="AF288" i="8"/>
  <c r="V288" i="8" s="1"/>
  <c r="AC288" i="8"/>
  <c r="S288" i="8" s="1"/>
  <c r="X289" i="8"/>
  <c r="N289" i="8" s="1"/>
  <c r="AD289" i="8"/>
  <c r="T289" i="8" s="1"/>
  <c r="C21" i="56"/>
  <c r="C22" i="56" s="1"/>
  <c r="Y288" i="8"/>
  <c r="O288" i="8" s="1"/>
  <c r="B287" i="8"/>
  <c r="C15" i="56"/>
  <c r="C16" i="56" s="1"/>
  <c r="C70" i="57"/>
  <c r="C71" i="57" s="1"/>
  <c r="E71" i="57" s="1"/>
  <c r="C74" i="57" s="1"/>
  <c r="T366" i="10" s="1"/>
  <c r="V366" i="10"/>
  <c r="M286" i="8" l="1"/>
  <c r="AZ125" i="10" a="1"/>
  <c r="AZ125" i="10" s="1"/>
  <c r="AX125" i="10" s="1"/>
  <c r="BB125" i="10" s="1"/>
  <c r="M283" i="8"/>
  <c r="M282" i="8"/>
  <c r="M285" i="8"/>
  <c r="AZ208" i="10" a="1"/>
  <c r="AZ208" i="10" s="1"/>
  <c r="AX208" i="10" s="1"/>
  <c r="BB208" i="10" s="1"/>
  <c r="AZ299" i="10" a="1"/>
  <c r="AZ299" i="10" s="1"/>
  <c r="AX299" i="10" s="1"/>
  <c r="BB299" i="10" s="1"/>
  <c r="AZ138" i="10" a="1"/>
  <c r="AZ138" i="10" s="1"/>
  <c r="AX138" i="10" s="1"/>
  <c r="BB138" i="10" s="1"/>
  <c r="AZ74" i="10" a="1"/>
  <c r="AZ74" i="10" s="1"/>
  <c r="AX74" i="10" s="1"/>
  <c r="BB74" i="10" s="1"/>
  <c r="AZ96" i="10" a="1"/>
  <c r="AZ96" i="10" s="1"/>
  <c r="AX96" i="10" s="1"/>
  <c r="BB96" i="10" s="1"/>
  <c r="AZ254" i="10" a="1"/>
  <c r="AZ254" i="10" s="1"/>
  <c r="AX254" i="10" s="1"/>
  <c r="BB254" i="10" s="1"/>
  <c r="AZ352" i="10" a="1"/>
  <c r="AZ352" i="10" s="1"/>
  <c r="AZ302" i="10" a="1"/>
  <c r="AZ302" i="10" s="1"/>
  <c r="AX302" i="10" s="1"/>
  <c r="BB302" i="10" s="1"/>
  <c r="AZ64" i="10" a="1"/>
  <c r="AZ64" i="10" s="1"/>
  <c r="AX64" i="10" s="1"/>
  <c r="BB64" i="10" s="1"/>
  <c r="AZ205" i="10" a="1"/>
  <c r="AZ205" i="10" s="1"/>
  <c r="AX205" i="10" s="1"/>
  <c r="BB205" i="10" s="1"/>
  <c r="AZ187" i="10" a="1"/>
  <c r="AZ187" i="10" s="1"/>
  <c r="AX187" i="10" s="1"/>
  <c r="BB187" i="10" s="1"/>
  <c r="AZ73" i="10" a="1"/>
  <c r="AZ73" i="10" s="1"/>
  <c r="AX73" i="10" s="1"/>
  <c r="BB73" i="10" s="1"/>
  <c r="AZ223" i="10" a="1"/>
  <c r="AZ223" i="10" s="1"/>
  <c r="AX223" i="10" s="1"/>
  <c r="BB223" i="10" s="1"/>
  <c r="AZ217" i="10" a="1"/>
  <c r="AZ217" i="10" s="1"/>
  <c r="AX217" i="10" s="1"/>
  <c r="BB217" i="10" s="1"/>
  <c r="AZ93" i="10" a="1"/>
  <c r="AZ93" i="10" s="1"/>
  <c r="AX93" i="10" s="1"/>
  <c r="BB93" i="10" s="1"/>
  <c r="AZ240" i="10" a="1"/>
  <c r="AZ240" i="10" s="1"/>
  <c r="AX240" i="10" s="1"/>
  <c r="BB240" i="10" s="1"/>
  <c r="AZ281" i="10" a="1"/>
  <c r="AZ281" i="10" s="1"/>
  <c r="AX281" i="10" s="1"/>
  <c r="BB281" i="10" s="1"/>
  <c r="AZ286" i="10" a="1"/>
  <c r="AZ286" i="10" s="1"/>
  <c r="AX286" i="10" s="1"/>
  <c r="BB286" i="10" s="1"/>
  <c r="AZ221" i="10" a="1"/>
  <c r="AZ221" i="10" s="1"/>
  <c r="AX221" i="10" s="1"/>
  <c r="BB221" i="10" s="1"/>
  <c r="AZ110" i="10" a="1"/>
  <c r="AZ110" i="10" s="1"/>
  <c r="AX110" i="10" s="1"/>
  <c r="BB110" i="10" s="1"/>
  <c r="AZ171" i="10" a="1"/>
  <c r="AZ171" i="10" s="1"/>
  <c r="AX171" i="10" s="1"/>
  <c r="BB171" i="10" s="1"/>
  <c r="AZ251" i="10" a="1"/>
  <c r="AZ251" i="10" s="1"/>
  <c r="AX251" i="10" s="1"/>
  <c r="BB251" i="10" s="1"/>
  <c r="AZ95" i="10" a="1"/>
  <c r="AZ95" i="10" s="1"/>
  <c r="AX95" i="10" s="1"/>
  <c r="BB95" i="10" s="1"/>
  <c r="AZ185" i="10" a="1"/>
  <c r="AZ185" i="10" s="1"/>
  <c r="AX185" i="10" s="1"/>
  <c r="BB185" i="10" s="1"/>
  <c r="AZ59" i="10" a="1"/>
  <c r="AZ59" i="10" s="1"/>
  <c r="AX59" i="10" s="1"/>
  <c r="BB59" i="10" s="1"/>
  <c r="AZ77" i="10" a="1"/>
  <c r="AZ77" i="10" s="1"/>
  <c r="AX77" i="10" s="1"/>
  <c r="BB77" i="10" s="1"/>
  <c r="AZ239" i="10" a="1"/>
  <c r="AZ239" i="10" s="1"/>
  <c r="AX239" i="10" s="1"/>
  <c r="BB239" i="10" s="1"/>
  <c r="AZ142" i="10" a="1"/>
  <c r="AZ142" i="10" s="1"/>
  <c r="AX142" i="10" s="1"/>
  <c r="BB142" i="10" s="1"/>
  <c r="AZ192" i="10" a="1"/>
  <c r="AZ192" i="10" s="1"/>
  <c r="AX192" i="10" s="1"/>
  <c r="BB192" i="10" s="1"/>
  <c r="AZ78" i="10" a="1"/>
  <c r="AZ78" i="10" s="1"/>
  <c r="AX78" i="10" s="1"/>
  <c r="BB78" i="10" s="1"/>
  <c r="AZ347" i="10" a="1"/>
  <c r="AZ347" i="10" s="1"/>
  <c r="AZ140" i="10" a="1"/>
  <c r="AZ140" i="10" s="1"/>
  <c r="AX140" i="10" s="1"/>
  <c r="BB140" i="10" s="1"/>
  <c r="AZ218" i="10" a="1"/>
  <c r="AZ218" i="10" s="1"/>
  <c r="AX218" i="10" s="1"/>
  <c r="BB218" i="10" s="1"/>
  <c r="AZ94" i="10" a="1"/>
  <c r="AZ94" i="10" s="1"/>
  <c r="AX94" i="10" s="1"/>
  <c r="BB94" i="10" s="1"/>
  <c r="AZ188" i="10" a="1"/>
  <c r="AZ188" i="10" s="1"/>
  <c r="AX188" i="10" s="1"/>
  <c r="BB188" i="10" s="1"/>
  <c r="AZ28" i="10" a="1"/>
  <c r="AZ28" i="10" s="1"/>
  <c r="AX28" i="10" s="1"/>
  <c r="BB28" i="10" s="1"/>
  <c r="AZ62" i="10" a="1"/>
  <c r="AZ62" i="10" s="1"/>
  <c r="AX62" i="10" s="1"/>
  <c r="BB62" i="10" s="1"/>
  <c r="AZ41" i="10" a="1"/>
  <c r="AZ41" i="10" s="1"/>
  <c r="AX41" i="10" s="1"/>
  <c r="BB41" i="10" s="1"/>
  <c r="AZ111" i="10" a="1"/>
  <c r="AZ111" i="10" s="1"/>
  <c r="AX111" i="10" s="1"/>
  <c r="BB111" i="10" s="1"/>
  <c r="AZ253" i="10" a="1"/>
  <c r="AZ253" i="10" s="1"/>
  <c r="AX253" i="10" s="1"/>
  <c r="BB253" i="10" s="1"/>
  <c r="AZ334" i="10" a="1"/>
  <c r="AZ334" i="10" s="1"/>
  <c r="AX334" i="10" s="1"/>
  <c r="BB334" i="10" s="1"/>
  <c r="AZ156" i="10" a="1"/>
  <c r="AZ156" i="10" s="1"/>
  <c r="AX156" i="10" s="1"/>
  <c r="BB156" i="10" s="1"/>
  <c r="AZ158" i="10" a="1"/>
  <c r="AZ158" i="10" s="1"/>
  <c r="AX158" i="10" s="1"/>
  <c r="BB158" i="10" s="1"/>
  <c r="AZ202" i="10" a="1"/>
  <c r="AZ202" i="10" s="1"/>
  <c r="AX202" i="10" s="1"/>
  <c r="BB202" i="10" s="1"/>
  <c r="AZ58" i="10" a="1"/>
  <c r="AZ58" i="10" s="1"/>
  <c r="AX58" i="10" s="1"/>
  <c r="BB58" i="10" s="1"/>
  <c r="AZ233" i="10" a="1"/>
  <c r="AZ233" i="10" s="1"/>
  <c r="AX233" i="10" s="1"/>
  <c r="BB233" i="10" s="1"/>
  <c r="AZ92" i="10" a="1"/>
  <c r="AZ92" i="10" s="1"/>
  <c r="AX92" i="10" s="1"/>
  <c r="BB92" i="10" s="1"/>
  <c r="AZ79" i="10" a="1"/>
  <c r="AZ79" i="10" s="1"/>
  <c r="AX79" i="10" s="1"/>
  <c r="BB79" i="10" s="1"/>
  <c r="AZ350" i="10" a="1"/>
  <c r="AZ350" i="10" s="1"/>
  <c r="AZ330" i="10" a="1"/>
  <c r="AZ330" i="10" s="1"/>
  <c r="AX330" i="10" s="1"/>
  <c r="BB330" i="10" s="1"/>
  <c r="AZ176" i="10" a="1"/>
  <c r="AZ176" i="10" s="1"/>
  <c r="AX176" i="10" s="1"/>
  <c r="BB176" i="10" s="1"/>
  <c r="AZ141" i="10" a="1"/>
  <c r="AZ141" i="10" s="1"/>
  <c r="AX141" i="10" s="1"/>
  <c r="BB141" i="10" s="1"/>
  <c r="AZ124" i="10" a="1"/>
  <c r="AZ124" i="10" s="1"/>
  <c r="AX124" i="10" s="1"/>
  <c r="BB124" i="10" s="1"/>
  <c r="AZ174" i="10" a="1"/>
  <c r="AZ174" i="10" s="1"/>
  <c r="AX174" i="10" s="1"/>
  <c r="BB174" i="10" s="1"/>
  <c r="AZ139" i="10" a="1"/>
  <c r="AZ139" i="10" s="1"/>
  <c r="AX139" i="10" s="1"/>
  <c r="BB139" i="10" s="1"/>
  <c r="AZ329" i="10" a="1"/>
  <c r="AZ329" i="10" s="1"/>
  <c r="AX329" i="10" s="1"/>
  <c r="BB329" i="10" s="1"/>
  <c r="AZ30" i="10" a="1"/>
  <c r="AZ30" i="10" s="1"/>
  <c r="AX30" i="10" s="1"/>
  <c r="BB30" i="10" s="1"/>
  <c r="AZ89" i="10" a="1"/>
  <c r="AZ89" i="10" s="1"/>
  <c r="AX89" i="10" s="1"/>
  <c r="BB89" i="10" s="1"/>
  <c r="AZ128" i="10" a="1"/>
  <c r="AZ128" i="10" s="1"/>
  <c r="AX128" i="10" s="1"/>
  <c r="BB128" i="10" s="1"/>
  <c r="AZ16" i="10" a="1"/>
  <c r="AZ16" i="10" s="1"/>
  <c r="AX16" i="10" s="1"/>
  <c r="BB16" i="10" s="1"/>
  <c r="AZ108" i="10" a="1"/>
  <c r="AZ108" i="10" s="1"/>
  <c r="AX108" i="10" s="1"/>
  <c r="BB108" i="10" s="1"/>
  <c r="AZ335" i="10" a="1"/>
  <c r="AZ335" i="10" s="1"/>
  <c r="AX335" i="10" s="1"/>
  <c r="BB335" i="10" s="1"/>
  <c r="AZ60" i="10" a="1"/>
  <c r="AZ60" i="10" s="1"/>
  <c r="AX60" i="10" s="1"/>
  <c r="BB60" i="10" s="1"/>
  <c r="AZ265" i="10" a="1"/>
  <c r="AZ265" i="10" s="1"/>
  <c r="AX265" i="10" s="1"/>
  <c r="BB265" i="10" s="1"/>
  <c r="AZ11" i="10" a="1"/>
  <c r="AZ11" i="10" s="1"/>
  <c r="AX11" i="10" s="1"/>
  <c r="BB11" i="10" s="1"/>
  <c r="AZ57" i="10" a="1"/>
  <c r="AZ57" i="10" s="1"/>
  <c r="AX57" i="10" s="1"/>
  <c r="BB57" i="10" s="1"/>
  <c r="AZ143" i="10" a="1"/>
  <c r="AZ143" i="10" s="1"/>
  <c r="AX143" i="10" s="1"/>
  <c r="BB143" i="10" s="1"/>
  <c r="AZ351" i="10" a="1"/>
  <c r="AZ351" i="10" s="1"/>
  <c r="AZ298" i="10" a="1"/>
  <c r="AZ298" i="10" s="1"/>
  <c r="AX298" i="10" s="1"/>
  <c r="BB298" i="10" s="1"/>
  <c r="AZ285" i="10" a="1"/>
  <c r="AZ285" i="10" s="1"/>
  <c r="AX285" i="10" s="1"/>
  <c r="BB285" i="10" s="1"/>
  <c r="AZ315" i="10" a="1"/>
  <c r="AZ315" i="10" s="1"/>
  <c r="AX315" i="10" s="1"/>
  <c r="BB315" i="10" s="1"/>
  <c r="AZ47" i="10" a="1"/>
  <c r="AZ47" i="10" s="1"/>
  <c r="AX47" i="10" s="1"/>
  <c r="BB47" i="10" s="1"/>
  <c r="AZ170" i="10" a="1"/>
  <c r="AZ170" i="10" s="1"/>
  <c r="AX170" i="10" s="1"/>
  <c r="BB170" i="10" s="1"/>
  <c r="AZ269" i="10" a="1"/>
  <c r="AZ269" i="10" s="1"/>
  <c r="AX269" i="10" s="1"/>
  <c r="BB269" i="10" s="1"/>
  <c r="AZ316" i="10" a="1"/>
  <c r="AZ316" i="10" s="1"/>
  <c r="AX316" i="10" s="1"/>
  <c r="BB316" i="10" s="1"/>
  <c r="AZ15" i="10" a="1"/>
  <c r="AZ15" i="10" s="1"/>
  <c r="AX15" i="10" s="1"/>
  <c r="BB15" i="10" s="1"/>
  <c r="AZ46" i="10" a="1"/>
  <c r="AZ46" i="10" s="1"/>
  <c r="AX46" i="10" s="1"/>
  <c r="BB46" i="10" s="1"/>
  <c r="AZ61" i="10" a="1"/>
  <c r="AZ61" i="10" s="1"/>
  <c r="AX61" i="10" s="1"/>
  <c r="BB61" i="10" s="1"/>
  <c r="AZ348" i="10" a="1"/>
  <c r="AZ348" i="10" s="1"/>
  <c r="AZ267" i="10" a="1"/>
  <c r="AZ267" i="10" s="1"/>
  <c r="AX267" i="10" s="1"/>
  <c r="BB267" i="10" s="1"/>
  <c r="AZ319" i="10" a="1"/>
  <c r="AZ319" i="10" s="1"/>
  <c r="AX319" i="10" s="1"/>
  <c r="BB319" i="10" s="1"/>
  <c r="AZ105" i="10" a="1"/>
  <c r="AZ105" i="10" s="1"/>
  <c r="AX105" i="10" s="1"/>
  <c r="BB105" i="10" s="1"/>
  <c r="AZ304" i="10" a="1"/>
  <c r="AZ304" i="10" s="1"/>
  <c r="AX304" i="10" s="1"/>
  <c r="BB304" i="10" s="1"/>
  <c r="AZ303" i="10" a="1"/>
  <c r="AZ303" i="10" s="1"/>
  <c r="AX303" i="10" s="1"/>
  <c r="BB303" i="10" s="1"/>
  <c r="AZ256" i="10" a="1"/>
  <c r="AZ256" i="10" s="1"/>
  <c r="AX256" i="10" s="1"/>
  <c r="BB256" i="10" s="1"/>
  <c r="AZ220" i="10" a="1"/>
  <c r="AZ220" i="10" s="1"/>
  <c r="AX220" i="10" s="1"/>
  <c r="BB220" i="10" s="1"/>
  <c r="AZ109" i="10" a="1"/>
  <c r="AZ109" i="10" s="1"/>
  <c r="AX109" i="10" s="1"/>
  <c r="BB109" i="10" s="1"/>
  <c r="AZ186" i="10" a="1"/>
  <c r="AZ186" i="10" s="1"/>
  <c r="AX186" i="10" s="1"/>
  <c r="BB186" i="10" s="1"/>
  <c r="AZ201" i="10" a="1"/>
  <c r="AZ201" i="10" s="1"/>
  <c r="AX201" i="10" s="1"/>
  <c r="BB201" i="10" s="1"/>
  <c r="AZ43" i="10" a="1"/>
  <c r="AZ43" i="10" s="1"/>
  <c r="AX43" i="10" s="1"/>
  <c r="BB43" i="10" s="1"/>
  <c r="AZ154" i="10" a="1"/>
  <c r="AZ154" i="10" s="1"/>
  <c r="AX154" i="10" s="1"/>
  <c r="BB154" i="10" s="1"/>
  <c r="AZ190" i="10" a="1"/>
  <c r="AZ190" i="10" s="1"/>
  <c r="AX190" i="10" s="1"/>
  <c r="BB190" i="10" s="1"/>
  <c r="AZ234" i="10" a="1"/>
  <c r="AZ234" i="10" s="1"/>
  <c r="AX234" i="10" s="1"/>
  <c r="BB234" i="10" s="1"/>
  <c r="AZ26" i="10" a="1"/>
  <c r="AZ26" i="10" s="1"/>
  <c r="AX26" i="10" s="1"/>
  <c r="BB26" i="10" s="1"/>
  <c r="AZ76" i="10" a="1"/>
  <c r="AZ76" i="10" s="1"/>
  <c r="AX76" i="10" s="1"/>
  <c r="BB76" i="10" s="1"/>
  <c r="AZ9" i="10" a="1"/>
  <c r="AZ9" i="10" s="1"/>
  <c r="AX9" i="10" s="1"/>
  <c r="BB9" i="10" s="1"/>
  <c r="AZ252" i="10" a="1"/>
  <c r="AZ252" i="10" s="1"/>
  <c r="AX252" i="10" s="1"/>
  <c r="BB252" i="10" s="1"/>
  <c r="AZ282" i="10" a="1"/>
  <c r="AZ282" i="10" s="1"/>
  <c r="AX282" i="10" s="1"/>
  <c r="BB282" i="10" s="1"/>
  <c r="AZ27" i="10" a="1"/>
  <c r="AZ27" i="10" s="1"/>
  <c r="AX27" i="10" s="1"/>
  <c r="BB27" i="10" s="1"/>
  <c r="AZ317" i="10" a="1"/>
  <c r="AZ317" i="10" s="1"/>
  <c r="AX317" i="10" s="1"/>
  <c r="BB317" i="10" s="1"/>
  <c r="AZ173" i="10" a="1"/>
  <c r="AZ173" i="10" s="1"/>
  <c r="AX173" i="10" s="1"/>
  <c r="BB173" i="10" s="1"/>
  <c r="AZ235" i="10" a="1"/>
  <c r="AZ235" i="10" s="1"/>
  <c r="AX235" i="10" s="1"/>
  <c r="BB235" i="10" s="1"/>
  <c r="AZ91" i="10" a="1"/>
  <c r="AZ91" i="10" s="1"/>
  <c r="AX91" i="10" s="1"/>
  <c r="BB91" i="10" s="1"/>
  <c r="AZ75" i="10" a="1"/>
  <c r="AZ75" i="10" s="1"/>
  <c r="AX75" i="10" s="1"/>
  <c r="BB75" i="10" s="1"/>
  <c r="AZ44" i="10" a="1"/>
  <c r="AZ44" i="10" s="1"/>
  <c r="AX44" i="10" s="1"/>
  <c r="BB44" i="10" s="1"/>
  <c r="AZ224" i="10" a="1"/>
  <c r="AZ224" i="10" s="1"/>
  <c r="AX224" i="10" s="1"/>
  <c r="BB224" i="10" s="1"/>
  <c r="AZ266" i="10" a="1"/>
  <c r="AZ266" i="10" s="1"/>
  <c r="AX266" i="10" s="1"/>
  <c r="BB266" i="10" s="1"/>
  <c r="AZ222" i="10" a="1"/>
  <c r="AZ222" i="10" s="1"/>
  <c r="AX222" i="10" s="1"/>
  <c r="BB222" i="10" s="1"/>
  <c r="AZ157" i="10" a="1"/>
  <c r="AZ157" i="10" s="1"/>
  <c r="AX157" i="10" s="1"/>
  <c r="BB157" i="10" s="1"/>
  <c r="AZ122" i="10" a="1"/>
  <c r="AZ122" i="10" s="1"/>
  <c r="AX122" i="10" s="1"/>
  <c r="BB122" i="10" s="1"/>
  <c r="AZ204" i="10" a="1"/>
  <c r="AZ204" i="10" s="1"/>
  <c r="AX204" i="10" s="1"/>
  <c r="BB204" i="10" s="1"/>
  <c r="AZ25" i="10" a="1"/>
  <c r="AZ25" i="10" s="1"/>
  <c r="AX25" i="10" s="1"/>
  <c r="BB25" i="10" s="1"/>
  <c r="AZ272" i="10" a="1"/>
  <c r="AZ272" i="10" s="1"/>
  <c r="AX272" i="10" s="1"/>
  <c r="BB272" i="10" s="1"/>
  <c r="AZ160" i="10" a="1"/>
  <c r="AZ160" i="10" s="1"/>
  <c r="AX160" i="10" s="1"/>
  <c r="BB160" i="10" s="1"/>
  <c r="AZ237" i="10" a="1"/>
  <c r="AZ237" i="10" s="1"/>
  <c r="AX237" i="10" s="1"/>
  <c r="BB237" i="10" s="1"/>
  <c r="AZ169" i="10" a="1"/>
  <c r="AZ169" i="10" s="1"/>
  <c r="AX169" i="10" s="1"/>
  <c r="BB169" i="10" s="1"/>
  <c r="AZ318" i="10" a="1"/>
  <c r="AZ318" i="10" s="1"/>
  <c r="AX318" i="10" s="1"/>
  <c r="BB318" i="10" s="1"/>
  <c r="AZ300" i="10" a="1"/>
  <c r="AZ300" i="10" s="1"/>
  <c r="AX300" i="10" s="1"/>
  <c r="BB300" i="10" s="1"/>
  <c r="AZ283" i="10" a="1"/>
  <c r="AZ283" i="10" s="1"/>
  <c r="AX283" i="10" s="1"/>
  <c r="BB283" i="10" s="1"/>
  <c r="AZ297" i="10" a="1"/>
  <c r="AZ297" i="10" s="1"/>
  <c r="AX297" i="10" s="1"/>
  <c r="BB297" i="10" s="1"/>
  <c r="AZ191" i="10" a="1"/>
  <c r="AZ191" i="10" s="1"/>
  <c r="AX191" i="10" s="1"/>
  <c r="BB191" i="10" s="1"/>
  <c r="AZ126" i="10" a="1"/>
  <c r="AZ126" i="10" s="1"/>
  <c r="AX126" i="10" s="1"/>
  <c r="BB126" i="10" s="1"/>
  <c r="I284" i="8"/>
  <c r="J284" i="8" s="1"/>
  <c r="AZ29" i="10" a="1"/>
  <c r="AZ29" i="10" s="1"/>
  <c r="AX29" i="10" s="1"/>
  <c r="BB29" i="10" s="1"/>
  <c r="AZ288" i="10" a="1"/>
  <c r="AZ288" i="10" s="1"/>
  <c r="AX288" i="10" s="1"/>
  <c r="BB288" i="10" s="1"/>
  <c r="AZ63" i="10" a="1"/>
  <c r="AZ63" i="10" s="1"/>
  <c r="AX63" i="10" s="1"/>
  <c r="BB63" i="10" s="1"/>
  <c r="AZ159" i="10" a="1"/>
  <c r="AZ159" i="10" s="1"/>
  <c r="AX159" i="10" s="1"/>
  <c r="BB159" i="10" s="1"/>
  <c r="AZ349" i="10" a="1"/>
  <c r="AZ349" i="10" s="1"/>
  <c r="AZ155" i="10" a="1"/>
  <c r="AZ155" i="10" s="1"/>
  <c r="AX155" i="10" s="1"/>
  <c r="BB155" i="10" s="1"/>
  <c r="AZ32" i="10" a="1"/>
  <c r="AZ32" i="10" s="1"/>
  <c r="AX32" i="10" s="1"/>
  <c r="BB32" i="10" s="1"/>
  <c r="C16" i="1" s="1"/>
  <c r="H16" i="1" s="1"/>
  <c r="AZ249" i="10" a="1"/>
  <c r="AZ249" i="10" s="1"/>
  <c r="AX249" i="10" s="1"/>
  <c r="BB249" i="10" s="1"/>
  <c r="AZ153" i="10" a="1"/>
  <c r="AZ153" i="10" s="1"/>
  <c r="AX153" i="10" s="1"/>
  <c r="BB153" i="10" s="1"/>
  <c r="AZ207" i="10" a="1"/>
  <c r="AZ207" i="10" s="1"/>
  <c r="AX207" i="10" s="1"/>
  <c r="BB207" i="10" s="1"/>
  <c r="AZ45" i="10" a="1"/>
  <c r="AZ45" i="10" s="1"/>
  <c r="AX45" i="10" s="1"/>
  <c r="BB45" i="10" s="1"/>
  <c r="AZ314" i="10" a="1"/>
  <c r="AZ314" i="10" s="1"/>
  <c r="AX314" i="10" s="1"/>
  <c r="BB314" i="10" s="1"/>
  <c r="AZ238" i="10" a="1"/>
  <c r="AZ238" i="10" s="1"/>
  <c r="AX238" i="10" s="1"/>
  <c r="BB238" i="10" s="1"/>
  <c r="AZ219" i="10" a="1"/>
  <c r="AZ219" i="10" s="1"/>
  <c r="AX219" i="10" s="1"/>
  <c r="BB219" i="10" s="1"/>
  <c r="AZ106" i="10" a="1"/>
  <c r="AZ106" i="10" s="1"/>
  <c r="AX106" i="10" s="1"/>
  <c r="BB106" i="10" s="1"/>
  <c r="AZ331" i="10" a="1"/>
  <c r="AZ331" i="10" s="1"/>
  <c r="AX331" i="10" s="1"/>
  <c r="BB331" i="10" s="1"/>
  <c r="AZ107" i="10" a="1"/>
  <c r="AZ107" i="10" s="1"/>
  <c r="AX107" i="10" s="1"/>
  <c r="BB107" i="10" s="1"/>
  <c r="AZ172" i="10" a="1"/>
  <c r="AZ172" i="10" s="1"/>
  <c r="AX172" i="10" s="1"/>
  <c r="BB172" i="10" s="1"/>
  <c r="AZ127" i="10" a="1"/>
  <c r="AZ127" i="10" s="1"/>
  <c r="AX127" i="10" s="1"/>
  <c r="BB127" i="10" s="1"/>
  <c r="AZ313" i="10" a="1"/>
  <c r="AZ313" i="10" s="1"/>
  <c r="AX313" i="10" s="1"/>
  <c r="BB313" i="10" s="1"/>
  <c r="AZ48" i="10" a="1"/>
  <c r="AZ48" i="10" s="1"/>
  <c r="AX48" i="10" s="1"/>
  <c r="BB48" i="10" s="1"/>
  <c r="AZ284" i="10" a="1"/>
  <c r="AZ284" i="10" s="1"/>
  <c r="AX284" i="10" s="1"/>
  <c r="BB284" i="10" s="1"/>
  <c r="AZ336" i="10" a="1"/>
  <c r="AZ336" i="10" s="1"/>
  <c r="AX336" i="10" s="1"/>
  <c r="BB336" i="10" s="1"/>
  <c r="AZ12" i="10" a="1"/>
  <c r="AZ12" i="10" s="1"/>
  <c r="AX12" i="10" s="1"/>
  <c r="BB12" i="10" s="1"/>
  <c r="AZ123" i="10" a="1"/>
  <c r="AZ123" i="10" s="1"/>
  <c r="AX123" i="10" s="1"/>
  <c r="BB123" i="10" s="1"/>
  <c r="AZ14" i="10" a="1"/>
  <c r="AZ14" i="10" s="1"/>
  <c r="AX14" i="10" s="1"/>
  <c r="BB14" i="10" s="1"/>
  <c r="AZ137" i="10" a="1"/>
  <c r="AZ137" i="10" s="1"/>
  <c r="AX137" i="10" s="1"/>
  <c r="BB137" i="10" s="1"/>
  <c r="AZ250" i="10" a="1"/>
  <c r="AZ250" i="10" s="1"/>
  <c r="AX250" i="10" s="1"/>
  <c r="BB250" i="10" s="1"/>
  <c r="AZ268" i="10" a="1"/>
  <c r="AZ268" i="10" s="1"/>
  <c r="AX268" i="10" s="1"/>
  <c r="BB268" i="10" s="1"/>
  <c r="D284" i="8"/>
  <c r="K284" i="8"/>
  <c r="AG284" i="8" s="1"/>
  <c r="G284" i="8"/>
  <c r="H284" i="8"/>
  <c r="F284" i="8"/>
  <c r="AZ301" i="10" a="1"/>
  <c r="AZ301" i="10" s="1"/>
  <c r="AX301" i="10" s="1"/>
  <c r="BB301" i="10" s="1"/>
  <c r="D285" i="8"/>
  <c r="I285" i="8"/>
  <c r="J285" i="8" s="1"/>
  <c r="G285" i="8"/>
  <c r="K285" i="8"/>
  <c r="AG285" i="8" s="1"/>
  <c r="AH285" i="8" s="1"/>
  <c r="E285" i="8"/>
  <c r="F285" i="8"/>
  <c r="F282" i="8"/>
  <c r="I282" i="8"/>
  <c r="J282" i="8" s="1"/>
  <c r="D282" i="8"/>
  <c r="I283" i="8"/>
  <c r="J283" i="8" s="1"/>
  <c r="C25" i="56"/>
  <c r="D283" i="8"/>
  <c r="K283" i="8"/>
  <c r="AG283" i="8" s="1"/>
  <c r="AH283" i="8" s="1"/>
  <c r="H283" i="8"/>
  <c r="AZ189" i="10" a="1"/>
  <c r="AZ189" i="10" s="1"/>
  <c r="AX189" i="10" s="1"/>
  <c r="BB189" i="10" s="1"/>
  <c r="AZ332" i="10" a="1"/>
  <c r="AZ332" i="10" s="1"/>
  <c r="AX332" i="10" s="1"/>
  <c r="BB332" i="10" s="1"/>
  <c r="E286" i="8"/>
  <c r="G286" i="8"/>
  <c r="F286" i="8"/>
  <c r="I286" i="8"/>
  <c r="J286" i="8" s="1"/>
  <c r="K286" i="8"/>
  <c r="AG286" i="8" s="1"/>
  <c r="AH286" i="8" s="1"/>
  <c r="H286" i="8"/>
  <c r="F283" i="8"/>
  <c r="G283" i="8"/>
  <c r="G282" i="8"/>
  <c r="H282" i="8"/>
  <c r="K282" i="8"/>
  <c r="AG282" i="8" s="1"/>
  <c r="AH282" i="8" s="1"/>
  <c r="AZ255" i="10" a="1"/>
  <c r="AZ255" i="10" s="1"/>
  <c r="AX255" i="10" s="1"/>
  <c r="BB255" i="10" s="1"/>
  <c r="AZ270" i="10" a="1"/>
  <c r="AZ270" i="10" s="1"/>
  <c r="AX270" i="10" s="1"/>
  <c r="BB270" i="10" s="1"/>
  <c r="AZ10" i="10" a="1"/>
  <c r="AZ10" i="10" s="1"/>
  <c r="AX10" i="10" s="1"/>
  <c r="BB10" i="10" s="1"/>
  <c r="AZ175" i="10" a="1"/>
  <c r="AZ175" i="10" s="1"/>
  <c r="AX175" i="10" s="1"/>
  <c r="BB175" i="10" s="1"/>
  <c r="AZ31" i="10" a="1"/>
  <c r="AZ31" i="10" s="1"/>
  <c r="AX31" i="10" s="1"/>
  <c r="BB31" i="10" s="1"/>
  <c r="AZ121" i="10" a="1"/>
  <c r="AZ121" i="10" s="1"/>
  <c r="AX121" i="10" s="1"/>
  <c r="BB121" i="10" s="1"/>
  <c r="AZ112" i="10" a="1"/>
  <c r="AZ112" i="10" s="1"/>
  <c r="AX112" i="10" s="1"/>
  <c r="BB112" i="10" s="1"/>
  <c r="AZ206" i="10" a="1"/>
  <c r="AZ206" i="10" s="1"/>
  <c r="AX206" i="10" s="1"/>
  <c r="BB206" i="10" s="1"/>
  <c r="AZ346" i="10" a="1"/>
  <c r="AZ346" i="10" s="1"/>
  <c r="AZ90" i="10" a="1"/>
  <c r="AZ90" i="10" s="1"/>
  <c r="AX90" i="10" s="1"/>
  <c r="BB90" i="10" s="1"/>
  <c r="AZ320" i="10" a="1"/>
  <c r="AZ320" i="10" s="1"/>
  <c r="AX320" i="10" s="1"/>
  <c r="BB320" i="10" s="1"/>
  <c r="AZ80" i="10" a="1"/>
  <c r="AZ80" i="10" s="1"/>
  <c r="AX80" i="10" s="1"/>
  <c r="BB80" i="10" s="1"/>
  <c r="AZ236" i="10" a="1"/>
  <c r="AZ236" i="10" s="1"/>
  <c r="AX236" i="10" s="1"/>
  <c r="BB236" i="10" s="1"/>
  <c r="AZ271" i="10" a="1"/>
  <c r="AZ271" i="10" s="1"/>
  <c r="AX271" i="10" s="1"/>
  <c r="BB271" i="10" s="1"/>
  <c r="AZ42" i="10" a="1"/>
  <c r="AZ42" i="10" s="1"/>
  <c r="AX42" i="10" s="1"/>
  <c r="BB42" i="10" s="1"/>
  <c r="AZ333" i="10" a="1"/>
  <c r="AZ333" i="10" s="1"/>
  <c r="AX333" i="10" s="1"/>
  <c r="BB333" i="10" s="1"/>
  <c r="AZ13" i="10" a="1"/>
  <c r="AZ13" i="10" s="1"/>
  <c r="AX13" i="10" s="1"/>
  <c r="BB13" i="10" s="1"/>
  <c r="AZ287" i="10" a="1"/>
  <c r="AZ287" i="10" s="1"/>
  <c r="AX287" i="10" s="1"/>
  <c r="BB287" i="10" s="1"/>
  <c r="AZ144" i="10" a="1"/>
  <c r="AZ144" i="10" s="1"/>
  <c r="AX144" i="10" s="1"/>
  <c r="BB144" i="10" s="1"/>
  <c r="AZ345" i="10" a="1"/>
  <c r="AZ345" i="10" s="1"/>
  <c r="AZ203" i="10" a="1"/>
  <c r="AZ203" i="10" s="1"/>
  <c r="AX203" i="10" s="1"/>
  <c r="BB203" i="10" s="1"/>
  <c r="K297" i="8"/>
  <c r="AG297" i="8" s="1"/>
  <c r="AH297" i="8" s="1"/>
  <c r="I297" i="8"/>
  <c r="J297" i="8" s="1"/>
  <c r="F297" i="8"/>
  <c r="G297" i="8"/>
  <c r="H297" i="8"/>
  <c r="E297" i="8"/>
  <c r="D297" i="8"/>
  <c r="M303" i="8"/>
  <c r="M302" i="8"/>
  <c r="I299" i="8"/>
  <c r="J299" i="8" s="1"/>
  <c r="D299" i="8"/>
  <c r="K299" i="8"/>
  <c r="AG299" i="8" s="1"/>
  <c r="AH299" i="8" s="1"/>
  <c r="F299" i="8"/>
  <c r="E299" i="8"/>
  <c r="G299" i="8"/>
  <c r="H299" i="8"/>
  <c r="M288" i="8"/>
  <c r="M289" i="8"/>
  <c r="C19" i="56"/>
  <c r="D296" i="8"/>
  <c r="K296" i="8"/>
  <c r="AG296" i="8" s="1"/>
  <c r="AH296" i="8" s="1"/>
  <c r="I296" i="8"/>
  <c r="J296" i="8" s="1"/>
  <c r="E296" i="8"/>
  <c r="F296" i="8"/>
  <c r="H296" i="8"/>
  <c r="G296" i="8"/>
  <c r="M298" i="8"/>
  <c r="M299" i="8"/>
  <c r="M296" i="8"/>
  <c r="M300" i="8"/>
  <c r="M297" i="8"/>
  <c r="K300" i="8"/>
  <c r="AG300" i="8" s="1"/>
  <c r="AH300" i="8" s="1"/>
  <c r="D300" i="8"/>
  <c r="I300" i="8"/>
  <c r="J300" i="8" s="1"/>
  <c r="G300" i="8"/>
  <c r="F300" i="8"/>
  <c r="E300" i="8"/>
  <c r="H300" i="8"/>
  <c r="F298" i="8"/>
  <c r="D298" i="8"/>
  <c r="H298" i="8"/>
  <c r="E298" i="8"/>
  <c r="G298" i="8"/>
  <c r="K298" i="8"/>
  <c r="AG298" i="8" s="1"/>
  <c r="I298" i="8"/>
  <c r="J298" i="8" s="1"/>
  <c r="G403" i="8"/>
  <c r="G404" i="8" s="1"/>
  <c r="C416" i="8" s="1"/>
  <c r="AH284" i="8" l="1"/>
  <c r="C13" i="1"/>
  <c r="H13" i="1" s="1"/>
  <c r="C11" i="1"/>
  <c r="H11" i="1" s="1"/>
  <c r="C14" i="1"/>
  <c r="H14" i="1" s="1"/>
  <c r="C27" i="56"/>
  <c r="C28" i="56" s="1"/>
  <c r="C42" i="62"/>
  <c r="C15" i="1"/>
  <c r="H15" i="1" s="1"/>
  <c r="C12" i="1"/>
  <c r="H12" i="1" s="1"/>
  <c r="C9" i="1"/>
  <c r="H9" i="1" s="1"/>
  <c r="C10" i="1"/>
  <c r="H10" i="1" s="1"/>
  <c r="AG317" i="8"/>
  <c r="C78" i="56"/>
  <c r="AH298" i="8"/>
  <c r="AH317" i="8" s="1"/>
  <c r="C319" i="8"/>
  <c r="D332" i="8" s="1"/>
  <c r="C332" i="8" s="1"/>
  <c r="C423" i="8" s="1"/>
  <c r="C79" i="56"/>
  <c r="I26" i="1"/>
  <c r="C29" i="8"/>
  <c r="C438" i="8"/>
  <c r="C80" i="56"/>
  <c r="C43" i="62" l="1"/>
  <c r="C337" i="8" s="1"/>
  <c r="C428" i="8" s="1"/>
  <c r="H17" i="1"/>
  <c r="C320" i="8"/>
  <c r="C345" i="8" s="1"/>
  <c r="C86" i="56"/>
  <c r="C324" i="8" s="1"/>
  <c r="C327" i="8" s="1"/>
  <c r="C355" i="8" s="1"/>
  <c r="I23" i="1"/>
  <c r="C24" i="8"/>
  <c r="C44" i="62" l="1"/>
  <c r="D340" i="8"/>
  <c r="C344" i="8"/>
  <c r="C25" i="8"/>
  <c r="C342" i="8"/>
  <c r="C343" i="8"/>
  <c r="C341" i="8"/>
  <c r="C432" i="8" s="1"/>
  <c r="C90" i="56"/>
  <c r="C89" i="56"/>
  <c r="C333" i="8"/>
  <c r="C91" i="56"/>
  <c r="C92" i="56" s="1"/>
  <c r="C339" i="8"/>
  <c r="C354" i="8"/>
  <c r="C93" i="56" l="1"/>
  <c r="C346" i="8" s="1"/>
  <c r="C437" i="8" s="1"/>
  <c r="C331" i="8"/>
  <c r="C422" i="8" s="1"/>
  <c r="C340" i="8" l="1"/>
  <c r="C431" i="8" s="1"/>
  <c r="C439" i="8" s="1"/>
  <c r="C347" i="8" s="1"/>
  <c r="C440" i="8" s="1"/>
  <c r="C26" i="8" l="1"/>
  <c r="C356" i="8"/>
  <c r="C357" i="8"/>
  <c r="C413" i="8" s="1"/>
  <c r="C415" i="8" s="1"/>
  <c r="B28" i="8" l="1"/>
  <c r="I24" i="1"/>
  <c r="C27" i="8"/>
  <c r="C28" i="8"/>
  <c r="I25" i="1"/>
  <c r="C417" i="8"/>
  <c r="C96" i="56" l="1"/>
  <c r="C419" i="8"/>
  <c r="C32" i="8" s="1"/>
  <c r="C31" i="8"/>
  <c r="C30" i="8"/>
  <c r="C97" i="56"/>
  <c r="I27" i="1" l="1"/>
  <c r="B30" i="8"/>
  <c r="E4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56" authorId="0" shapeId="0" xr:uid="{00000000-0006-0000-0300-000001000000}">
      <text>
        <r>
          <rPr>
            <sz val="9"/>
            <color indexed="81"/>
            <rFont val="Tahoma"/>
            <family val="2"/>
          </rPr>
          <t xml:space="preserve">use_autosize
</t>
        </r>
      </text>
    </comment>
    <comment ref="B74" authorId="0" shapeId="0" xr:uid="{00000000-0006-0000-0300-000002000000}">
      <text>
        <r>
          <rPr>
            <sz val="9"/>
            <color indexed="81"/>
            <rFont val="Tahoma"/>
            <family val="2"/>
          </rPr>
          <t xml:space="preserve">use_autosizeA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
  <commentList>
    <comment ref="L35"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5" authorId="0" shapeId="0" xr:uid="{00000000-0006-0000-0400-000002000000}">
      <text>
        <r>
          <rPr>
            <b/>
            <sz val="9"/>
            <color indexed="81"/>
            <rFont val="Tahoma"/>
            <family val="2"/>
          </rPr>
          <t>Used internally</t>
        </r>
        <r>
          <rPr>
            <sz val="9"/>
            <color indexed="81"/>
            <rFont val="Tahoma"/>
            <family val="2"/>
          </rPr>
          <t xml:space="preserve">
</t>
        </r>
      </text>
    </comment>
    <comment ref="N35" authorId="1" shapeId="0" xr:uid="{00000000-0006-0000-0400-000003000000}">
      <text>
        <r>
          <rPr>
            <b/>
            <sz val="9"/>
            <color indexed="81"/>
            <rFont val="Tahoma"/>
            <family val="2"/>
          </rPr>
          <t>Used internally by the generate results macro to select components based on system size and component level.
Note: These cells contain formulae. To change the baseline priority selection, use the columns to the right.</t>
        </r>
        <r>
          <rPr>
            <sz val="8"/>
            <color indexed="81"/>
            <rFont val="Tahoma"/>
            <family val="2"/>
          </rPr>
          <t xml:space="preserve">
</t>
        </r>
      </text>
    </comment>
    <comment ref="W35" authorId="1" shapeId="0" xr:uid="{00000000-0006-0000-0400-000004000000}">
      <text>
        <r>
          <rPr>
            <b/>
            <sz val="9"/>
            <color indexed="81"/>
            <rFont val="Tahoma"/>
            <family val="2"/>
          </rPr>
          <t>Indicates which components are included in a retrofit scenario.</t>
        </r>
        <r>
          <rPr>
            <sz val="8"/>
            <color indexed="81"/>
            <rFont val="Tahoma"/>
            <family val="2"/>
          </rPr>
          <t xml:space="preserve">
</t>
        </r>
      </text>
    </comment>
    <comment ref="X35" authorId="1" shapeId="0" xr:uid="{00000000-0006-0000-0400-000005000000}">
      <text>
        <r>
          <rPr>
            <b/>
            <sz val="9"/>
            <color indexed="81"/>
            <rFont val="Tahoma"/>
            <family val="2"/>
          </rPr>
          <t>Used internally by the generate results macro to select components based on system size and component level.</t>
        </r>
      </text>
    </comment>
    <comment ref="AG35" authorId="0" shapeId="0" xr:uid="{00000000-0006-0000-0400-000006000000}">
      <text>
        <r>
          <rPr>
            <b/>
            <sz val="9"/>
            <color indexed="81"/>
            <rFont val="Tahoma"/>
            <family val="2"/>
          </rPr>
          <t>Used internally to calculate composite useful life for the entire system.</t>
        </r>
        <r>
          <rPr>
            <sz val="9"/>
            <color indexed="81"/>
            <rFont val="Tahoma"/>
            <family val="2"/>
          </rPr>
          <t xml:space="preserve">
</t>
        </r>
      </text>
    </comment>
    <comment ref="K49" authorId="0" shapeId="0" xr:uid="{00000000-0006-0000-0400-000007000000}">
      <text>
        <r>
          <rPr>
            <b/>
            <sz val="9"/>
            <color indexed="81"/>
            <rFont val="Tahoma"/>
            <family val="2"/>
          </rPr>
          <t>Replace at same time as basin concrete.</t>
        </r>
        <r>
          <rPr>
            <sz val="9"/>
            <color indexed="81"/>
            <rFont val="Tahoma"/>
            <family val="2"/>
          </rPr>
          <t xml:space="preserve">
</t>
        </r>
      </text>
    </comment>
    <comment ref="K50" authorId="0" shapeId="0" xr:uid="{00000000-0006-0000-0400-000008000000}">
      <text>
        <r>
          <rPr>
            <b/>
            <sz val="9"/>
            <color indexed="81"/>
            <rFont val="Tahoma"/>
            <family val="2"/>
          </rPr>
          <t>Replace at same time as basin concrete.</t>
        </r>
        <r>
          <rPr>
            <sz val="9"/>
            <color indexed="81"/>
            <rFont val="Tahoma"/>
            <family val="2"/>
          </rPr>
          <t xml:space="preserve">
</t>
        </r>
      </text>
    </comment>
    <comment ref="K94" authorId="0" shapeId="0" xr:uid="{00000000-0006-0000-0400-000009000000}">
      <text>
        <r>
          <rPr>
            <b/>
            <sz val="9"/>
            <color indexed="81"/>
            <rFont val="Tahoma"/>
            <family val="2"/>
          </rPr>
          <t>Replace at same time as selected pipe.</t>
        </r>
        <r>
          <rPr>
            <sz val="9"/>
            <color indexed="81"/>
            <rFont val="Tahoma"/>
            <family val="2"/>
          </rPr>
          <t xml:space="preserve">
</t>
        </r>
      </text>
    </comment>
    <comment ref="K95" authorId="0" shapeId="0" xr:uid="{00000000-0006-0000-0400-00000A000000}">
      <text>
        <r>
          <rPr>
            <b/>
            <sz val="9"/>
            <color indexed="81"/>
            <rFont val="Tahoma"/>
            <family val="2"/>
          </rPr>
          <t>Replace at same time as selected pipe.</t>
        </r>
        <r>
          <rPr>
            <sz val="9"/>
            <color indexed="81"/>
            <rFont val="Tahoma"/>
            <family val="2"/>
          </rPr>
          <t xml:space="preserve">
</t>
        </r>
      </text>
    </comment>
    <comment ref="K96" authorId="0" shapeId="0" xr:uid="{00000000-0006-0000-0400-00000B000000}">
      <text>
        <r>
          <rPr>
            <b/>
            <sz val="9"/>
            <color indexed="81"/>
            <rFont val="Tahoma"/>
            <family val="2"/>
          </rPr>
          <t>Replace at same time as selected pipe.</t>
        </r>
        <r>
          <rPr>
            <sz val="9"/>
            <color indexed="81"/>
            <rFont val="Tahoma"/>
            <family val="2"/>
          </rPr>
          <t xml:space="preserve">
</t>
        </r>
      </text>
    </comment>
    <comment ref="K97" authorId="0" shapeId="0" xr:uid="{00000000-0006-0000-0400-00000C000000}">
      <text>
        <r>
          <rPr>
            <b/>
            <sz val="9"/>
            <color indexed="81"/>
            <rFont val="Tahoma"/>
            <family val="2"/>
          </rPr>
          <t>Replace at same time as selected pipe.</t>
        </r>
        <r>
          <rPr>
            <sz val="9"/>
            <color indexed="81"/>
            <rFont val="Tahoma"/>
            <family val="2"/>
          </rPr>
          <t xml:space="preserve">
</t>
        </r>
      </text>
    </comment>
    <comment ref="K263" authorId="0" shapeId="0" xr:uid="{00000000-0006-0000-0400-00000D000000}">
      <text>
        <r>
          <rPr>
            <b/>
            <sz val="9"/>
            <color indexed="81"/>
            <rFont val="Tahoma"/>
            <family val="2"/>
          </rPr>
          <t>Replace at same time as septic tank.</t>
        </r>
        <r>
          <rPr>
            <sz val="9"/>
            <color indexed="81"/>
            <rFont val="Tahoma"/>
            <family val="2"/>
          </rPr>
          <t xml:space="preserve">
</t>
        </r>
      </text>
    </comment>
    <comment ref="K266" authorId="0" shapeId="0" xr:uid="{00000000-0006-0000-0400-00000E000000}">
      <text>
        <r>
          <rPr>
            <b/>
            <sz val="9"/>
            <color indexed="81"/>
            <rFont val="Tahoma"/>
            <family val="2"/>
          </rPr>
          <t>Replace at same time as distribution pipe.</t>
        </r>
        <r>
          <rPr>
            <sz val="9"/>
            <color indexed="81"/>
            <rFont val="Tahoma"/>
            <family val="2"/>
          </rPr>
          <t xml:space="preserve">
</t>
        </r>
      </text>
    </comment>
    <comment ref="K267" authorId="0" shapeId="0" xr:uid="{00000000-0006-0000-0400-00000F000000}">
      <text>
        <r>
          <rPr>
            <b/>
            <sz val="9"/>
            <color indexed="81"/>
            <rFont val="Tahoma"/>
            <family val="2"/>
          </rPr>
          <t>Replace at same time as distribution pipe.</t>
        </r>
        <r>
          <rPr>
            <sz val="9"/>
            <color indexed="81"/>
            <rFont val="Tahoma"/>
            <family val="2"/>
          </rPr>
          <t xml:space="preserve">
</t>
        </r>
      </text>
    </comment>
    <comment ref="K271" authorId="0" shapeId="0" xr:uid="{00000000-0006-0000-0400-000010000000}">
      <text>
        <r>
          <rPr>
            <b/>
            <sz val="9"/>
            <color indexed="81"/>
            <rFont val="Tahoma"/>
            <family val="2"/>
          </rPr>
          <t>Replace at same time as liner.</t>
        </r>
        <r>
          <rPr>
            <sz val="9"/>
            <color indexed="81"/>
            <rFont val="Tahoma"/>
            <family val="2"/>
          </rPr>
          <t xml:space="preserve">
</t>
        </r>
      </text>
    </comment>
    <comment ref="K272" authorId="0" shapeId="0" xr:uid="{00000000-0006-0000-0400-000011000000}">
      <text>
        <r>
          <rPr>
            <b/>
            <sz val="9"/>
            <color indexed="81"/>
            <rFont val="Tahoma"/>
            <family val="2"/>
          </rPr>
          <t>Replace at same time as liner.</t>
        </r>
        <r>
          <rPr>
            <sz val="9"/>
            <color indexed="81"/>
            <rFont val="Tahoma"/>
            <family val="2"/>
          </rPr>
          <t xml:space="preserve">
</t>
        </r>
      </text>
    </comment>
    <comment ref="K274" authorId="0" shapeId="0" xr:uid="{00000000-0006-0000-0400-000012000000}">
      <text>
        <r>
          <rPr>
            <b/>
            <sz val="9"/>
            <color indexed="81"/>
            <rFont val="Tahoma"/>
            <family val="2"/>
          </rPr>
          <t>Replace at same time as liner.</t>
        </r>
        <r>
          <rPr>
            <sz val="9"/>
            <color indexed="81"/>
            <rFont val="Tahoma"/>
            <family val="2"/>
          </rPr>
          <t xml:space="preserve">
</t>
        </r>
      </text>
    </comment>
    <comment ref="H363" authorId="0" shapeId="0" xr:uid="{00000000-0006-0000-0400-000013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21" authorId="0" shapeId="0" xr:uid="{00000000-0006-0000-0400-000014000000}">
      <text>
        <r>
          <rPr>
            <b/>
            <sz val="9"/>
            <color indexed="81"/>
            <rFont val="Tahoma"/>
            <family val="2"/>
          </rPr>
          <t>The rows below are used internally</t>
        </r>
      </text>
    </comment>
    <comment ref="B442" authorId="0" shapeId="0" xr:uid="{00000000-0006-0000-0400-000015000000}">
      <text>
        <r>
          <rPr>
            <b/>
            <sz val="9"/>
            <color indexed="81"/>
            <rFont val="Tahoma"/>
            <family val="2"/>
          </rPr>
          <t>Values to the right are used internally for error checking</t>
        </r>
        <r>
          <rPr>
            <sz val="9"/>
            <color indexed="81"/>
            <rFont val="Tahoma"/>
            <family val="2"/>
          </rPr>
          <t xml:space="preserve">
</t>
        </r>
      </text>
    </comment>
    <comment ref="B443" authorId="0" shapeId="0" xr:uid="{00000000-0006-0000-0400-000016000000}">
      <text>
        <r>
          <rPr>
            <b/>
            <sz val="9"/>
            <color indexed="81"/>
            <rFont val="Tahoma"/>
            <family val="2"/>
          </rPr>
          <t>Values to the right are used internally for error checking</t>
        </r>
        <r>
          <rPr>
            <sz val="9"/>
            <color indexed="81"/>
            <rFont val="Tahoma"/>
            <family val="2"/>
          </rPr>
          <t xml:space="preserve">
</t>
        </r>
      </text>
    </comment>
    <comment ref="B444" authorId="0" shapeId="0" xr:uid="{00000000-0006-0000-0400-000017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266" authorId="1" shapeId="0" xr:uid="{00000000-0006-0000-0700-000003000000}">
      <text>
        <r>
          <rPr>
            <b/>
            <sz val="9"/>
            <color indexed="81"/>
            <rFont val="Tahoma"/>
            <family val="2"/>
          </rPr>
          <t>Internal Use</t>
        </r>
        <r>
          <rPr>
            <sz val="9"/>
            <color indexed="81"/>
            <rFont val="Tahoma"/>
            <family val="2"/>
          </rPr>
          <t xml:space="preserve">
</t>
        </r>
      </text>
    </comment>
    <comment ref="C266" authorId="1" shapeId="0" xr:uid="{00000000-0006-0000-0700-000004000000}">
      <text>
        <r>
          <rPr>
            <b/>
            <sz val="9"/>
            <color indexed="81"/>
            <rFont val="Tahoma"/>
            <family val="2"/>
          </rPr>
          <t>Users may change values in this column to reflect differing degrees of automation</t>
        </r>
      </text>
    </comment>
    <comment ref="D266" authorId="1" shapeId="0" xr:uid="{00000000-0006-0000-07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266" authorId="1" shapeId="0" xr:uid="{00000000-0006-0000-07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295" authorId="1" shapeId="0" xr:uid="{00000000-0006-0000-0700-000007000000}">
      <text>
        <r>
          <rPr>
            <b/>
            <sz val="9"/>
            <color indexed="81"/>
            <rFont val="Tahoma"/>
            <family val="2"/>
          </rPr>
          <t>Internal Use</t>
        </r>
        <r>
          <rPr>
            <sz val="9"/>
            <color indexed="81"/>
            <rFont val="Tahoma"/>
            <family val="2"/>
          </rPr>
          <t xml:space="preserve">
</t>
        </r>
      </text>
    </comment>
    <comment ref="C295" authorId="1" shapeId="0" xr:uid="{00000000-0006-0000-0700-000008000000}">
      <text>
        <r>
          <rPr>
            <b/>
            <sz val="9"/>
            <color indexed="81"/>
            <rFont val="Tahoma"/>
            <family val="2"/>
          </rPr>
          <t>Users may change values in this column to reflect differing degrees of automation</t>
        </r>
      </text>
    </comment>
    <comment ref="D295" authorId="1" shapeId="0" xr:uid="{00000000-0006-0000-07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295" authorId="1" shapeId="0" xr:uid="{00000000-0006-0000-07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295" authorId="1" shapeId="0" xr:uid="{00000000-0006-0000-07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rgb="FF000000"/>
            <rFont val="Tahoma"/>
            <family val="2"/>
          </rPr>
          <t>Internal use</t>
        </r>
      </text>
    </comment>
    <comment ref="C3" authorId="1" shapeId="0" xr:uid="{00000000-0006-0000-0F00-000002000000}">
      <text>
        <r>
          <rPr>
            <b/>
            <sz val="9"/>
            <color rgb="FF000000"/>
            <rFont val="Tahoma"/>
            <family val="2"/>
          </rPr>
          <t>The cells in this column contain formulae with the function of calculating the item identified in column A</t>
        </r>
        <r>
          <rPr>
            <sz val="9"/>
            <color rgb="FF000000"/>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Users may change any of the cells in the Value column</t>
        </r>
        <r>
          <rPr>
            <sz val="9"/>
            <color indexed="81"/>
            <rFont val="Tahoma"/>
            <family val="2"/>
          </rPr>
          <t xml:space="preserve">
</t>
        </r>
      </text>
    </comment>
    <comment ref="B112" authorId="0" shapeId="0" xr:uid="{00000000-0006-0000-0900-000003000000}">
      <text>
        <r>
          <rPr>
            <b/>
            <sz val="9"/>
            <color indexed="81"/>
            <rFont val="Tahoma"/>
            <family val="2"/>
          </rPr>
          <t>Internal use</t>
        </r>
      </text>
    </comment>
    <comment ref="B124" authorId="0" shapeId="0" xr:uid="{00000000-0006-0000-0900-000004000000}">
      <text>
        <r>
          <rPr>
            <b/>
            <sz val="9"/>
            <color indexed="81"/>
            <rFont val="Tahoma"/>
            <family val="2"/>
          </rPr>
          <t>Internal use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B00-000001000000}">
      <text>
        <r>
          <rPr>
            <b/>
            <sz val="9"/>
            <color indexed="81"/>
            <rFont val="Tahoma"/>
            <family val="2"/>
          </rPr>
          <t>Internal use</t>
        </r>
      </text>
    </comment>
    <comment ref="C4"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2" authorId="1" shapeId="0" xr:uid="{00000000-0006-0000-0B00-000003000000}">
      <text>
        <r>
          <rPr>
            <b/>
            <sz val="9"/>
            <color indexed="81"/>
            <rFont val="Tahoma"/>
            <family val="2"/>
          </rPr>
          <t>Automatically populated by the drop-down on the Input sheet</t>
        </r>
        <r>
          <rPr>
            <sz val="9"/>
            <color indexed="81"/>
            <rFont val="Tahoma"/>
            <family val="2"/>
          </rPr>
          <t xml:space="preserve">
</t>
        </r>
      </text>
    </comment>
    <comment ref="C13" authorId="1" shapeId="0" xr:uid="{00000000-0006-0000-0B00-000004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00000000-0006-0000-0E00-000003000000}">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6" authorId="2" shapeId="0" xr:uid="{00000000-0006-0000-1100-000003000000}">
      <text>
        <r>
          <rPr>
            <b/>
            <sz val="9"/>
            <color indexed="81"/>
            <rFont val="Tahoma"/>
            <family val="2"/>
          </rPr>
          <t>Unlike the other figures in this column, this one does not include capital cost; that is included in the annual cost of cooling.</t>
        </r>
      </text>
    </comment>
    <comment ref="B130" authorId="2" shapeId="0" xr:uid="{00000000-0006-0000-1100-000004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AX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C16" authorId="0" shapeId="0" xr:uid="{00000000-0006-0000-1400-000001000000}">
      <text>
        <r>
          <rPr>
            <b/>
            <sz val="9"/>
            <color indexed="81"/>
            <rFont val="Tahoma"/>
            <family val="2"/>
          </rPr>
          <t>This equation is the sum of the parts above.</t>
        </r>
        <r>
          <rPr>
            <sz val="9"/>
            <color indexed="81"/>
            <rFont val="Tahoma"/>
            <family val="2"/>
          </rPr>
          <t xml:space="preserve">
</t>
        </r>
      </text>
    </comment>
    <comment ref="D180" authorId="0" shapeId="0" xr:uid="{00000000-0006-0000-1400-000002000000}">
      <text>
        <r>
          <rPr>
            <b/>
            <sz val="9"/>
            <color indexed="81"/>
            <rFont val="Tahoma"/>
            <family val="2"/>
          </rPr>
          <t>This equation is implemented differently than others. The difference is intentional.</t>
        </r>
        <r>
          <rPr>
            <sz val="9"/>
            <color indexed="81"/>
            <rFont val="Tahoma"/>
            <family val="2"/>
          </rPr>
          <t xml:space="preserve">
</t>
        </r>
      </text>
    </comment>
    <comment ref="D196" authorId="0" shapeId="0" xr:uid="{00000000-0006-0000-1400-000003000000}">
      <text>
        <r>
          <rPr>
            <b/>
            <sz val="9"/>
            <color indexed="81"/>
            <rFont val="Tahoma"/>
            <family val="2"/>
          </rPr>
          <t>This equation is implemented differently than others. The difference is intentional.</t>
        </r>
        <r>
          <rPr>
            <sz val="9"/>
            <color indexed="81"/>
            <rFont val="Tahoma"/>
            <family val="2"/>
          </rPr>
          <t xml:space="preserve">
</t>
        </r>
      </text>
    </comment>
    <comment ref="D197" authorId="0" shapeId="0" xr:uid="{00000000-0006-0000-1400-000004000000}">
      <text>
        <r>
          <rPr>
            <b/>
            <sz val="9"/>
            <color indexed="81"/>
            <rFont val="Tahoma"/>
            <family val="2"/>
          </rPr>
          <t>This equation is implemented differently than others. The difference is intentional.</t>
        </r>
        <r>
          <rPr>
            <sz val="9"/>
            <color indexed="81"/>
            <rFont val="Tahoma"/>
            <family val="2"/>
          </rPr>
          <t xml:space="preserve">
</t>
        </r>
      </text>
    </comment>
    <comment ref="D198" authorId="0" shapeId="0" xr:uid="{00000000-0006-0000-1400-000005000000}">
      <text>
        <r>
          <rPr>
            <b/>
            <sz val="9"/>
            <color indexed="81"/>
            <rFont val="Tahoma"/>
            <family val="2"/>
          </rPr>
          <t>This equation is implemented differently than others. The difference is intentional.</t>
        </r>
        <r>
          <rPr>
            <sz val="9"/>
            <color indexed="81"/>
            <rFont val="Tahoma"/>
            <family val="2"/>
          </rPr>
          <t xml:space="preserve">
</t>
        </r>
      </text>
    </comment>
    <comment ref="D199" authorId="0" shapeId="0" xr:uid="{00000000-0006-0000-1400-000006000000}">
      <text>
        <r>
          <rPr>
            <b/>
            <sz val="9"/>
            <color indexed="81"/>
            <rFont val="Tahoma"/>
            <family val="2"/>
          </rPr>
          <t>This equation is implemented differently than others. The difference is intentional.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<sst xmlns="http://schemas.openxmlformats.org/spreadsheetml/2006/main" count="13253" uniqueCount="4652">
  <si>
    <t>Number of MOVs for backwash line</t>
  </si>
  <si>
    <t>tot_back_chv</t>
  </si>
  <si>
    <t>in_meter_size</t>
  </si>
  <si>
    <t>Size of flow meters for process line</t>
  </si>
  <si>
    <t>proc_meter_size</t>
  </si>
  <si>
    <t>Number of check valves on backwash line if no backwash pumps</t>
  </si>
  <si>
    <t>back_chv_no_back</t>
  </si>
  <si>
    <t>Number of motor/air operated control valves on backwash line if no backwash pumps</t>
  </si>
  <si>
    <t>back_MOV_no_back</t>
  </si>
  <si>
    <t>WBS #</t>
  </si>
  <si>
    <t>Item</t>
  </si>
  <si>
    <t>Quantity</t>
  </si>
  <si>
    <t>Size used in estimate</t>
  </si>
  <si>
    <t>Unit Cost</t>
  </si>
  <si>
    <t>Total Cost</t>
  </si>
  <si>
    <t>Useful Life</t>
  </si>
  <si>
    <t>Pressure Vessels</t>
  </si>
  <si>
    <t>Stainless Steel</t>
  </si>
  <si>
    <t>Carbon Steel</t>
  </si>
  <si>
    <t>comm_vol_gal</t>
  </si>
  <si>
    <t>Tanks</t>
  </si>
  <si>
    <t>ventilation</t>
  </si>
  <si>
    <t>Buiding 1 length and width</t>
  </si>
  <si>
    <t>Maximum pump size</t>
  </si>
  <si>
    <t>max_pump_size</t>
  </si>
  <si>
    <t>Maximum backwash tank size</t>
  </si>
  <si>
    <t>max_back_tank_size</t>
  </si>
  <si>
    <t>Land Cost</t>
  </si>
  <si>
    <t>Backwash tank volume</t>
  </si>
  <si>
    <t>back_tank_vol</t>
  </si>
  <si>
    <t>Vessel surface area</t>
  </si>
  <si>
    <t>max_sa</t>
  </si>
  <si>
    <t>Maximum flow per vessel</t>
  </si>
  <si>
    <t>flow_per_vessel</t>
  </si>
  <si>
    <t>EBCT_tank</t>
  </si>
  <si>
    <t>Add coagulant to holding tank?</t>
  </si>
  <si>
    <t>coag_res</t>
  </si>
  <si>
    <t>&lt;-- 1 for yes, 0 for no</t>
  </si>
  <si>
    <t>comp_vert_min_number_a</t>
  </si>
  <si>
    <t>comp_nlines_extra_search_a</t>
  </si>
  <si>
    <t>comp_in_nlines_a</t>
  </si>
  <si>
    <t>target side length</t>
  </si>
  <si>
    <t>comp_length_width_a</t>
  </si>
  <si>
    <t>comp_bed_depth_a</t>
  </si>
  <si>
    <t>Annual heating degree days</t>
  </si>
  <si>
    <t>heat_DD</t>
  </si>
  <si>
    <t>Spent GAC storage (on-site only)</t>
  </si>
  <si>
    <t>spent_storage_bv</t>
  </si>
  <si>
    <t>Regenerated GAC storage (on-site only)</t>
  </si>
  <si>
    <t>regen_storage_bv</t>
  </si>
  <si>
    <t>pump_head</t>
  </si>
  <si>
    <t>pump_efficiency</t>
  </si>
  <si>
    <t>Number of redundant eductors</t>
  </si>
  <si>
    <t>NRD_eductors</t>
  </si>
  <si>
    <t>Maximum eductor size</t>
  </si>
  <si>
    <t>max_eductor_size</t>
  </si>
  <si>
    <t>The largest size for which costs are available.  Assumption used only if tanks are used.</t>
  </si>
  <si>
    <t>Magnetic flow meter</t>
  </si>
  <si>
    <t>flow_mag</t>
  </si>
  <si>
    <t>Orifice plate flow meter</t>
  </si>
  <si>
    <t>flow_op</t>
  </si>
  <si>
    <t>Propeller flow meter</t>
  </si>
  <si>
    <t>flow_prop</t>
  </si>
  <si>
    <t>Venturi flow meter</t>
  </si>
  <si>
    <t>flow_ven</t>
  </si>
  <si>
    <t>Orifice Plate</t>
  </si>
  <si>
    <t>Propeller</t>
  </si>
  <si>
    <t>prop_fm_eq_in</t>
  </si>
  <si>
    <t>prop_fm_eq</t>
  </si>
  <si>
    <t>Venturi</t>
  </si>
  <si>
    <t>ven_fm_eq_in</t>
  </si>
  <si>
    <t>ven_fm_eq</t>
  </si>
  <si>
    <t>Magnetic</t>
  </si>
  <si>
    <t>mag_fm_eq_in</t>
  </si>
  <si>
    <t>mag_fm_eq</t>
  </si>
  <si>
    <t>Flow Meters - Process</t>
  </si>
  <si>
    <t>prop_fm_eq_proc</t>
  </si>
  <si>
    <t>ven_fm_eq_proc</t>
  </si>
  <si>
    <t>mag_fm_eq_proc</t>
  </si>
  <si>
    <t>Flow Meters - Backwash</t>
  </si>
  <si>
    <t>prop_fm_eq_back</t>
  </si>
  <si>
    <t>ven_fm_eq_back</t>
  </si>
  <si>
    <t>mag_fm_eq_back</t>
  </si>
  <si>
    <t>Flow Meters - Residuals</t>
  </si>
  <si>
    <t>prop_fm_eq_res</t>
  </si>
  <si>
    <t>ven_fm_eq_res</t>
  </si>
  <si>
    <t>mag_fm_eq_res</t>
  </si>
  <si>
    <t>6.2.1</t>
  </si>
  <si>
    <t>6.3.1</t>
  </si>
  <si>
    <t>6.4.1</t>
  </si>
  <si>
    <t>6.11</t>
  </si>
  <si>
    <t>6.12</t>
  </si>
  <si>
    <t>6.12.1</t>
  </si>
  <si>
    <t>6.13</t>
  </si>
  <si>
    <t>fm_lkp_io</t>
  </si>
  <si>
    <t>These codes are used to look up SCADA requirements, which depend on the type of flow meter selected.</t>
  </si>
  <si>
    <t>Flow meter lookup code - process</t>
  </si>
  <si>
    <t>fm_lkp_proc</t>
  </si>
  <si>
    <t>Flow meter lookup code - residuals</t>
  </si>
  <si>
    <t>fm_lkp_back</t>
  </si>
  <si>
    <t>fm_lkp_res</t>
  </si>
  <si>
    <t>Flow meter lookup code - backwash</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</si>
  <si>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</si>
  <si>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</si>
  <si>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</si>
  <si>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</si>
  <si>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</si>
  <si>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</si>
  <si>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</si>
  <si>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</si>
  <si>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</si>
  <si>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</si>
  <si>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</si>
  <si>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</si>
  <si>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</si>
  <si>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</si>
  <si>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</si>
  <si>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Use?</t>
  </si>
  <si>
    <t>lbs/day</t>
  </si>
  <si>
    <t>res_pipe_length</t>
  </si>
  <si>
    <t>ft</t>
  </si>
  <si>
    <t>Interval between backwashes</t>
  </si>
  <si>
    <t>back_interval</t>
  </si>
  <si>
    <t>Pipe length</t>
  </si>
  <si>
    <t>Residuals Discharge</t>
  </si>
  <si>
    <t>Vessel_thickness</t>
  </si>
  <si>
    <t>Thrust force</t>
  </si>
  <si>
    <t>thrust_force</t>
  </si>
  <si>
    <t>Bearing Area (L x H)</t>
  </si>
  <si>
    <t>L</t>
  </si>
  <si>
    <t>H</t>
  </si>
  <si>
    <t>F</t>
  </si>
  <si>
    <t>T</t>
  </si>
  <si>
    <t>bearing_area</t>
  </si>
  <si>
    <t>Pipe diameter with a minimum of 6 inches</t>
  </si>
  <si>
    <t>Thrust block volume</t>
  </si>
  <si>
    <t>block_vol</t>
  </si>
  <si>
    <t>Trench Volume Between Buildings</t>
  </si>
  <si>
    <t>Trench Volume to Distribution Network</t>
  </si>
  <si>
    <t xml:space="preserve"> </t>
  </si>
  <si>
    <t>Bedding depth below pipe</t>
  </si>
  <si>
    <t>bedding_depth</t>
  </si>
  <si>
    <t>Trench inside angle</t>
  </si>
  <si>
    <t>Manual system controls</t>
  </si>
  <si>
    <t>manual</t>
  </si>
  <si>
    <t>Quantities based on user-specified vessel dimensions</t>
  </si>
  <si>
    <t>Adjust bed depth constraints</t>
  </si>
  <si>
    <t>res_trn_depth</t>
  </si>
  <si>
    <t>res_thrust_force</t>
  </si>
  <si>
    <t>res_bearing_area</t>
  </si>
  <si>
    <t>res_block_vol</t>
  </si>
  <si>
    <t>Trench cross-section area</t>
  </si>
  <si>
    <t>res_trench_area</t>
  </si>
  <si>
    <t>Trench volume to discharge point</t>
  </si>
  <si>
    <t>Select to calculate costs for GAC as a pre- or post-treatment for another base technology (e.g., GAC polishing for UVAOP)</t>
  </si>
  <si>
    <t>Is this an add-on (pre- or post-treatment)</t>
  </si>
  <si>
    <t>add_on</t>
  </si>
  <si>
    <t>tot_in_man</t>
  </si>
  <si>
    <t>in_man</t>
  </si>
  <si>
    <t>in_man_addon</t>
  </si>
  <si>
    <t>Carbon Tetrachloride</t>
  </si>
  <si>
    <t>Benzene</t>
  </si>
  <si>
    <t>1,2-Dichloropropane</t>
  </si>
  <si>
    <t>1,2-Dichloroethane</t>
  </si>
  <si>
    <t>1,3-Butadiene</t>
  </si>
  <si>
    <t>1,1-Dichloroethane</t>
  </si>
  <si>
    <t>1,1,1,2-Tetrachloroethane</t>
  </si>
  <si>
    <t>1,1,2,2-Tetrachloroethane</t>
  </si>
  <si>
    <t>1,2,3-Trichloropropane</t>
  </si>
  <si>
    <t>Target Bed Depth (Gravity Designs &lt; 1MGD, UVAOP add-on)</t>
  </si>
  <si>
    <t>Target Bed Depth (Gravity Designs &gt; 1 MGD, UVAOP add-on)</t>
  </si>
  <si>
    <t>14.4</t>
  </si>
  <si>
    <t>14.3.1</t>
  </si>
  <si>
    <t>14.4.1</t>
  </si>
  <si>
    <t>14.5</t>
  </si>
  <si>
    <t>Building 1 Addition/Incremental Useage (Retrofit)</t>
  </si>
  <si>
    <t>Building 2 Addition/Incremental Useage (Retrofit)</t>
  </si>
  <si>
    <t>bldg_lo_eq_1_r</t>
  </si>
  <si>
    <t>bldg_mid_eq_1_r</t>
  </si>
  <si>
    <t>bldg_hi_eq_1_r</t>
  </si>
  <si>
    <t>bldg_lo_eq_2_r</t>
  </si>
  <si>
    <t>bldg_mid_eq_2_r</t>
  </si>
  <si>
    <t>bldg_hi_eq_2_r</t>
  </si>
  <si>
    <t>Building Lighting and Ventilation</t>
  </si>
  <si>
    <t>Building Lighting</t>
  </si>
  <si>
    <t>Design flow expressed in gpm</t>
  </si>
  <si>
    <t>Default inputs represent typical options used to generate national average compliance costs.</t>
  </si>
  <si>
    <t>set by the autosize algorithm; TRUE if it finds a valid size, FALSE otherwise</t>
  </si>
  <si>
    <t>MGD</t>
  </si>
  <si>
    <t>design_flow_I</t>
  </si>
  <si>
    <t>Design Flow</t>
  </si>
  <si>
    <t>af_units</t>
  </si>
  <si>
    <t>Average Flow</t>
  </si>
  <si>
    <t>average_flow_I</t>
  </si>
  <si>
    <t>EBCT</t>
  </si>
  <si>
    <t>Include standby power costs for small systems?</t>
  </si>
  <si>
    <t>include_standby_small</t>
  </si>
  <si>
    <t>Include architectural fee for small systems?</t>
  </si>
  <si>
    <t>include_arch_small</t>
  </si>
  <si>
    <t>Financing percentage for small systems</t>
  </si>
  <si>
    <t>Small system construction assumed to take less than one year</t>
  </si>
  <si>
    <t>finance_pct_small</t>
  </si>
  <si>
    <t>Excluded by default for small systems</t>
  </si>
  <si>
    <t>The next three inputs may be entered manually, or calculated with AutoSize button. All other gold inputs must be complete before AutoSizing.</t>
  </si>
  <si>
    <t>The next four inputs may be entered manually, or calculated with AutoSize button. All other gold inputs must be complete before AutoSizing.</t>
  </si>
  <si>
    <t>Bypass pipe diameter</t>
  </si>
  <si>
    <t>bp_pipe_diam</t>
  </si>
  <si>
    <t>Bypass Piping</t>
  </si>
  <si>
    <t>ports_bp</t>
  </si>
  <si>
    <t>Not used if system chooses not to bypass</t>
  </si>
  <si>
    <t>tot_bp_MOVs</t>
  </si>
  <si>
    <t>tot_bp_man</t>
  </si>
  <si>
    <t>Number of MOVs for bypass line</t>
  </si>
  <si>
    <t>Number of manual valves for bypass line</t>
  </si>
  <si>
    <t>Number of manual valves on bypass line</t>
  </si>
  <si>
    <t>Number of Motor/air operated on bypass line</t>
  </si>
  <si>
    <t>Bypass - Polypropylene/PVC</t>
  </si>
  <si>
    <t>Bypass - Stainless Steel</t>
  </si>
  <si>
    <t>Bypass - Cast Iron</t>
  </si>
  <si>
    <t>For semiautomated and automated systems</t>
  </si>
  <si>
    <t>min/event</t>
  </si>
  <si>
    <t>Hours per media changeout</t>
  </si>
  <si>
    <t>uloe_throwaway</t>
  </si>
  <si>
    <t>tot_inst</t>
  </si>
  <si>
    <t>tot_pumps</t>
  </si>
  <si>
    <t>Number of process valves</t>
  </si>
  <si>
    <t>tot_valves</t>
  </si>
  <si>
    <t>Media changeouts per year</t>
  </si>
  <si>
    <t>media_changes</t>
  </si>
  <si>
    <t>Managing media changeouts</t>
  </si>
  <si>
    <t>Carbon Steel - Plastic Internals</t>
  </si>
  <si>
    <t>Mobilization and Demobilization</t>
  </si>
  <si>
    <t>Architectural Fees for Treatment Building</t>
  </si>
  <si>
    <t>Lighting</t>
  </si>
  <si>
    <t>Minimum standby power generator size</t>
  </si>
  <si>
    <t>min_standby</t>
  </si>
  <si>
    <t>Include concrete pad in total capital cost?</t>
  </si>
  <si>
    <t>include_pad</t>
  </si>
  <si>
    <t>&lt;0.1</t>
  </si>
  <si>
    <t>Organic-free surface water</t>
  </si>
  <si>
    <t>Distilled-deionized, ultravfiltered water</t>
  </si>
  <si>
    <t>Raw surface water containing natural organics</t>
  </si>
  <si>
    <t>Coagulated/settled surface water containing natural organics</t>
  </si>
  <si>
    <t>Cyanazine</t>
  </si>
  <si>
    <t>space_vessels</t>
  </si>
  <si>
    <t>Loading rate minimum</t>
  </si>
  <si>
    <t>Loading rate maximum</t>
  </si>
  <si>
    <t>res_s1_opt</t>
  </si>
  <si>
    <t>calculated as a percentage of capital</t>
  </si>
  <si>
    <t>OUTPUT SUMMARY</t>
  </si>
  <si>
    <t>Direct Capital Cost</t>
  </si>
  <si>
    <t>Add-on Cost</t>
  </si>
  <si>
    <t>Indirect Capital Cost</t>
  </si>
  <si>
    <t>Total Capital Cost</t>
  </si>
  <si>
    <t>Annual O&amp;M Cost</t>
  </si>
  <si>
    <t>Contaminant</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</si>
  <si>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</si>
  <si>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</si>
  <si>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</si>
  <si>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</si>
  <si>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</si>
  <si>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</si>
  <si>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</si>
  <si>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</si>
  <si>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</si>
  <si>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</si>
  <si>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</si>
  <si>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</si>
  <si>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</si>
  <si>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</si>
  <si>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</si>
  <si>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Included in line item unit costs.  Add a percentage for special considerations such as a remote site or high cost location.</t>
  </si>
  <si>
    <t>Sitework</t>
  </si>
  <si>
    <t>Include sitework costs?</t>
  </si>
  <si>
    <t>include_sitework</t>
  </si>
  <si>
    <t>Include yard piping costs?</t>
  </si>
  <si>
    <t>include_yardpipe</t>
  </si>
  <si>
    <t>include_geo_low</t>
  </si>
  <si>
    <t>Note: geotechnical is always included with the septic system option, regardless of the numbers entered here</t>
  </si>
  <si>
    <t>include_geo_medium</t>
  </si>
  <si>
    <t>include_geo_high</t>
  </si>
  <si>
    <t>Include standby power costs?</t>
  </si>
  <si>
    <t>include_standby</t>
  </si>
  <si>
    <t>Electrical percentage</t>
  </si>
  <si>
    <t>elect_pct</t>
  </si>
  <si>
    <t>of direct cost</t>
  </si>
  <si>
    <t>Instrumentation and control percentage</t>
  </si>
  <si>
    <t>i_c_pct</t>
  </si>
  <si>
    <t>Engineering percentage for small systems</t>
  </si>
  <si>
    <t>Vessel Height/Length</t>
  </si>
  <si>
    <t>Onsite_regeneration_fp</t>
  </si>
  <si>
    <t>component_level</t>
  </si>
  <si>
    <t>freund_1</t>
  </si>
  <si>
    <t>freund_2</t>
  </si>
  <si>
    <t>C_0</t>
  </si>
  <si>
    <t>C_b</t>
  </si>
  <si>
    <t>heating_hp</t>
  </si>
  <si>
    <t>heating_gas_non</t>
  </si>
  <si>
    <t>therms/yr</t>
  </si>
  <si>
    <t>heating_gas</t>
  </si>
  <si>
    <t>ensures that bed depth is sufficient to pass diameter check on vessel design sheet</t>
  </si>
  <si>
    <t>need_cool</t>
  </si>
  <si>
    <t>&lt;--- enter 1 for yes, 0 for no</t>
  </si>
  <si>
    <t>Holding tank volume</t>
  </si>
  <si>
    <t>htank_vol</t>
  </si>
  <si>
    <t>based on target_load CDA</t>
  </si>
  <si>
    <t>based upon  media volume and bed depth</t>
  </si>
  <si>
    <t>below this number of lines, we are constrained to horizontal vessels</t>
  </si>
  <si>
    <t>strictest of the above minima</t>
  </si>
  <si>
    <t>target_bed_depth_under</t>
  </si>
  <si>
    <t>based on max load, design flow, and target number of lines</t>
  </si>
  <si>
    <t>Number of pumps</t>
  </si>
  <si>
    <t>res_pumps</t>
  </si>
  <si>
    <t>Pump design rating</t>
  </si>
  <si>
    <t>res_pump_rating</t>
  </si>
  <si>
    <t>Pipe diameter</t>
  </si>
  <si>
    <t>res_pipe_diam</t>
  </si>
  <si>
    <t>Valves and instrumentation</t>
  </si>
  <si>
    <t>Residuals valve size</t>
  </si>
  <si>
    <t>res_valve_size</t>
  </si>
  <si>
    <t>Number of MOVs for residuals line</t>
  </si>
  <si>
    <t>total_res_MOVs</t>
  </si>
  <si>
    <t>Number of check valves for residuals line</t>
  </si>
  <si>
    <t>tot_res_chv</t>
  </si>
  <si>
    <t>tot_res_alarm</t>
  </si>
  <si>
    <t>Residuals flow meter size</t>
  </si>
  <si>
    <t>res_meter_size</t>
  </si>
  <si>
    <t>Pump operating horsepower</t>
  </si>
  <si>
    <t>Energy per pump</t>
  </si>
  <si>
    <t>Energy for all active pumps</t>
  </si>
  <si>
    <t>res_pump_energy</t>
  </si>
  <si>
    <t>Residuals pump material cost</t>
  </si>
  <si>
    <t>res_pump_mtl</t>
  </si>
  <si>
    <t>POTW Discharge Fees</t>
  </si>
  <si>
    <t>TSS in discharged residuals</t>
  </si>
  <si>
    <t>TSS_residuals_dis</t>
  </si>
  <si>
    <t>Holding tank for spent backwash</t>
  </si>
  <si>
    <t>Single event volume</t>
  </si>
  <si>
    <t>res_vol</t>
  </si>
  <si>
    <t>Time between events</t>
  </si>
  <si>
    <t>res_stagger_time</t>
  </si>
  <si>
    <t>Actual residuals discharge flow rate</t>
  </si>
  <si>
    <t>res_flow_actual</t>
  </si>
  <si>
    <t>Design residuals discharge flow rate</t>
  </si>
  <si>
    <t>res_flow</t>
  </si>
  <si>
    <t>Annual residuals dischage</t>
  </si>
  <si>
    <t>TCE</t>
  </si>
  <si>
    <t>PCE</t>
  </si>
  <si>
    <t>Incremental standby power for ventilation</t>
  </si>
  <si>
    <t>r_std_vent</t>
  </si>
  <si>
    <t>r_std_lighting</t>
  </si>
  <si>
    <t>&lt;-1 for upright cylindrical, 2 for horizontal-laid cylinder</t>
  </si>
  <si>
    <t>transfer_method_I</t>
  </si>
  <si>
    <t>&lt;-- 1 for slurry pumps, 2 for eductors, 3 for manual transfer</t>
  </si>
  <si>
    <t>Total TSS in excess of POTW limit (if applicable)</t>
  </si>
  <si>
    <t>Annual POTW base fee</t>
  </si>
  <si>
    <t>Annual POTW volume fee</t>
  </si>
  <si>
    <t>Annual POTW TSS fee</t>
  </si>
  <si>
    <t>Total annual POTW discharge fee</t>
  </si>
  <si>
    <t>POTW_fee</t>
  </si>
  <si>
    <t>Spent Media Disposal Fees</t>
  </si>
  <si>
    <t>Disposal</t>
  </si>
  <si>
    <t>Transportation</t>
  </si>
  <si>
    <t>Total annual spent media diposal fee</t>
  </si>
  <si>
    <t>disposal_fee</t>
  </si>
  <si>
    <t>lbs/year</t>
  </si>
  <si>
    <t>$/year</t>
  </si>
  <si>
    <t>Access space per residuals holding tank</t>
  </si>
  <si>
    <t>space_ht</t>
  </si>
  <si>
    <t>Residuals pump footprint</t>
  </si>
  <si>
    <t>Residuals holding tank footprint</t>
  </si>
  <si>
    <t>htank_fp</t>
  </si>
  <si>
    <t>Residuals Holding Tanks</t>
  </si>
  <si>
    <t>st_ht_eq</t>
  </si>
  <si>
    <t>Fiberglass Tanks</t>
  </si>
  <si>
    <t>fg_ht_eq</t>
  </si>
  <si>
    <t>Plastic/HDPE Tanks</t>
  </si>
  <si>
    <t>hdpe_ht_eq</t>
  </si>
  <si>
    <t>Residuals Piping</t>
  </si>
  <si>
    <t>cpvc_pipe_eq_res</t>
  </si>
  <si>
    <t>pvc_pipe_eq_res</t>
  </si>
  <si>
    <t>ss_pipe_eq_res</t>
  </si>
  <si>
    <t>st_pipe_eq_res</t>
  </si>
  <si>
    <t>Polypropylene/PVC - residuals</t>
  </si>
  <si>
    <t>pp_mov_eq_res</t>
  </si>
  <si>
    <t>Stainless Steel - residuals</t>
  </si>
  <si>
    <t>ss_mov_eq_res</t>
  </si>
  <si>
    <t>no_back_tank</t>
  </si>
  <si>
    <t>Building 1</t>
  </si>
  <si>
    <t>Building 2</t>
  </si>
  <si>
    <t>Number of printers</t>
  </si>
  <si>
    <t>Design Flow (including bypass)</t>
  </si>
  <si>
    <t>Average Flow (including bypass)</t>
  </si>
  <si>
    <t>Managing backwash</t>
  </si>
  <si>
    <t>594-20-7</t>
  </si>
  <si>
    <t>1,3-dichloropropene</t>
  </si>
  <si>
    <t>542-75-6</t>
  </si>
  <si>
    <t>60-57-1</t>
  </si>
  <si>
    <t>carbon life value- months</t>
  </si>
  <si>
    <t>lines_pump_I</t>
  </si>
  <si>
    <t>GRAVITY CONTACTORS</t>
  </si>
  <si>
    <t>comp_round_sa_a</t>
  </si>
  <si>
    <t>comp_vol_required_a</t>
  </si>
  <si>
    <t>Design search</t>
  </si>
  <si>
    <t>comp_vert_max_media_a</t>
  </si>
  <si>
    <t>comp_sa_min_a</t>
  </si>
  <si>
    <t>comp_sa_max_a</t>
  </si>
  <si>
    <t>comp_target_bed_depth_vert_a</t>
  </si>
  <si>
    <t>comp_sa_required_vert_a</t>
  </si>
  <si>
    <t>min number of lines:</t>
  </si>
  <si>
    <t>For freeboard</t>
  </si>
  <si>
    <t>freeboard_horiz_void</t>
  </si>
  <si>
    <t>For underdrain</t>
  </si>
  <si>
    <t>underdrain_horiz_void</t>
  </si>
  <si>
    <t>Total</t>
  </si>
  <si>
    <t>horiz_void</t>
  </si>
  <si>
    <t>Underdrain space for horizontal vessels</t>
  </si>
  <si>
    <t>horiz_underdrain</t>
  </si>
  <si>
    <t>1.5 feet is a conservative value for a 10' tank. Bob Dvorin, 5/16/05.</t>
  </si>
  <si>
    <t>Volume of a horizontal slice taken out of a cylinder</t>
  </si>
  <si>
    <t>media_volume</t>
  </si>
  <si>
    <t>media_volume_expanded</t>
  </si>
  <si>
    <t>Total vessel volume</t>
  </si>
  <si>
    <t>The largest size for which costs are available.  Applies to backwash tanks and steel GAC storage tanks (below).</t>
  </si>
  <si>
    <t>risers</t>
  </si>
  <si>
    <t>overexcavate</t>
  </si>
  <si>
    <t>conc_thick</t>
  </si>
  <si>
    <t>Footprints for contactors and GAC transfer equipment</t>
  </si>
  <si>
    <t>Two times basin area for walkways and equipment</t>
  </si>
  <si>
    <t>2.</t>
  </si>
  <si>
    <t>2.1</t>
  </si>
  <si>
    <t>2.1.1</t>
  </si>
  <si>
    <t>Backwash Tanks/Basins</t>
  </si>
  <si>
    <t xml:space="preserve">Number of MOVs on process line per contactor </t>
  </si>
  <si>
    <t>valves/contactor</t>
  </si>
  <si>
    <t>pH_controls_g</t>
  </si>
  <si>
    <t>pH_controls_small_g</t>
  </si>
  <si>
    <t>spent_basin_width</t>
  </si>
  <si>
    <t>spent_basin_length</t>
  </si>
  <si>
    <t>spent_basin_depth</t>
  </si>
  <si>
    <t>spent_basin_vol</t>
  </si>
  <si>
    <t>spent_conc_vol</t>
  </si>
  <si>
    <t>spent_excavation_vol</t>
  </si>
  <si>
    <t>spent_backfill_vol</t>
  </si>
  <si>
    <t>spent_railing</t>
  </si>
  <si>
    <t>spent_tanks</t>
  </si>
  <si>
    <t>spent_tank_vol</t>
  </si>
  <si>
    <t>Spent GAC Storage basin width</t>
  </si>
  <si>
    <t>Spent GAC Storage basin length</t>
  </si>
  <si>
    <t>Spent GAC Storage basin volume</t>
  </si>
  <si>
    <t>Number of Spent GAC Storage tanks</t>
  </si>
  <si>
    <t>Spent GAC Storage tank volume</t>
  </si>
  <si>
    <t>Spent GAC Storage basin operating depth</t>
  </si>
  <si>
    <t>Regenerated GAC Storage basin width</t>
  </si>
  <si>
    <t>Additional turbitidy meters (pressure systems)</t>
  </si>
  <si>
    <t>Head loss sensors per contactor</t>
  </si>
  <si>
    <t>Sampling ports per contactor</t>
  </si>
  <si>
    <t>Labor hours per week for contact basins</t>
  </si>
  <si>
    <t>Weekly_labor</t>
  </si>
  <si>
    <t>hr/week/basin or tank</t>
  </si>
  <si>
    <t>Borehole depth for shallow basins</t>
  </si>
  <si>
    <t>bore_depth_min</t>
  </si>
  <si>
    <t>Borehole depth for deep basins</t>
  </si>
  <si>
    <t>bore_depth_max</t>
  </si>
  <si>
    <t>Basin excavation depth above which deeper boreholes are needed</t>
  </si>
  <si>
    <t>deep_bore_need</t>
  </si>
  <si>
    <t>Small pressure system geotechnical investigation can be completed with test pits, larger systems and all gravity systems require boreholes</t>
  </si>
  <si>
    <t>Backwash storage volume in cubic feet</t>
  </si>
  <si>
    <t>back_vol_ft</t>
  </si>
  <si>
    <t>Number of backwash basins</t>
  </si>
  <si>
    <t>back_basins</t>
  </si>
  <si>
    <t>Backwash basin operating depth</t>
  </si>
  <si>
    <t>back_basin_op_depth</t>
  </si>
  <si>
    <t>Backwash basin width</t>
  </si>
  <si>
    <t>back_basin_width</t>
  </si>
  <si>
    <t>Backwash basin length</t>
  </si>
  <si>
    <t>back_basin_length</t>
  </si>
  <si>
    <t>Backwash basin depth including freeboard</t>
  </si>
  <si>
    <t>back_basin_depth</t>
  </si>
  <si>
    <t>Backwash basin volume</t>
  </si>
  <si>
    <t>back_basin_vol</t>
  </si>
  <si>
    <t>back_conc_vol</t>
  </si>
  <si>
    <t>back_excavation_vol</t>
  </si>
  <si>
    <t>back_backfill_vol</t>
  </si>
  <si>
    <t>back_railing</t>
  </si>
  <si>
    <t xml:space="preserve">The number of backwash cycles to provide a storage volume for clean water.  Backwash from elevated storage requires minimum 2 backwash volumes (Randal Braker, General Manager, Duck River Utility Commisssion, TN); WBS models use pumps, however.  </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</si>
  <si>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</si>
  <si>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</si>
  <si>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</si>
  <si>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</si>
  <si>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</si>
  <si>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</si>
  <si>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</si>
  <si>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</si>
  <si>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</si>
  <si>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</si>
  <si>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</si>
  <si>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no holding tank</t>
  </si>
  <si>
    <t>Holding tank</t>
  </si>
  <si>
    <t>manual transfer</t>
  </si>
  <si>
    <t>non-hazardous</t>
  </si>
  <si>
    <t>Leave blank to accept redundancy frequency specified in critical design assumptions</t>
  </si>
  <si>
    <t>Leave blank to use low cost components</t>
  </si>
  <si>
    <t>Leave blank to allow model to pick based on component level</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</si>
  <si>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</si>
  <si>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</si>
  <si>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</si>
  <si>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</si>
  <si>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</si>
  <si>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</si>
  <si>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</si>
  <si>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</si>
  <si>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</si>
  <si>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length_diam_ratio</t>
  </si>
  <si>
    <t>Septic System</t>
  </si>
  <si>
    <t>Number of septic tanks</t>
  </si>
  <si>
    <t>num_sept_tanks</t>
  </si>
  <si>
    <t>Septic tank volume</t>
  </si>
  <si>
    <t>sept_tank_vol</t>
  </si>
  <si>
    <t>Septic discharge design flow</t>
  </si>
  <si>
    <t>sept_design_flow</t>
  </si>
  <si>
    <t>Inflitration area required</t>
  </si>
  <si>
    <t>sept_infil_area</t>
  </si>
  <si>
    <t>Trench bottom area required</t>
  </si>
  <si>
    <t>sept_trench_bot_area</t>
  </si>
  <si>
    <t>Number of trenches required</t>
  </si>
  <si>
    <t>sept_trenches</t>
  </si>
  <si>
    <t>Number of days per year where natural ventilation is applicable cannot be greater than 365 days</t>
  </si>
  <si>
    <t>From input</t>
  </si>
  <si>
    <t>Includes safety factor</t>
  </si>
  <si>
    <t>in_out_pipe_flow</t>
  </si>
  <si>
    <t>inches</t>
  </si>
  <si>
    <t>Diameter (inch)</t>
  </si>
  <si>
    <t>Process pipe flow</t>
  </si>
  <si>
    <t>Includes  redundancy</t>
  </si>
  <si>
    <t>Operating pumps</t>
  </si>
  <si>
    <t>Adjust length constraints</t>
  </si>
  <si>
    <t>Select Design Type</t>
  </si>
  <si>
    <t>STEP 3</t>
  </si>
  <si>
    <t>STEP 4</t>
  </si>
  <si>
    <t>STEP 5</t>
  </si>
  <si>
    <t>Input Validation</t>
  </si>
  <si>
    <t>Design Categories</t>
  </si>
  <si>
    <t>Gravity</t>
  </si>
  <si>
    <t>Other</t>
  </si>
  <si>
    <t>Concrete pad for retrofit</t>
  </si>
  <si>
    <t>Incremental footprint required for retrofit</t>
  </si>
  <si>
    <t>r_inc_fp_required</t>
  </si>
  <si>
    <t>r_concrete</t>
  </si>
  <si>
    <t>Additional Furnace Capacity (Retrofit)</t>
  </si>
  <si>
    <t>Building #1 additional value</t>
  </si>
  <si>
    <t>Building #2 additional value</t>
  </si>
  <si>
    <t>Retrofit does not change NPDES status</t>
  </si>
  <si>
    <t>Applies to systems where retrofit pushes land over 1 acre</t>
  </si>
  <si>
    <t>r_permit_cost</t>
  </si>
  <si>
    <t>Sitework cost for retrofit</t>
  </si>
  <si>
    <t>r_sitework_cost</t>
  </si>
  <si>
    <t>Incremental total footprint</t>
  </si>
  <si>
    <t>r_inc_total_fp</t>
  </si>
  <si>
    <t>Indirect</t>
  </si>
  <si>
    <t>r_bldg_maint_cost</t>
  </si>
  <si>
    <t>On-site Regeneration O&amp;M</t>
  </si>
  <si>
    <t>r_regen_energy</t>
  </si>
  <si>
    <t>r_regen_ng</t>
  </si>
  <si>
    <t>Incremental Energy</t>
  </si>
  <si>
    <t>Incremental Natural Gas</t>
  </si>
  <si>
    <t>r_lighting</t>
  </si>
  <si>
    <t>Incremental lighting</t>
  </si>
  <si>
    <t>Lighting for additional building floorplan</t>
  </si>
  <si>
    <t>r_furnace_lighting</t>
  </si>
  <si>
    <t>Building 1 weighted average air changes after retrofit</t>
  </si>
  <si>
    <t>Building 2 weighted average air changes after retrofit</t>
  </si>
  <si>
    <t>Building 1 ventilation after retrofit</t>
  </si>
  <si>
    <t>Building 2 ventilation after retrofit</t>
  </si>
  <si>
    <t>r_air_changes_build1</t>
  </si>
  <si>
    <t>r_air_changes_build2</t>
  </si>
  <si>
    <t>r_ventilation</t>
  </si>
  <si>
    <t>Incremental standby power for lighting</t>
  </si>
  <si>
    <t>Incremental standby power required</t>
  </si>
  <si>
    <t>Incremental standby power cost</t>
  </si>
  <si>
    <t>r_std_power_cost</t>
  </si>
  <si>
    <t>r_std_power</t>
  </si>
  <si>
    <t>r_inc_std_power</t>
  </si>
  <si>
    <t>Total standby power after retrofit</t>
  </si>
  <si>
    <t>Default O&amp;M Assumptions</t>
  </si>
  <si>
    <t>1 indicates small system, 2 indicates medium, 3 indicates large</t>
  </si>
  <si>
    <t>Additional analog input because flow meters include pressure gauges</t>
  </si>
  <si>
    <t>Number of shifts</t>
  </si>
  <si>
    <t>shifts_day</t>
  </si>
  <si>
    <t>shifts/day</t>
  </si>
  <si>
    <t>Used to determine number of workstations</t>
  </si>
  <si>
    <t>Result</t>
  </si>
  <si>
    <t>Variable</t>
  </si>
  <si>
    <t>Slurry Pump System</t>
  </si>
  <si>
    <t>ss_pv_eq</t>
  </si>
  <si>
    <t>fg_pv_eq</t>
  </si>
  <si>
    <t>st_bwt_eq</t>
  </si>
  <si>
    <t>di_pipe_eq</t>
  </si>
  <si>
    <t>cpvc_pipe_eq</t>
  </si>
  <si>
    <t>pvc_pipe_eq</t>
  </si>
  <si>
    <t>ss_pipe_eq</t>
  </si>
  <si>
    <t>st_pipe_eq</t>
  </si>
  <si>
    <t>ss_mov_eq</t>
  </si>
  <si>
    <t>ci_mov_eq_tank</t>
  </si>
  <si>
    <t>ci_mov_eq</t>
  </si>
  <si>
    <t>heating_diesel_non</t>
  </si>
  <si>
    <t>heating_diesel</t>
  </si>
  <si>
    <t>cooling_hp</t>
  </si>
  <si>
    <t>gal/yr</t>
  </si>
  <si>
    <t>BTU/hr</t>
  </si>
  <si>
    <t>Air conditioning</t>
  </si>
  <si>
    <t>Heat pump</t>
  </si>
  <si>
    <t>4.1.3</t>
  </si>
  <si>
    <t>4.1.4</t>
  </si>
  <si>
    <t>4.2.2</t>
  </si>
  <si>
    <t>4.2.3</t>
  </si>
  <si>
    <t>4.2.4</t>
  </si>
  <si>
    <t>4.2.5</t>
  </si>
  <si>
    <t>4.3.2</t>
  </si>
  <si>
    <t>4.3.3</t>
  </si>
  <si>
    <t>4.3.4</t>
  </si>
  <si>
    <t>5.</t>
  </si>
  <si>
    <t>5.1</t>
  </si>
  <si>
    <t>5.2</t>
  </si>
  <si>
    <t>5.3</t>
  </si>
  <si>
    <t>6.</t>
  </si>
  <si>
    <t>6.1</t>
  </si>
  <si>
    <t>7.1</t>
  </si>
  <si>
    <t>7.</t>
  </si>
  <si>
    <t>7.1.1</t>
  </si>
  <si>
    <t>7.1.2</t>
  </si>
  <si>
    <t>7.1.3</t>
  </si>
  <si>
    <t>7.1.4</t>
  </si>
  <si>
    <t>7.1.5</t>
  </si>
  <si>
    <t>7.1.6</t>
  </si>
  <si>
    <t>7.1.7</t>
  </si>
  <si>
    <t>7.1.8</t>
  </si>
  <si>
    <t>7.1.9</t>
  </si>
  <si>
    <t>7.2</t>
  </si>
  <si>
    <t>7.2.1</t>
  </si>
  <si>
    <t>7.2.2</t>
  </si>
  <si>
    <t>7.2.3</t>
  </si>
  <si>
    <t>7.2.4</t>
  </si>
  <si>
    <t>7.3</t>
  </si>
  <si>
    <t>7.3.1</t>
  </si>
  <si>
    <t>7.3.2</t>
  </si>
  <si>
    <t>7.3.3</t>
  </si>
  <si>
    <t>7.3.4</t>
  </si>
  <si>
    <t>8.</t>
  </si>
  <si>
    <t>8.1</t>
  </si>
  <si>
    <t>8.1.1</t>
  </si>
  <si>
    <t>8.1.2</t>
  </si>
  <si>
    <t>8.2.1</t>
  </si>
  <si>
    <t>9.</t>
  </si>
  <si>
    <t>9.1</t>
  </si>
  <si>
    <t>UPS protects the PLC system from undesired outages and surges that can adversely affect the performance of the PLC unit</t>
  </si>
  <si>
    <t>CPUs</t>
  </si>
  <si>
    <t>I/O discrete input modules</t>
  </si>
  <si>
    <t>I/O discrete output modules</t>
  </si>
  <si>
    <t>ci_mov_eq_back</t>
  </si>
  <si>
    <t>Cast Iron - residuals</t>
  </si>
  <si>
    <t>ci_mov_eq_res</t>
  </si>
  <si>
    <t>pp_man_eq_back</t>
  </si>
  <si>
    <t>ss_man_eq_back</t>
  </si>
  <si>
    <t>ci_man_eq_back</t>
  </si>
  <si>
    <t>pp_man_eq_res</t>
  </si>
  <si>
    <t>ss_man_eq_res</t>
  </si>
  <si>
    <t>ci_man_eq_res</t>
  </si>
  <si>
    <t>pump_mtl</t>
  </si>
  <si>
    <t>lbs/yr</t>
  </si>
  <si>
    <t>/lb</t>
  </si>
  <si>
    <t>Energy</t>
  </si>
  <si>
    <t>pump_energy</t>
  </si>
  <si>
    <t>Energy for booster pumps</t>
  </si>
  <si>
    <t>Mwh/yr</t>
  </si>
  <si>
    <t>/kwh</t>
  </si>
  <si>
    <t>Plastic/HDPE</t>
  </si>
  <si>
    <t>Number of backwash tanks</t>
  </si>
  <si>
    <t>num_back_tanks</t>
  </si>
  <si>
    <t>Small systems do not require office space</t>
  </si>
  <si>
    <t>res_transfer_method</t>
  </si>
  <si>
    <t>Number of chemical supplies</t>
  </si>
  <si>
    <t>tot_chem</t>
  </si>
  <si>
    <t xml:space="preserve">Maintain/inspect chemical supply </t>
  </si>
  <si>
    <t>Polymer needed per event</t>
  </si>
  <si>
    <t>Process - Cast Iron</t>
  </si>
  <si>
    <t>Backwash - Stainless Steel</t>
  </si>
  <si>
    <t>Backwash - Polypropylene/PVC</t>
  </si>
  <si>
    <t>Backwash - Cast Iron</t>
  </si>
  <si>
    <t>&lt;--Enter 1 to design for rounding on vessel design sheet, 0 otherwise</t>
  </si>
  <si>
    <t>strictest minimum of the above, rounded</t>
  </si>
  <si>
    <t>Regen Method</t>
  </si>
  <si>
    <t>Component level</t>
  </si>
  <si>
    <t>manual_I</t>
  </si>
  <si>
    <t>we switch to horizontal vessels when the desired number of max-size vertical vessels can't handle the design flow</t>
  </si>
  <si>
    <t>dimensions for horizontal vessels</t>
  </si>
  <si>
    <t>assumed void volume per length</t>
  </si>
  <si>
    <t>comp_horiz_void_area</t>
  </si>
  <si>
    <t>target bed depth after expansion</t>
  </si>
  <si>
    <t>comp_horiz_expanded_bd</t>
  </si>
  <si>
    <t>comp_horiz_diam</t>
  </si>
  <si>
    <t>old target diameter</t>
  </si>
  <si>
    <t>comp_horiz_length</t>
  </si>
  <si>
    <t>comp_horiz_bed_depth</t>
  </si>
  <si>
    <t>The minimum ratio of average flow to design flow. If the ratio falls below this value, it will trigger a warning on the INPUT sheet. If this value is zero, no minimum is enforced.</t>
  </si>
  <si>
    <t>Additional building after…</t>
  </si>
  <si>
    <t>add_2nd_building</t>
  </si>
  <si>
    <t>General information</t>
  </si>
  <si>
    <t>Ventilation</t>
  </si>
  <si>
    <t>Heating and Cooling</t>
  </si>
  <si>
    <t>Heating Requirements</t>
  </si>
  <si>
    <t>Building 1 total annual heat loss</t>
  </si>
  <si>
    <t>build1_heat_loss_yr</t>
  </si>
  <si>
    <t>Stainless Steel - Process</t>
  </si>
  <si>
    <t>Stainless Steel - Backwash</t>
  </si>
  <si>
    <t>Pumps</t>
  </si>
  <si>
    <t>Booster</t>
  </si>
  <si>
    <t>Backwash</t>
  </si>
  <si>
    <t>Instrumentation</t>
  </si>
  <si>
    <t>back_meter_size</t>
  </si>
  <si>
    <t>NA</t>
  </si>
  <si>
    <t>Could be lower (annual average 3 changes/hr) in a northern climate</t>
  </si>
  <si>
    <t>free_board</t>
  </si>
  <si>
    <t xml:space="preserve">Top and bottom dished vessel sections height and access space </t>
  </si>
  <si>
    <t>Backwash Piping</t>
  </si>
  <si>
    <t>Natural gas non-condensing furnace</t>
  </si>
  <si>
    <t>Natural gas condensing furnace</t>
  </si>
  <si>
    <t xml:space="preserve">Mangerial LOE as a percent of average technical labor </t>
  </si>
  <si>
    <t>Manager_percent</t>
  </si>
  <si>
    <t>fraction</t>
  </si>
  <si>
    <t>Manager_LOE</t>
  </si>
  <si>
    <t>Annual Manager LOE</t>
  </si>
  <si>
    <t xml:space="preserve">Clerical LOE as a percent of average technical labor </t>
  </si>
  <si>
    <t>Annual Clerical LOE</t>
  </si>
  <si>
    <t>On-site regeneration capacity required for retrofit</t>
  </si>
  <si>
    <t>r_regen_capacity</t>
  </si>
  <si>
    <t>Incremental regeneration capacity required for retrofit</t>
  </si>
  <si>
    <t>Base Retrofit Calculations</t>
  </si>
  <si>
    <t>r_build2_fp</t>
  </si>
  <si>
    <t>r_onsite_regeneration_fp</t>
  </si>
  <si>
    <t>On-site regeneration footprint for retrofit</t>
  </si>
  <si>
    <t>Retrofit Carbon Life</t>
  </si>
  <si>
    <t>tot_bp_chv</t>
  </si>
  <si>
    <t>cpvc_pipe_eq_bp</t>
  </si>
  <si>
    <t>pvc_pipe_eq_bp</t>
  </si>
  <si>
    <t>ss_pipe_eq_bp</t>
  </si>
  <si>
    <t>st_pipe_eq_bp</t>
  </si>
  <si>
    <t>Enter 0 to exclude booster pumps (e.g., use existing pumps). Clear cell to accept model defaults (contaminant and design type specific)</t>
  </si>
  <si>
    <t>POTW_volume_fee</t>
  </si>
  <si>
    <t>Apply POTW discharge TSS charge (i.e., $/lb of TSS over limit below)</t>
  </si>
  <si>
    <t>POTW_TSS_fee</t>
  </si>
  <si>
    <t>Operator</t>
  </si>
  <si>
    <t>Regeneration redundancy (on-site only)</t>
  </si>
  <si>
    <t>regen_redund</t>
  </si>
  <si>
    <t>r_inc_build1_fp</t>
  </si>
  <si>
    <t>r_inc_build2_fp</t>
  </si>
  <si>
    <t>New total footprint</t>
  </si>
  <si>
    <t>r_total_fp</t>
  </si>
  <si>
    <t>Incremental land acquisition (opportunity cost)</t>
  </si>
  <si>
    <t>r_land_required</t>
  </si>
  <si>
    <t>10.5</t>
  </si>
  <si>
    <t>10.5.1</t>
  </si>
  <si>
    <t>Furnace System Expansion (Retrofit)</t>
  </si>
  <si>
    <t>r_on_regen_eq</t>
  </si>
  <si>
    <t>Capacity expansion required?</t>
  </si>
  <si>
    <t>r_new_furnace</t>
  </si>
  <si>
    <t>1=yes, 0=no</t>
  </si>
  <si>
    <t>This considers actual output sheet size of existing furnace when curve fitting isn't used</t>
  </si>
  <si>
    <t>calculated based on furnace capacity</t>
  </si>
  <si>
    <t>r_regen_materials</t>
  </si>
  <si>
    <t>Incremental materials for on-site GAC Regeneration</t>
  </si>
  <si>
    <t>For use with mechanical transfer, incorporates number of vessels. For onsite regeneration, media changeout labor is included in regen_labor, below</t>
  </si>
  <si>
    <t>For use with manual transfer, incorporates both removal and refill. For onsite regeneration, media changeout labor is included in regen_labor, below</t>
  </si>
  <si>
    <t>Incremental On-site GAC regeneration labor</t>
  </si>
  <si>
    <t>r_regen_labor</t>
  </si>
  <si>
    <t>transfer_method</t>
  </si>
  <si>
    <t>transfer_time</t>
  </si>
  <si>
    <t>hrs</t>
  </si>
  <si>
    <t>Results</t>
  </si>
  <si>
    <t>Success?</t>
  </si>
  <si>
    <t>comp_out_success</t>
  </si>
  <si>
    <t>Typical designs are 8 to 24 inches; 12 inches common</t>
  </si>
  <si>
    <t>Minimum number of septic drain field trenches</t>
  </si>
  <si>
    <t>sept_min_trenches</t>
  </si>
  <si>
    <t>Maximum septic drain field trench length</t>
  </si>
  <si>
    <t>sept_max_trench_l</t>
  </si>
  <si>
    <t>Distance between drain field trenches</t>
  </si>
  <si>
    <t>sept_trench_dist</t>
  </si>
  <si>
    <t>If total footprint is large, a second building is used for pumps, backwash, onsite regeneration, and chemical storage</t>
  </si>
  <si>
    <t>Cost for parts &amp; maintenance for pumps</t>
  </si>
  <si>
    <t>Polypropylene/PVC - Residuals</t>
  </si>
  <si>
    <t>pp_chv_eq_res</t>
  </si>
  <si>
    <t>Holding tank cleaning frequency</t>
  </si>
  <si>
    <t>Residual solids quantity (total per event)</t>
  </si>
  <si>
    <t>ht_solids</t>
  </si>
  <si>
    <t>res_solids</t>
  </si>
  <si>
    <t>sol_disp_freq</t>
  </si>
  <si>
    <t>Booster pump material cost</t>
  </si>
  <si>
    <t>Inputs</t>
  </si>
  <si>
    <t>Borings, drill rig and crew with truck mounted auger</t>
  </si>
  <si>
    <t>Office space per employee for small systems</t>
  </si>
  <si>
    <t>based on mIN load, design flow, and target number of lines</t>
  </si>
  <si>
    <t>from reasonable-dimensions table</t>
  </si>
  <si>
    <t>strictest of the above two maxima</t>
  </si>
  <si>
    <t>min diam to avoid bed depth becoming too deep, given required volume</t>
  </si>
  <si>
    <t>from min surface area</t>
  </si>
  <si>
    <t>include_conting_medium</t>
  </si>
  <si>
    <t>Include contingency costs for high cost systems?</t>
  </si>
  <si>
    <t>include_conting_high</t>
  </si>
  <si>
    <t>Include construction management cost for pre-engineered packages?</t>
  </si>
  <si>
    <t>include_cm_pre</t>
  </si>
  <si>
    <t>Turbitity meters per pressure vessel</t>
  </si>
  <si>
    <t>turb_tank_g</t>
  </si>
  <si>
    <t>2.2</t>
  </si>
  <si>
    <t>2.2.1</t>
  </si>
  <si>
    <t>3.</t>
  </si>
  <si>
    <t>3.1</t>
  </si>
  <si>
    <t>3.1.1</t>
  </si>
  <si>
    <t>3.2</t>
  </si>
  <si>
    <t>3.2.1</t>
  </si>
  <si>
    <t>3.3</t>
  </si>
  <si>
    <t>3.3.1</t>
  </si>
  <si>
    <t>3.4</t>
  </si>
  <si>
    <t>3.4.1</t>
  </si>
  <si>
    <t>3.5.1</t>
  </si>
  <si>
    <t>4.</t>
  </si>
  <si>
    <t>4.1</t>
  </si>
  <si>
    <t>4.1.1</t>
  </si>
  <si>
    <t>4.2</t>
  </si>
  <si>
    <t>4.2.1</t>
  </si>
  <si>
    <t>4.3</t>
  </si>
  <si>
    <t>4.3.1</t>
  </si>
  <si>
    <t>4.1.2</t>
  </si>
  <si>
    <t>Holding Tank Solids Disposal Fees</t>
  </si>
  <si>
    <t>Total settled solids diposal fee</t>
  </si>
  <si>
    <t>High/Low Alarm (for holding tanks)</t>
  </si>
  <si>
    <t>Materials for residuals pumps</t>
  </si>
  <si>
    <t>Energy for residuals pumps</t>
  </si>
  <si>
    <t>POTW discharge fees</t>
  </si>
  <si>
    <t>ton/yr</t>
  </si>
  <si>
    <t>/ton</t>
  </si>
  <si>
    <t>Spent media disposal</t>
  </si>
  <si>
    <t>spent_media</t>
  </si>
  <si>
    <t>Number of electrical enclosures</t>
  </si>
  <si>
    <t>elec_encl</t>
  </si>
  <si>
    <t>System Controls</t>
  </si>
  <si>
    <t>PLC Units</t>
  </si>
  <si>
    <t>Backwash pumping</t>
  </si>
  <si>
    <t>Backwash storage</t>
  </si>
  <si>
    <t>no_back_tank_I</t>
  </si>
  <si>
    <t>land_required</t>
  </si>
  <si>
    <t>acres</t>
  </si>
  <si>
    <t>Non fire Buffer for buildings</t>
  </si>
  <si>
    <t>non_fire_buffer</t>
  </si>
  <si>
    <t>Fire Buffer for Buildings</t>
  </si>
  <si>
    <t>fire_buffer</t>
  </si>
  <si>
    <t>Number of manual control valves on residuals line per residuals pump</t>
  </si>
  <si>
    <t>res_man_pump</t>
  </si>
  <si>
    <t>res_man_tank</t>
  </si>
  <si>
    <t>res_MOV_tank</t>
  </si>
  <si>
    <t xml:space="preserve">Operator interfaces </t>
  </si>
  <si>
    <t xml:space="preserve">UPSs </t>
  </si>
  <si>
    <t>sept_trench_d</t>
  </si>
  <si>
    <t>Septic drain field trench gravel depth below distribution pipe</t>
  </si>
  <si>
    <t>sept_gravel_d_below</t>
  </si>
  <si>
    <t>Flow meters for backwash line</t>
  </si>
  <si>
    <t>At backwash discharge outlet</t>
  </si>
  <si>
    <t>add_pH_controls</t>
  </si>
  <si>
    <t>Total pH controls</t>
  </si>
  <si>
    <t>kWh/sf/yr</t>
  </si>
  <si>
    <t>Valves and Instrumentation</t>
  </si>
  <si>
    <t>Structure/Floorplan</t>
  </si>
  <si>
    <t>Land acquisition required</t>
  </si>
  <si>
    <t>Include geotechnical costs for low cost pressure systems?</t>
  </si>
  <si>
    <t>Include geotechnical costs for medium cost pressure systems?</t>
  </si>
  <si>
    <t>Include geotechnical costs for high cost pressure systems?</t>
  </si>
  <si>
    <t>Include geotechnical costs for low cost gravity systems?</t>
  </si>
  <si>
    <t>Include geotechnical costs for medium cost gravity systems?</t>
  </si>
  <si>
    <t>Include geotechnical costs for high cost gravity systems?</t>
  </si>
  <si>
    <t>include_geo_low_g</t>
  </si>
  <si>
    <t>include_geo_medium_g</t>
  </si>
  <si>
    <t>include_geo_high_g</t>
  </si>
  <si>
    <t>Geotechnical is always included for gravity systems, because of basin excavation</t>
  </si>
  <si>
    <t>&lt;-- for national average rate, 2 for a specific rate structure</t>
  </si>
  <si>
    <t>Apply POTW discharge base charge (i.e., $/month)</t>
  </si>
  <si>
    <t>POTW_base_fee</t>
  </si>
  <si>
    <t>&lt;-- 1 for yes, 2 for no</t>
  </si>
  <si>
    <t>Apply POTW discharge volume charge (i.e., $/1000 gallons)</t>
  </si>
  <si>
    <t>Recording operating paramenters for automated systems</t>
  </si>
  <si>
    <t>uloe_inst_auto</t>
  </si>
  <si>
    <t>min/100 sf/day</t>
  </si>
  <si>
    <t>Manual and semiautomated systems use 2x actual backwash time</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</si>
  <si>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</si>
  <si>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</si>
  <si>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</si>
  <si>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</si>
  <si>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</si>
  <si>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</si>
  <si>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</si>
  <si>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</si>
  <si>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</si>
  <si>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</si>
  <si>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</si>
  <si>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</si>
  <si>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Maintenance LOE assumptions</t>
  </si>
  <si>
    <t>Maintenance Materials</t>
  </si>
  <si>
    <t>Materials for on-site GAC Regeneration</t>
  </si>
  <si>
    <t>Number of process instruments for operation</t>
  </si>
  <si>
    <t>Instruments requiring daily observation</t>
  </si>
  <si>
    <t>space_pumps_pre</t>
  </si>
  <si>
    <t>Access space per pump for pre-engineered packages</t>
  </si>
  <si>
    <t>Pumps on skid for pre-engineered packages, no additional access space</t>
  </si>
  <si>
    <t>space_pumps_cust</t>
  </si>
  <si>
    <t>Access space per pump for custom designed systems</t>
  </si>
  <si>
    <t>Mobilization percentage for pre-engineered packages</t>
  </si>
  <si>
    <t>mob_pct_pre</t>
  </si>
  <si>
    <t>Excluded for pre-engineered packages</t>
  </si>
  <si>
    <t>Include contingency costs for low cost systems?</t>
  </si>
  <si>
    <t>include_conting_low</t>
  </si>
  <si>
    <t>Include contingency costs for medium cost systems?</t>
  </si>
  <si>
    <t>Ethernet modules</t>
  </si>
  <si>
    <t>Base expansion modules</t>
  </si>
  <si>
    <t>Base expansion controller modules</t>
  </si>
  <si>
    <t>UPSs</t>
  </si>
  <si>
    <t>Operator Equipment</t>
  </si>
  <si>
    <t>PLC programming software</t>
  </si>
  <si>
    <t>PLC data collection software</t>
  </si>
  <si>
    <t>level_switch_small</t>
  </si>
  <si>
    <t>add_pH_controls_small</t>
  </si>
  <si>
    <t>temp_meters_small</t>
  </si>
  <si>
    <t>Total temperature meters</t>
  </si>
  <si>
    <t>tot_temp_meters</t>
  </si>
  <si>
    <t>add_turb_small</t>
  </si>
  <si>
    <t>head_tank_small</t>
  </si>
  <si>
    <t>Space between skid mounted vessels is reduced, outside access space remains the same</t>
  </si>
  <si>
    <t>space_office_small</t>
  </si>
  <si>
    <t>carbon life value- bed volumes</t>
  </si>
  <si>
    <t>Used?</t>
  </si>
  <si>
    <t>Valid input?</t>
  </si>
  <si>
    <t>Invalid reason?</t>
  </si>
  <si>
    <t>Basin Width</t>
  </si>
  <si>
    <t>basin_width</t>
  </si>
  <si>
    <t>printers</t>
  </si>
  <si>
    <t>Plant intelligence software</t>
  </si>
  <si>
    <t>Total standby power cost</t>
  </si>
  <si>
    <t>std_power_cost</t>
  </si>
  <si>
    <t>Test pit length</t>
  </si>
  <si>
    <t>Test pit width</t>
  </si>
  <si>
    <t>Test pit depth</t>
  </si>
  <si>
    <t>Borehole depth</t>
  </si>
  <si>
    <t>Spent GAC storage footprint (for on-site regeneration)</t>
  </si>
  <si>
    <t>Regenerated GAC storage footprint (for on-site regeneration)</t>
  </si>
  <si>
    <t>Access space per virgin GAC storage tank</t>
  </si>
  <si>
    <t>space_vt</t>
  </si>
  <si>
    <t>Access space per spent GAC storage tank</t>
  </si>
  <si>
    <t>Access space per regenerated GAC storage tank</t>
  </si>
  <si>
    <t>space_st</t>
  </si>
  <si>
    <t>space_rt</t>
  </si>
  <si>
    <t>Backwash pump material cost</t>
  </si>
  <si>
    <t>back_pump_mtl</t>
  </si>
  <si>
    <t>On-site GAC Regeneration</t>
  </si>
  <si>
    <t>regen_labor</t>
  </si>
  <si>
    <t>hours/year</t>
  </si>
  <si>
    <t>Equations developed in Working draft of "Design and Cost Estimates for Advanced Water Treatment Technologies", 9/30/00.</t>
  </si>
  <si>
    <r>
      <t>Bold gold</t>
    </r>
    <r>
      <rPr>
        <sz val="10"/>
        <rFont val="Arial"/>
        <family val="2"/>
      </rPr>
      <t xml:space="preserve"> cells are inputs to the sizing procedure</t>
    </r>
  </si>
  <si>
    <t>If both heating and cooling are included, standby power requirements will be based on the maximum of the two.</t>
  </si>
  <si>
    <t>diesel_heat_content</t>
  </si>
  <si>
    <t>STEP 1</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</si>
  <si>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</si>
  <si>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</si>
  <si>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MANUAL INPUTS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</si>
  <si>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</si>
  <si>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STEP 2</t>
  </si>
  <si>
    <t>Select Contaminant</t>
  </si>
  <si>
    <t>For information:</t>
  </si>
  <si>
    <t>Treatment system design flow</t>
  </si>
  <si>
    <t>df_units</t>
  </si>
  <si>
    <t>Design Flow Units</t>
  </si>
  <si>
    <t>Total standby power requirements</t>
  </si>
  <si>
    <t>std_power</t>
  </si>
  <si>
    <r>
      <t xml:space="preserve">Computer workstations per </t>
    </r>
    <r>
      <rPr>
        <i/>
        <sz val="10"/>
        <rFont val="Arial"/>
        <family val="2"/>
      </rPr>
      <t>x</t>
    </r>
    <r>
      <rPr>
        <sz val="10"/>
        <rFont val="Arial"/>
        <family val="2"/>
      </rPr>
      <t xml:space="preserve"> operators</t>
    </r>
  </si>
  <si>
    <t>operator/workstation</t>
  </si>
  <si>
    <t>Printers - laser jet</t>
  </si>
  <si>
    <t>PC Workstations</t>
  </si>
  <si>
    <t>Concrete Basins (includes Excavation, Backfill, and Compaction)</t>
  </si>
  <si>
    <t>6.6</t>
  </si>
  <si>
    <t>6.8</t>
  </si>
  <si>
    <t>Level Switches/Alarms (for vessels)</t>
  </si>
  <si>
    <t>High/Low Alarms (for backwash tanks)</t>
  </si>
  <si>
    <t>pH Meters</t>
  </si>
  <si>
    <t>PLC racks/power supplies</t>
  </si>
  <si>
    <t>Operator interface units</t>
  </si>
  <si>
    <t>comp_in_nlines</t>
  </si>
  <si>
    <t>comp_bed_depth</t>
  </si>
  <si>
    <t>comp_vert_diam</t>
  </si>
  <si>
    <t>comp_vert_height</t>
  </si>
  <si>
    <t>comp_tank_geom</t>
  </si>
  <si>
    <t>comp_max_vol</t>
  </si>
  <si>
    <t>comp_max_vert_diam</t>
  </si>
  <si>
    <t>comp_max_vert_height</t>
  </si>
  <si>
    <t>Include heating for building 1</t>
  </si>
  <si>
    <t>Include cooling for building 1</t>
  </si>
  <si>
    <t>Include heating for building 2</t>
  </si>
  <si>
    <t>Include cooling for building 2</t>
  </si>
  <si>
    <t>build1_need_heat</t>
  </si>
  <si>
    <t>build1_need_cool</t>
  </si>
  <si>
    <t>build2_need_heat</t>
  </si>
  <si>
    <t>build2_need_cool</t>
  </si>
  <si>
    <t>Frost depth</t>
  </si>
  <si>
    <t>frost</t>
  </si>
  <si>
    <t>Minimum trench depth to top of pipe</t>
  </si>
  <si>
    <t>O&amp;M Chemicals</t>
  </si>
  <si>
    <t>replace_gac_eq</t>
  </si>
  <si>
    <t>off_regen_eq</t>
  </si>
  <si>
    <t>Materials for backwash pumps</t>
  </si>
  <si>
    <t>Materials for on-site regeneration</t>
  </si>
  <si>
    <t>Energy for backwash pumps</t>
  </si>
  <si>
    <t>/kWh</t>
  </si>
  <si>
    <t>Energy for on-site regeneration</t>
  </si>
  <si>
    <t>Natural gas for on-site regeneration</t>
  </si>
  <si>
    <t>retrofit_I</t>
  </si>
  <si>
    <t>retrofit</t>
  </si>
  <si>
    <t>Select to calculate costs for modifying operational practices to allow a different carbon life than originally designed</t>
  </si>
  <si>
    <t>Retrofit (operational modification)</t>
  </si>
  <si>
    <t>Is this a retrofit design?</t>
  </si>
  <si>
    <t>1 = retrofit, 0 = new treatment system</t>
  </si>
  <si>
    <t>r_freund_type_I</t>
  </si>
  <si>
    <t>r_freund_1</t>
  </si>
  <si>
    <t>r_freund_2</t>
  </si>
  <si>
    <t>r_C_0</t>
  </si>
  <si>
    <t>r_C_b</t>
  </si>
  <si>
    <t>Carbon life input type for retrofit</t>
  </si>
  <si>
    <t>r_freund_type</t>
  </si>
  <si>
    <t>Select new carbon life input type</t>
  </si>
  <si>
    <t>r_N_0_e</t>
  </si>
  <si>
    <t>For BDST calculation, recalculated for retrofit</t>
  </si>
  <si>
    <t>Number of check valves on residuals line per residuals pump</t>
  </si>
  <si>
    <t>res_chv_pump</t>
  </si>
  <si>
    <t>Number of check valves on residuals line if no pumping</t>
  </si>
  <si>
    <t>res_chv_no_pump</t>
  </si>
  <si>
    <t>S_res_pump</t>
  </si>
  <si>
    <t>Flow meters for residuals line</t>
  </si>
  <si>
    <t>tot_fm_res</t>
  </si>
  <si>
    <t>alarm_res</t>
  </si>
  <si>
    <t>influent_TSS</t>
  </si>
  <si>
    <t>POTW rate structure</t>
  </si>
  <si>
    <t>POTW_rate_type</t>
  </si>
  <si>
    <t>&lt;-- 1 = backwash using existing supply or treated water pumps, blank = include backwash pumps in costs</t>
  </si>
  <si>
    <t>&lt;-- 1 = backwash from existing storage or supply, blank = include backwash tanks in costs</t>
  </si>
  <si>
    <t>Backwash pump operating horsepower (all pumps)</t>
  </si>
  <si>
    <t>Backwash pumping time</t>
  </si>
  <si>
    <t>Energy for all backwash pumps</t>
  </si>
  <si>
    <t>Buildup error?</t>
  </si>
  <si>
    <t>10.</t>
  </si>
  <si>
    <t>10.1</t>
  </si>
  <si>
    <t>10.2</t>
  </si>
  <si>
    <t>10.3</t>
  </si>
  <si>
    <t>10.3.1</t>
  </si>
  <si>
    <t>10.4</t>
  </si>
  <si>
    <t>10.4.1</t>
  </si>
  <si>
    <t>11.</t>
  </si>
  <si>
    <t>11.1</t>
  </si>
  <si>
    <t>11.2</t>
  </si>
  <si>
    <t>11.3</t>
  </si>
  <si>
    <t>11.4</t>
  </si>
  <si>
    <t>11.5</t>
  </si>
  <si>
    <t>11.6</t>
  </si>
  <si>
    <t>12.</t>
  </si>
  <si>
    <t>12.1</t>
  </si>
  <si>
    <t>Concrete pad thickness for small systems</t>
  </si>
  <si>
    <t>pad_thick_small</t>
  </si>
  <si>
    <t>Limitation on transportation is 53 feet in length</t>
  </si>
  <si>
    <t>in_valve_size</t>
  </si>
  <si>
    <t>Cast Iron - Backwash</t>
  </si>
  <si>
    <t>transfer_rate</t>
  </si>
  <si>
    <t>lbs/hr</t>
  </si>
  <si>
    <t>Eductor size</t>
  </si>
  <si>
    <t>eductor_size</t>
  </si>
  <si>
    <t>Eductor Size Selection</t>
  </si>
  <si>
    <t>Transfer Rate (lbs/hr)</t>
  </si>
  <si>
    <t>slurry_eq</t>
  </si>
  <si>
    <t>Miscellaneous Allowance</t>
  </si>
  <si>
    <t>Minimum surface area of contact material</t>
  </si>
  <si>
    <t>Controllers are used only under full automation</t>
  </si>
  <si>
    <t>To change the degree of automation, change the number of controllers to zero for the appropriate items.</t>
  </si>
  <si>
    <t>Drive controllers per booster pump</t>
  </si>
  <si>
    <t>Drive controllers per backwash pump</t>
  </si>
  <si>
    <t>Drive controllers per eductor</t>
  </si>
  <si>
    <t>cs_pv_eq</t>
  </si>
  <si>
    <t>csp_pv_eq</t>
  </si>
  <si>
    <t>fg_bwt_eq</t>
  </si>
  <si>
    <t>hdpe_bwt_eq</t>
  </si>
  <si>
    <t>valves/pump</t>
  </si>
  <si>
    <t>Number of motor/air operated control valves on backwash line per backwash pump</t>
  </si>
  <si>
    <t>valves/tank</t>
  </si>
  <si>
    <t>Number of motor/air operated control valves on backwash line per backwash tank</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</si>
  <si>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</si>
  <si>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</si>
  <si>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</si>
  <si>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</si>
  <si>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</si>
  <si>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</si>
  <si>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</si>
  <si>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</si>
  <si>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</si>
  <si>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</si>
  <si>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</si>
  <si>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</si>
  <si>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</si>
  <si>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</si>
  <si>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</si>
  <si>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</si>
  <si>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</si>
  <si>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</si>
  <si>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</si>
  <si>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</si>
  <si>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</si>
  <si>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</si>
  <si>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</si>
  <si>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</si>
  <si>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</si>
  <si>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</si>
  <si>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</si>
  <si>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</si>
  <si>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</si>
  <si>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</si>
  <si>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</si>
  <si>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</si>
  <si>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</si>
  <si>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</si>
  <si>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</si>
  <si>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</si>
  <si>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</si>
  <si>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</si>
  <si>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</si>
  <si>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</si>
  <si>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</si>
  <si>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</si>
  <si>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</si>
  <si>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</si>
  <si>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</si>
  <si>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</si>
  <si>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</si>
  <si>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</si>
  <si>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</si>
  <si>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</si>
  <si>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</si>
  <si>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</si>
  <si>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</si>
  <si>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</si>
  <si>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</si>
  <si>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</si>
  <si>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</si>
  <si>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</si>
  <si>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</si>
  <si>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</si>
  <si>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</si>
  <si>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</si>
  <si>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</si>
  <si>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</si>
  <si>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</si>
  <si>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</si>
  <si>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</si>
  <si>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</si>
  <si>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</si>
  <si>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</si>
  <si>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</si>
  <si>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</si>
  <si>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</si>
  <si>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</si>
  <si>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</si>
  <si>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</si>
  <si>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</si>
  <si>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</si>
  <si>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</si>
  <si>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</si>
  <si>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</si>
  <si>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</si>
  <si>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</si>
  <si>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</si>
  <si>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</si>
  <si>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</si>
  <si>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</si>
  <si>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</si>
  <si>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</si>
  <si>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</si>
  <si>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</si>
  <si>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</si>
  <si>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</si>
  <si>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</si>
  <si>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</si>
  <si>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</si>
  <si>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</si>
  <si>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</si>
  <si>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</si>
  <si>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</si>
  <si>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</si>
  <si>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</si>
  <si>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</si>
  <si>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</si>
  <si>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</si>
  <si>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</si>
  <si>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</si>
  <si>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</si>
  <si>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</si>
  <si>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</si>
  <si>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</si>
  <si>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</si>
  <si>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</si>
  <si>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</si>
  <si>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</si>
  <si>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</si>
  <si>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</si>
  <si>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</si>
  <si>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</si>
  <si>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</si>
  <si>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</si>
  <si>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</si>
  <si>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</si>
  <si>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</si>
  <si>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</si>
  <si>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</si>
  <si>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</si>
  <si>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</si>
  <si>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hmix_size</t>
  </si>
  <si>
    <t>regen_type_I</t>
  </si>
  <si>
    <t>Footprint for backwash pumps</t>
  </si>
  <si>
    <t>See Appendix E</t>
  </si>
  <si>
    <t>Standard oil furnace efficiency</t>
  </si>
  <si>
    <t>Mid-efficiency oil furnace efficiency</t>
  </si>
  <si>
    <t>1 = fully manual system, 2 = semi-automated system, 3 = fully automated system.</t>
  </si>
  <si>
    <t>Drive controller</t>
  </si>
  <si>
    <t>Minimum number of contactors in series (i.e., parallel or series operation)</t>
  </si>
  <si>
    <t>Size Constraints</t>
  </si>
  <si>
    <t xml:space="preserve"> - bed depth</t>
  </si>
  <si>
    <t>comp_min_bed_depth_a</t>
  </si>
  <si>
    <t>comp_max_bed_depth_a</t>
  </si>
  <si>
    <t xml:space="preserve"> - surface area</t>
  </si>
  <si>
    <t>comp_min_sa_a</t>
  </si>
  <si>
    <t>comp_max_sa_a</t>
  </si>
  <si>
    <t xml:space="preserve"> - contactor length</t>
  </si>
  <si>
    <t>comp_min_length_a</t>
  </si>
  <si>
    <t>comp_max_length_a</t>
  </si>
  <si>
    <t xml:space="preserve"> - contactor width</t>
  </si>
  <si>
    <t>comp_min_width_a</t>
  </si>
  <si>
    <t>comp_max_width_a</t>
  </si>
  <si>
    <t>comp_out_success_a</t>
  </si>
  <si>
    <t>based on Target Bed Depth CDA</t>
  </si>
  <si>
    <t>from min_depth CDA</t>
  </si>
  <si>
    <t>assuming max-size contactor and number of contactors above, min depth for sufficient media volume</t>
  </si>
  <si>
    <t>from max_depth CDA</t>
  </si>
  <si>
    <t>from loading: based on design flow per target line, max loading</t>
  </si>
  <si>
    <t>from loading: based on design flow per target line, min loading</t>
  </si>
  <si>
    <t>from min_length CDA</t>
  </si>
  <si>
    <t>from max_length CDA</t>
  </si>
  <si>
    <t>from min_width CDA</t>
  </si>
  <si>
    <t>from max_width CDA</t>
  </si>
  <si>
    <t>GAC Contactors</t>
  </si>
  <si>
    <t>1.</t>
  </si>
  <si>
    <t>1.1.1</t>
  </si>
  <si>
    <t>GAC Contact Basins</t>
  </si>
  <si>
    <t>Aluminum Railing</t>
  </si>
  <si>
    <t>Aluminum Stairs</t>
  </si>
  <si>
    <t>Excavation</t>
  </si>
  <si>
    <t>Backfill and Compaction</t>
  </si>
  <si>
    <t>1.2</t>
  </si>
  <si>
    <t>1.2.1</t>
  </si>
  <si>
    <t>General for all basins</t>
  </si>
  <si>
    <t>Backwash storage volume</t>
  </si>
  <si>
    <t>back_multiplier</t>
  </si>
  <si>
    <t>volume</t>
  </si>
  <si>
    <t>79-34-5</t>
  </si>
  <si>
    <t>1,2,4-trimethylbenzene</t>
  </si>
  <si>
    <t>95-63-6</t>
  </si>
  <si>
    <t>Acetochlor</t>
  </si>
  <si>
    <t>34126-82-1</t>
  </si>
  <si>
    <t>DDE</t>
  </si>
  <si>
    <t>72-55-9</t>
  </si>
  <si>
    <t>Diazinon</t>
  </si>
  <si>
    <t>Minimum will always be one, but larger systems will have multiple printers</t>
  </si>
  <si>
    <t>Number of computer workstations</t>
  </si>
  <si>
    <t>workstations</t>
  </si>
  <si>
    <t>level_switch</t>
  </si>
  <si>
    <t>Height available above media bed (for horizontal vessels)</t>
  </si>
  <si>
    <t>distance_above</t>
  </si>
  <si>
    <t>Void space above media bed (for horizontal vessels)</t>
  </si>
  <si>
    <t>void_above</t>
  </si>
  <si>
    <t>&lt;-- 1 for bed life in months, 2 for calculation from Freundlich isotherms, 4 for bed life in bed volumes</t>
  </si>
  <si>
    <t>Booster pumps</t>
  </si>
  <si>
    <t>General Labor</t>
  </si>
  <si>
    <t>Labor and Materials</t>
  </si>
  <si>
    <t>Systems have used vessels up to 14' diam and height in practice (AWWA Inorganic Contaminants Workshop 2006)</t>
  </si>
  <si>
    <t>Interval Between backwashes</t>
  </si>
  <si>
    <t>back_interval_I</t>
  </si>
  <si>
    <t>backwash Frequency</t>
  </si>
  <si>
    <t>Number of parallel treatment trains</t>
  </si>
  <si>
    <t>Heating Oil Heat Content</t>
  </si>
  <si>
    <t>Standard efficiency oil furnace</t>
  </si>
  <si>
    <t>Mid-efficiency oil furnace</t>
  </si>
  <si>
    <t>6.1.1</t>
  </si>
  <si>
    <t>6.2</t>
  </si>
  <si>
    <t>6.3</t>
  </si>
  <si>
    <t>Building #1 value</t>
  </si>
  <si>
    <t>Building #2 value</t>
  </si>
  <si>
    <t>Building permit cost</t>
  </si>
  <si>
    <t>NPDES permit cost</t>
  </si>
  <si>
    <t>Storm water permit cost</t>
  </si>
  <si>
    <t>Risk management plan</t>
  </si>
  <si>
    <t>NEPA compliance</t>
  </si>
  <si>
    <t>Total permit cost</t>
  </si>
  <si>
    <t>permit_cost</t>
  </si>
  <si>
    <t>Determined using Use? Column of output sheet</t>
  </si>
  <si>
    <t>Uses custom function to apply formulae developed in SAIC Permit Report 2004</t>
  </si>
  <si>
    <t>Included only if direct discharge to surface water is the management option chosen on the input sheet</t>
  </si>
  <si>
    <t>Applies to systems requiring 1 acre of land or greater</t>
  </si>
  <si>
    <t>Not applicable for this technology</t>
  </si>
  <si>
    <t>Included only for high cost estimates, unless assumption "include_NEPA" is changed on CDA sheet</t>
  </si>
  <si>
    <t>Total sitework cost</t>
  </si>
  <si>
    <t>sitework_cost</t>
  </si>
  <si>
    <t>regen_materials</t>
  </si>
  <si>
    <t>/year</t>
  </si>
  <si>
    <t>Booster &amp; Backwash Pumps</t>
  </si>
  <si>
    <t>back_pump_psi</t>
  </si>
  <si>
    <t>psi</t>
  </si>
  <si>
    <t>back_hrs_yr</t>
  </si>
  <si>
    <t>back_pump_energy</t>
  </si>
  <si>
    <t>regen_energy</t>
  </si>
  <si>
    <t>6.4</t>
  </si>
  <si>
    <t>Pipe length from water source to the boundary of the 10 foot buffer</t>
  </si>
  <si>
    <t>yard_in</t>
  </si>
  <si>
    <t>yard_out</t>
  </si>
  <si>
    <t>Use if technology is first step in treatment process</t>
  </si>
  <si>
    <t>Use if technology is last step in treatment process</t>
  </si>
  <si>
    <t>Trench Volume total</t>
  </si>
  <si>
    <t>trench_vol</t>
  </si>
  <si>
    <t>Equivalent pipe length</t>
  </si>
  <si>
    <t>yard_pipe_length</t>
  </si>
  <si>
    <t>Bedding cross sectional surface area</t>
  </si>
  <si>
    <t>Bedding depth surrounding the pipe</t>
  </si>
  <si>
    <t>bedding_pct</t>
  </si>
  <si>
    <t>of pipe diameter</t>
  </si>
  <si>
    <t>System Automation</t>
  </si>
  <si>
    <t>System automation</t>
  </si>
  <si>
    <t>Cost estimating method</t>
  </si>
  <si>
    <t>&lt;-- enter 1 to use cost equations, leave blank to use lookup tables for component costs</t>
  </si>
  <si>
    <t>Bedding volume</t>
  </si>
  <si>
    <t>Electric resistance heating efficiency</t>
  </si>
  <si>
    <t>Heat pump heating coefficient of performance</t>
  </si>
  <si>
    <t>resist_eff</t>
  </si>
  <si>
    <t>COP</t>
  </si>
  <si>
    <t>Number of MOVs for process line</t>
  </si>
  <si>
    <t>Guidance: Typical pressure GAC bed depths are 2 to 8.5 ft.</t>
  </si>
  <si>
    <t>GAC transfer method</t>
  </si>
  <si>
    <t>Regeneration</t>
  </si>
  <si>
    <t>regen_type</t>
  </si>
  <si>
    <t>proc_MOV_vessel</t>
  </si>
  <si>
    <t>Carbon Life or Kf</t>
  </si>
  <si>
    <t>Blank or 1/n</t>
  </si>
  <si>
    <t>Blank or Influent Concentration</t>
  </si>
  <si>
    <t>Blank or Breakthrough Concentration</t>
  </si>
  <si>
    <t>EBCT (min) or Influent Conc</t>
  </si>
  <si>
    <t>Blank or Breakthrough Conc</t>
  </si>
  <si>
    <t>Blank or Kss</t>
  </si>
  <si>
    <t>GAC volume when expanded</t>
  </si>
  <si>
    <t>kW</t>
  </si>
  <si>
    <t>Spent Media</t>
  </si>
  <si>
    <t>This is the MAXIMUM; space between vessels and tanks defaults to vessel or tank diameter, up to this maximum.  Maximum provides space for sandblasting and painting for large vessels (5-8 feet per Richard E. Hubel, Peter Keenan, American Water Works Service Company).</t>
  </si>
  <si>
    <t>TSS in system influent</t>
  </si>
  <si>
    <t>Assumption</t>
  </si>
  <si>
    <t>Range Name</t>
  </si>
  <si>
    <t>Value</t>
  </si>
  <si>
    <t>Units</t>
  </si>
  <si>
    <t>Guidance</t>
  </si>
  <si>
    <t>To change the degree of automation, the user may replace the numbers in each of the blue columns.</t>
  </si>
  <si>
    <t>Full automation includes all inputs and outputs, semi-automated uses inputs only, manual control uses neither</t>
  </si>
  <si>
    <t>Concrete pad thickness</t>
  </si>
  <si>
    <t>pad_thick</t>
  </si>
  <si>
    <t>none</t>
  </si>
  <si>
    <t>Average flow expressed in gpm</t>
  </si>
  <si>
    <t>Building and Land Usage</t>
  </si>
  <si>
    <t>Direct Equipment</t>
  </si>
  <si>
    <t>r_build1_fp</t>
  </si>
  <si>
    <t>New footprint of building 1</t>
  </si>
  <si>
    <t>New footprint of building 2</t>
  </si>
  <si>
    <t>Incremental building 1 floorplan required for retrofit</t>
  </si>
  <si>
    <t>Incremental building 2 floorplan required for retrofit</t>
  </si>
  <si>
    <t>Resulting priority selection (after considering whether this is a retrofit scenario)</t>
  </si>
  <si>
    <t>Include in Retrofit?</t>
  </si>
  <si>
    <t>Baseline priority selection</t>
  </si>
  <si>
    <t>Media changeouts per year after retrofit</t>
  </si>
  <si>
    <t>Quantity of media handled per year after retrofit</t>
  </si>
  <si>
    <t>r_media_changes</t>
  </si>
  <si>
    <t>r_media_changes_cf</t>
  </si>
  <si>
    <t>r_disp_freq</t>
  </si>
  <si>
    <t>Spent media disposal frequency after retrofit</t>
  </si>
  <si>
    <t>r_spent_media_yr</t>
  </si>
  <si>
    <t>Spent media quantity (average per year) after retrofit</t>
  </si>
  <si>
    <t>r_disposal_fee</t>
  </si>
  <si>
    <t>Spent media disposal fee after retrofit</t>
  </si>
  <si>
    <t>Total annual spent media diposal fee after retrofit</t>
  </si>
  <si>
    <t>Spent media shipments per year after retrofit</t>
  </si>
  <si>
    <t>Additional Calculations for Retrofit with On-site Regeneration</t>
  </si>
  <si>
    <t>Incremental operator labor for media changeouts after retrofit</t>
  </si>
  <si>
    <t>r_inc_Operator_LOE</t>
  </si>
  <si>
    <t>Average regeneration rate after retrofit</t>
  </si>
  <si>
    <t>Total annual GAC needed after retrofit</t>
  </si>
  <si>
    <t>Annual Regenerated GAC after retrofit</t>
  </si>
  <si>
    <t>Annual Virgin GAC after retrofit</t>
  </si>
  <si>
    <t>Default number of backwash basins</t>
  </si>
  <si>
    <t>back_basins_default</t>
  </si>
  <si>
    <t>Backwash basin depth to volume ratio</t>
  </si>
  <si>
    <t>back_ratio</t>
  </si>
  <si>
    <t>Backwash freeboard</t>
  </si>
  <si>
    <t>back_freeboard</t>
  </si>
  <si>
    <t xml:space="preserve">Number of motor/air operated control valves on process line per contactor </t>
  </si>
  <si>
    <t>Number of motor/air operated control valves on process line per vessel (series presure vessel systems)</t>
  </si>
  <si>
    <t>Number of motor/air operated control valves on backwash line per contactor</t>
  </si>
  <si>
    <t>I/O combination analog modules</t>
  </si>
  <si>
    <t>from max surface area</t>
  </si>
  <si>
    <t>max bed depth for max_height, given freeboard and bed expansion</t>
  </si>
  <si>
    <t>from guidance provided by Bob Dvorin, 5/16/05</t>
  </si>
  <si>
    <t>from max load and actual diameter</t>
  </si>
  <si>
    <t>ensures that bed depth is sufficient for required volume of medium</t>
  </si>
  <si>
    <t>51218-45-2</t>
  </si>
  <si>
    <t>21087-64-9</t>
  </si>
  <si>
    <t>91-20-3</t>
  </si>
  <si>
    <t>1,1,2,2-tetrachloroethane</t>
  </si>
  <si>
    <t>space_bt</t>
  </si>
  <si>
    <t>Water Type</t>
  </si>
  <si>
    <t>Atrazine</t>
  </si>
  <si>
    <t>Average Flow Units</t>
  </si>
  <si>
    <t>EBCT Input Type</t>
  </si>
  <si>
    <t>Miles to hazardous solid waste disposal site</t>
  </si>
  <si>
    <t>haz_miles</t>
  </si>
  <si>
    <t>S_mixer</t>
  </si>
  <si>
    <t>solids_haz</t>
  </si>
  <si>
    <t>Spent media regeneration method</t>
  </si>
  <si>
    <t>TSS in residuals</t>
  </si>
  <si>
    <t>TSS_residuals</t>
  </si>
  <si>
    <t>Holding tank annual TSS accumulation</t>
  </si>
  <si>
    <t>Holding tank annual coagulant accumulation</t>
  </si>
  <si>
    <t>Holding tank annual solids accumulation</t>
  </si>
  <si>
    <t>num_treat_lines</t>
  </si>
  <si>
    <t>lines</t>
  </si>
  <si>
    <t>Number of redundant units</t>
  </si>
  <si>
    <t>NRD</t>
  </si>
  <si>
    <t>from media constraint table</t>
  </si>
  <si>
    <t>max bed depth for max_height or max_diam, given freeboard and bed expansion</t>
  </si>
  <si>
    <t>comp_min_vert_height</t>
  </si>
  <si>
    <t>State/local regulations typically require 2x width or depth</t>
  </si>
  <si>
    <t>Septic drain field trench total gravel depth</t>
  </si>
  <si>
    <t>sept_gravel_d</t>
  </si>
  <si>
    <t>ss_man_eq_proc</t>
  </si>
  <si>
    <t>ci_bfv_eq_proc</t>
  </si>
  <si>
    <t>Number of check valves on influent line</t>
  </si>
  <si>
    <t>tot_in_chv</t>
  </si>
  <si>
    <t>pp_chv_eq_in</t>
  </si>
  <si>
    <t>ss_chv_eq_in</t>
  </si>
  <si>
    <t>ci_chv_eq_in</t>
  </si>
  <si>
    <t xml:space="preserve"> -vessel surface area</t>
  </si>
  <si>
    <t>comp_min_sa_vessel</t>
  </si>
  <si>
    <t>comp_max_sa_vessel</t>
  </si>
  <si>
    <t>All instruments for preventative maintenance</t>
  </si>
  <si>
    <t>Number of pumps for operation</t>
  </si>
  <si>
    <t>Pumps requiring daily observation/adjustment</t>
  </si>
  <si>
    <t>Total number of pumps for maintenance</t>
  </si>
  <si>
    <t>tot_pumps_maint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</si>
  <si>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</si>
  <si>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</si>
  <si>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</si>
  <si>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</si>
  <si>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</si>
  <si>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</si>
  <si>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Explicitly included when backwash frequency is high</t>
  </si>
  <si>
    <t>Verify/adjust valve positions</t>
  </si>
  <si>
    <t>Preventative maintenance and inspection of valves</t>
  </si>
  <si>
    <t>Visual inspection of facility</t>
  </si>
  <si>
    <t>Technology-specific Labor</t>
  </si>
  <si>
    <t>On-site GAC regeneration labor</t>
  </si>
  <si>
    <t>Buried pipe length</t>
  </si>
  <si>
    <t>buried_res_pipe_length</t>
  </si>
  <si>
    <t>spent_basin_op_depth</t>
  </si>
  <si>
    <t>Total number of instruments for maintenance</t>
  </si>
  <si>
    <t>tot_inst_maint</t>
  </si>
  <si>
    <t>target_bed_depth_over</t>
  </si>
  <si>
    <t>target_bed_depth_horiz</t>
  </si>
  <si>
    <t>Used only for autosize procedure</t>
  </si>
  <si>
    <t>Horizontal design search</t>
  </si>
  <si>
    <t>Alarm (including level switch/alarms, high/low alarms, low alarms)</t>
  </si>
  <si>
    <t>alarm</t>
  </si>
  <si>
    <t>Sampling port</t>
  </si>
  <si>
    <t>port</t>
  </si>
  <si>
    <t>pH meter</t>
  </si>
  <si>
    <t>ph</t>
  </si>
  <si>
    <t>Temperature meter</t>
  </si>
  <si>
    <t>temp</t>
  </si>
  <si>
    <t>Turbidity meter</t>
  </si>
  <si>
    <t>This assumption applies if concrete basins are used. Additonal basins are used, however, if needed to achieve minimum holding time. If tanks are used, number calculated on design sheet.</t>
  </si>
  <si>
    <t>Holding tank/basin mixer horsepower (if coagulant is used)</t>
  </si>
  <si>
    <t>Holding tank/basin solids transfer method</t>
  </si>
  <si>
    <t>High/Low alarms per holding tank/basin</t>
  </si>
  <si>
    <t>Time to empty holding tank/basin soilds</t>
  </si>
  <si>
    <t>Number of manual control valves on residuals line per holding tank/basin</t>
  </si>
  <si>
    <t>Holding tank/basin solids density</t>
  </si>
  <si>
    <t>Number of motor/air operated control valves on residuals line per holding tank/basin</t>
  </si>
  <si>
    <t>Holdin basin operating depth</t>
  </si>
  <si>
    <t>Holding basin width</t>
  </si>
  <si>
    <t>Holding basin length</t>
  </si>
  <si>
    <t>Holding basin depth including freeboard</t>
  </si>
  <si>
    <t>Holding basin volume</t>
  </si>
  <si>
    <t>Total residuals storage volume in cubic feet</t>
  </si>
  <si>
    <t>total_hvol_ft</t>
  </si>
  <si>
    <t>Residuals storage volume per basin in cubic feet</t>
  </si>
  <si>
    <t>Holding basin redundancy factor</t>
  </si>
  <si>
    <t>hbasin_redun</t>
  </si>
  <si>
    <t>To account for minumum coagulation time, when concrete basins are used, rather than tanks</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</si>
  <si>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</si>
  <si>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</si>
  <si>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</si>
  <si>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</si>
  <si>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</si>
  <si>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</si>
  <si>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</si>
  <si>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</si>
  <si>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Natural gas non-condensing furnace efficiency</t>
  </si>
  <si>
    <t>Natural gas condensing furnace efficiency</t>
  </si>
  <si>
    <t>hp_EER</t>
  </si>
  <si>
    <t>gas_non_eff</t>
  </si>
  <si>
    <t>gas_eff</t>
  </si>
  <si>
    <t>diesel_non_eff</t>
  </si>
  <si>
    <t>diesel_eff</t>
  </si>
  <si>
    <t>Building 1 air exchange cooling loss</t>
  </si>
  <si>
    <t>Building 2 side conductance cooling loss</t>
  </si>
  <si>
    <t>Buiding 2 ceiling conductance cooling loss</t>
  </si>
  <si>
    <t>Building 2 air exchange cooling loss</t>
  </si>
  <si>
    <t>proc_man_pump</t>
  </si>
  <si>
    <t>back_man_vessel</t>
  </si>
  <si>
    <t>back_man_pump</t>
  </si>
  <si>
    <t>back_man_tank</t>
  </si>
  <si>
    <t>back_man_no_back</t>
  </si>
  <si>
    <t xml:space="preserve">Number of manual valves on process line per booster pump </t>
  </si>
  <si>
    <t>Number of manual valves on backwash line per backwash pump</t>
  </si>
  <si>
    <t>Number of manual valves on backwash line per backwash tank</t>
  </si>
  <si>
    <t>Number of manual valves on backwash line if no backwash pumps</t>
  </si>
  <si>
    <t>proc_MOV_vessel_par</t>
  </si>
  <si>
    <t>proc_man_vessel_par</t>
  </si>
  <si>
    <t>proc_man_vessel_ser</t>
  </si>
  <si>
    <t>Empty Bed Contact Time</t>
  </si>
  <si>
    <r>
      <t>C</t>
    </r>
    <r>
      <rPr>
        <b/>
        <vertAlign val="subscript"/>
        <sz val="10"/>
        <color indexed="17"/>
        <rFont val="Arial"/>
        <family val="2"/>
      </rPr>
      <t>e</t>
    </r>
    <r>
      <rPr>
        <b/>
        <sz val="10"/>
        <color indexed="17"/>
        <rFont val="Arial"/>
        <family val="2"/>
      </rPr>
      <t>/C</t>
    </r>
    <r>
      <rPr>
        <b/>
        <vertAlign val="subscript"/>
        <sz val="10"/>
        <color indexed="17"/>
        <rFont val="Arial"/>
        <family val="2"/>
      </rPr>
      <t>0</t>
    </r>
    <r>
      <rPr>
        <b/>
        <sz val="10"/>
        <color indexed="17"/>
        <rFont val="Arial"/>
        <family val="2"/>
      </rPr>
      <t xml:space="preserve"> = e</t>
    </r>
    <r>
      <rPr>
        <b/>
        <vertAlign val="superscript"/>
        <sz val="10"/>
        <color indexed="17"/>
        <rFont val="Arial"/>
        <family val="2"/>
      </rPr>
      <t>-Kss*EBCT</t>
    </r>
  </si>
  <si>
    <t>ht_solids_density</t>
  </si>
  <si>
    <t>htank_TSSrem</t>
  </si>
  <si>
    <t>coag_TSSrem</t>
  </si>
  <si>
    <t>htank_clean_pct</t>
  </si>
  <si>
    <t>1634-04-4</t>
  </si>
  <si>
    <t>Leave blank to accept model defaults (systems &lt;1 MGD backwash using existing supply or treated water pumps, other systems add new backwash pumps)</t>
  </si>
  <si>
    <r>
      <t xml:space="preserve">For information: </t>
    </r>
    <r>
      <rPr>
        <sz val="10"/>
        <color indexed="17"/>
        <rFont val="Arial"/>
        <family val="2"/>
      </rPr>
      <t># of backwash pumps</t>
    </r>
  </si>
  <si>
    <t>res_flow_annual</t>
  </si>
  <si>
    <t>Spent Backwash</t>
  </si>
  <si>
    <t>Accounts for flow equalization if holding tanks used</t>
  </si>
  <si>
    <t>Accounts for less than perfect staggering if holding tanks are used</t>
  </si>
  <si>
    <t>Replacement/disposal frequency</t>
  </si>
  <si>
    <t>disp_freq</t>
  </si>
  <si>
    <t>Spent media quantity (total per event)</t>
  </si>
  <si>
    <t>times per year</t>
  </si>
  <si>
    <t>Capital Items</t>
  </si>
  <si>
    <t>Holding tanks (for flow equalization)</t>
  </si>
  <si>
    <t>Size of valves for process line</t>
  </si>
  <si>
    <t>tot_proc_MOVs</t>
  </si>
  <si>
    <t>tot_back_MOVs</t>
  </si>
  <si>
    <t>Size of valves for backwash pipe line</t>
  </si>
  <si>
    <t>Manual</t>
  </si>
  <si>
    <t>Check Valves</t>
  </si>
  <si>
    <t>Motor/Air Operated (on/off)</t>
  </si>
  <si>
    <t>hp</t>
  </si>
  <si>
    <t>hr/yr</t>
  </si>
  <si>
    <t>/yr</t>
  </si>
  <si>
    <t>Site Work</t>
  </si>
  <si>
    <t>proc_pipe_length</t>
  </si>
  <si>
    <t>Backwash piping length</t>
  </si>
  <si>
    <t>back_pipe_length</t>
  </si>
  <si>
    <t>linear feet</t>
  </si>
  <si>
    <t>Air_changes_contactor</t>
  </si>
  <si>
    <t>Air_changes_pump</t>
  </si>
  <si>
    <t>Air_changes_chem_storage</t>
  </si>
  <si>
    <t>Air_changes_office</t>
  </si>
  <si>
    <t>Building_height</t>
  </si>
  <si>
    <t>air changes/hr</t>
  </si>
  <si>
    <t>Building height</t>
  </si>
  <si>
    <t>Pressure drop across the fan</t>
  </si>
  <si>
    <t>lbs/ft2</t>
  </si>
  <si>
    <t>Fan_pressure_drop</t>
  </si>
  <si>
    <t>cy</t>
  </si>
  <si>
    <t>Booster pump operating horsepower</t>
  </si>
  <si>
    <t>Average Flow Rate</t>
  </si>
  <si>
    <t>average_flow_rate</t>
  </si>
  <si>
    <t>square ft</t>
  </si>
  <si>
    <t>Design #</t>
  </si>
  <si>
    <t>pump_eq_back</t>
  </si>
  <si>
    <t>Footprint for booster pumps</t>
  </si>
  <si>
    <t>Total footprint for pumps</t>
  </si>
  <si>
    <t>Low</t>
  </si>
  <si>
    <t>High</t>
  </si>
  <si>
    <t>Small (&lt;1 mgd)</t>
  </si>
  <si>
    <t>Medium (1-10 mgd)</t>
  </si>
  <si>
    <t>Large (&gt;10 mgd)</t>
  </si>
  <si>
    <t>Cast Iron - Process</t>
  </si>
  <si>
    <t>Number of mechanical ventilation days per year first building (small system)</t>
  </si>
  <si>
    <t>fan_days_build1_small</t>
  </si>
  <si>
    <t>Media and Chemicals</t>
  </si>
  <si>
    <t>di_pipe_eq_proc</t>
  </si>
  <si>
    <t>cpvc_pipe_eq_proc</t>
  </si>
  <si>
    <t>pvc_pipe_eq_proc</t>
  </si>
  <si>
    <t>ss_pipe_eq_proc</t>
  </si>
  <si>
    <t>st_pipe_eq_proc</t>
  </si>
  <si>
    <t>Carbon expansion during backwash</t>
  </si>
  <si>
    <t>Total discrete inputs</t>
  </si>
  <si>
    <t>Total discrete outputs</t>
  </si>
  <si>
    <t>Total analog inputs</t>
  </si>
  <si>
    <t>Total analog outputs</t>
  </si>
  <si>
    <t>discrete_inputs</t>
  </si>
  <si>
    <t>US Army Corps of Engineers recommended minimum cover for distribution pipes of 2.5 ft in grassed areas, 3 ft if buried under pavement or roadways but not less than frost penetration depth (USACOE 1984)</t>
  </si>
  <si>
    <t>min_trench_depth</t>
  </si>
  <si>
    <t>&lt;-- 1 for slurry pumps, 2 for eductors, 3 for manual trabsfer</t>
  </si>
  <si>
    <t>Solids transfer for holding tanks</t>
  </si>
  <si>
    <t>res_transfer_rate</t>
  </si>
  <si>
    <t>Transfer rate in gallons</t>
  </si>
  <si>
    <t>res_transfer_rate_gal</t>
  </si>
  <si>
    <t>Number of slurry pump systems</t>
  </si>
  <si>
    <t>res_slurry_pumps</t>
  </si>
  <si>
    <t>res_eductors</t>
  </si>
  <si>
    <t>Effective transfer rate</t>
  </si>
  <si>
    <t>res_eff_transfer_rate</t>
  </si>
  <si>
    <t>res_eductor_size</t>
  </si>
  <si>
    <t>Solids Transfer</t>
  </si>
  <si>
    <t>res_slurry_eq</t>
  </si>
  <si>
    <t>res_seductor_eq</t>
  </si>
  <si>
    <t>Financing during Construction</t>
  </si>
  <si>
    <t>pp_man_eq</t>
  </si>
  <si>
    <t>ss_man_eq</t>
  </si>
  <si>
    <t>ci_bfv_eq</t>
  </si>
  <si>
    <t>pp_chv_eq_back</t>
  </si>
  <si>
    <t>pp_chv_eq</t>
  </si>
  <si>
    <t>ss_chv_eq_back</t>
  </si>
  <si>
    <t>ss_chv_eq</t>
  </si>
  <si>
    <t>ci_chv_eq_back</t>
  </si>
  <si>
    <t>ci_chv_eq</t>
  </si>
  <si>
    <t>back_pump_eq</t>
  </si>
  <si>
    <t>Number of mechanical ventilation days per year first building (medium system)</t>
  </si>
  <si>
    <t>fan_days_build1_medium</t>
  </si>
  <si>
    <t>For medium systems (1 - 10 MGD)</t>
  </si>
  <si>
    <t>Number of mechanical ventilation days per year 2nd building (medium system)</t>
  </si>
  <si>
    <t>fan_days_build2_medium</t>
  </si>
  <si>
    <t>Volume available for media and expansion:</t>
  </si>
  <si>
    <t>Vertical vessel</t>
  </si>
  <si>
    <t>vert_vol_available</t>
  </si>
  <si>
    <t>Horizontal vessel</t>
  </si>
  <si>
    <t>horiz_vol_available</t>
  </si>
  <si>
    <t>For selected vessel geometry</t>
  </si>
  <si>
    <t>input_vol_vess</t>
  </si>
  <si>
    <t>Size of valves for bypass line</t>
  </si>
  <si>
    <t>bypass_valve_size</t>
  </si>
  <si>
    <t>Number of check valves on bypass line</t>
  </si>
  <si>
    <t>Electric resistance</t>
  </si>
  <si>
    <t>Minutes per backwash for automated systems</t>
  </si>
  <si>
    <t>uloe_autoback</t>
  </si>
  <si>
    <t>Backwashes per year</t>
  </si>
  <si>
    <t>backwash_yr</t>
  </si>
  <si>
    <t>hours/cubic foot</t>
  </si>
  <si>
    <t>Holding tanks are designed with a capacity of one generation event, multiplied by this safety factor. This multiplier accounts for less than perfect staggering of generation events and provides for solids accumulation (i.e., it provides excess capacity).</t>
  </si>
  <si>
    <t>Geotechnical &amp; Sitework</t>
  </si>
  <si>
    <t>proc_pipe_flow</t>
  </si>
  <si>
    <t>Process pipe diameter</t>
  </si>
  <si>
    <t>proc_pipe_diam</t>
  </si>
  <si>
    <t>water_flush</t>
  </si>
  <si>
    <t>Office space</t>
  </si>
  <si>
    <t>office_fp</t>
  </si>
  <si>
    <t>Office space per employee</t>
  </si>
  <si>
    <t>space_office</t>
  </si>
  <si>
    <t>Building 1 weighted average air changes</t>
  </si>
  <si>
    <t>Building 2 weighted average air changes</t>
  </si>
  <si>
    <t>air_changes_build1</t>
  </si>
  <si>
    <t>air_changes_build2</t>
  </si>
  <si>
    <t>Piping Design</t>
  </si>
  <si>
    <t>Backwash pump rating</t>
  </si>
  <si>
    <t>Booster pump rating</t>
  </si>
  <si>
    <t>back_pump_rating</t>
  </si>
  <si>
    <t>Backwash pipe flow</t>
  </si>
  <si>
    <t>back_pipe_flow</t>
  </si>
  <si>
    <t>Backwash pipe diameter</t>
  </si>
  <si>
    <t>back_pipe_diam</t>
  </si>
  <si>
    <t>booster_pump_maintenance</t>
  </si>
  <si>
    <t>cpvc_pipe_eq_in_out</t>
  </si>
  <si>
    <t>pvc_pipe_eq_in_out</t>
  </si>
  <si>
    <t>ss_pipe_eq_in_out</t>
  </si>
  <si>
    <t>st_pipe_eq_in_out</t>
  </si>
  <si>
    <t>di_pipe_eq_in_out</t>
  </si>
  <si>
    <t>Energy per booster pump</t>
  </si>
  <si>
    <t>Energy for all active booster pumps</t>
  </si>
  <si>
    <t>Carbon Steel - Stainless Internals</t>
  </si>
  <si>
    <t>Total number of vessels including redundancy</t>
  </si>
  <si>
    <t>final_num_tanks</t>
  </si>
  <si>
    <t>Number of vessels excluding redundancy</t>
  </si>
  <si>
    <t>op_num_tanks</t>
  </si>
  <si>
    <t>$/acre</t>
  </si>
  <si>
    <t>Installation, Transportatation, and O&amp;P</t>
  </si>
  <si>
    <t>Railing length</t>
  </si>
  <si>
    <t>Virgin GAC Storage basin width</t>
  </si>
  <si>
    <t>Virgin GAC Storage basin length</t>
  </si>
  <si>
    <t>Virgin GAC Storage basin volume</t>
  </si>
  <si>
    <t>Number of Virgin GAC Storage tanks</t>
  </si>
  <si>
    <t>Virgin GAC Storage tank volume</t>
  </si>
  <si>
    <t>Virgin GAC Storage basin operating depth</t>
  </si>
  <si>
    <t>virgin_basin_op_depth</t>
  </si>
  <si>
    <t>virgin_basin_width</t>
  </si>
  <si>
    <t>virgin_basin_length</t>
  </si>
  <si>
    <t>virgin_basin_depth</t>
  </si>
  <si>
    <t>virgin_basin_vol</t>
  </si>
  <si>
    <t>virgin_conc_vol</t>
  </si>
  <si>
    <t>virgin_excavation_vol</t>
  </si>
  <si>
    <t>virgin_backfill_vol</t>
  </si>
  <si>
    <t>virgin_railing</t>
  </si>
  <si>
    <t>virgin_tanks</t>
  </si>
  <si>
    <t>virgin_tank_vol</t>
  </si>
  <si>
    <t>Depth including freeboard</t>
  </si>
  <si>
    <t>If concrete basins are used, rather than tanks</t>
  </si>
  <si>
    <t>cubic yd</t>
  </si>
  <si>
    <t>If tanks are used, rather than concrete basins</t>
  </si>
  <si>
    <t>storage_basins</t>
  </si>
  <si>
    <t>trench_angle</t>
  </si>
  <si>
    <t>Capacity of on-site regeneration increased to account for system runtime and redundancy needs</t>
  </si>
  <si>
    <t>Total annual GAC needed</t>
  </si>
  <si>
    <t>GAC_yr</t>
  </si>
  <si>
    <t>When regenerating, this quantity is made up of regenerated GAC + makeup GAC</t>
  </si>
  <si>
    <t>Annual Regenerated GAC</t>
  </si>
  <si>
    <t>regen_yr</t>
  </si>
  <si>
    <t>Annual Virgin GAC</t>
  </si>
  <si>
    <t>GAC_makeup</t>
  </si>
  <si>
    <t>Transfer rate required</t>
  </si>
  <si>
    <t>virgin_storage</t>
  </si>
  <si>
    <t>cubic ft</t>
  </si>
  <si>
    <t>spent_storage</t>
  </si>
  <si>
    <t>regen_storage</t>
  </si>
  <si>
    <t>Footprint for backwash tank</t>
  </si>
  <si>
    <t>GAC Storage (when on-site regeneration is used)</t>
  </si>
  <si>
    <t>On-site regeneration footprint</t>
  </si>
  <si>
    <t>Vessel Constraints</t>
  </si>
  <si>
    <t>Minimum total contact material needed</t>
  </si>
  <si>
    <t>Minimum volume of contact material per vessel</t>
  </si>
  <si>
    <t>Final surface area of contact material</t>
  </si>
  <si>
    <t>Final surface loading rate</t>
  </si>
  <si>
    <t>comm_SA</t>
  </si>
  <si>
    <t>comm_load_rate</t>
  </si>
  <si>
    <t>max_height</t>
  </si>
  <si>
    <t>max_diam</t>
  </si>
  <si>
    <t>mg/L</t>
  </si>
  <si>
    <t>Technology complexity factor</t>
  </si>
  <si>
    <t>complexity</t>
  </si>
  <si>
    <t>op_fm_eq_back</t>
  </si>
  <si>
    <t>Polypropylene/PVC - Process</t>
  </si>
  <si>
    <t>Polypropylene/PVC - Backwash</t>
  </si>
  <si>
    <t>Eductors</t>
  </si>
  <si>
    <t>ppm</t>
  </si>
  <si>
    <t>gpm</t>
  </si>
  <si>
    <t>bed volumes</t>
  </si>
  <si>
    <t>lbs/cubic ft</t>
  </si>
  <si>
    <t>gallons</t>
  </si>
  <si>
    <t>valves</t>
  </si>
  <si>
    <t>Turbidity meters</t>
  </si>
  <si>
    <t>Head loss sensors</t>
  </si>
  <si>
    <t>Electrical enclosure</t>
  </si>
  <si>
    <t>tot_switches</t>
  </si>
  <si>
    <t>Pressure</t>
  </si>
  <si>
    <t>GAC</t>
  </si>
  <si>
    <t>309-00-2</t>
  </si>
  <si>
    <t>108-86-1</t>
  </si>
  <si>
    <t>21725-46-2</t>
  </si>
  <si>
    <t>1,1-dichloroethane</t>
  </si>
  <si>
    <t>75-34-3</t>
  </si>
  <si>
    <t>res_s2_opt_I</t>
  </si>
  <si>
    <t>res_s1_opt_I</t>
  </si>
  <si>
    <t>solids_haz_I</t>
  </si>
  <si>
    <t>&lt;-- 1 for holding tank, 2 for no holding tank</t>
  </si>
  <si>
    <t>Virgin_GAC_storage_fp</t>
  </si>
  <si>
    <t>Spent_GAC_storage_fp</t>
  </si>
  <si>
    <t>Regenerated_GAC_storage_fp</t>
  </si>
  <si>
    <t>Virgin GAC storage footprint (for on-site regeneration)</t>
  </si>
  <si>
    <t>Polymer solution density</t>
  </si>
  <si>
    <t>Number of check valves on polymer line per metering pump</t>
  </si>
  <si>
    <t>polymer_chv_pump</t>
  </si>
  <si>
    <t>Applies only with polymer addition to residuals</t>
  </si>
  <si>
    <t>tot_polymer_chv</t>
  </si>
  <si>
    <t>pp_chv_eq_polymer</t>
  </si>
  <si>
    <t>ss_chv_eq_polymer</t>
  </si>
  <si>
    <t>ci_chv_eq_polymer</t>
  </si>
  <si>
    <t>4.3.5</t>
  </si>
  <si>
    <t>Polymer - Polypropylene/PVC</t>
  </si>
  <si>
    <t>Polymer - Stainless Steel</t>
  </si>
  <si>
    <t>Polymer - Cast Iron</t>
  </si>
  <si>
    <t>UPSs  in add-on scenario</t>
  </si>
  <si>
    <t>existing pumps</t>
  </si>
  <si>
    <t>existing storage</t>
  </si>
  <si>
    <t>Hydraulic surface loading rate determines headloss and is usually kept between 2 -10 gpm/sf. Higher loading rates OK if hydraulics and tests allow. Typical hydraulic design criteria are a surface loading rate of 2-10 gpm/ft2 (Montgomery, James M.  Water Treatment Principles and Design.  New York: John Wiley and Sons, 1985. Pp. 553.)  Most regulatory agencies will not approve rates in excess of 2 gpm/ft2 without successful pilot-scale testing (American Water Works Association and American Society of Civil Engineers. Water Treatment Plant Design. Third Edition. New York: McGraw Hill, 1998. Pp. 158.).</t>
  </si>
  <si>
    <t>Add-on?</t>
  </si>
  <si>
    <t>UVAOP Quench (Add-on)</t>
  </si>
  <si>
    <t>Used only for autosize procedure flow less than 1 MGD</t>
  </si>
  <si>
    <t>target_bed_depth_over_g_UVAOP</t>
  </si>
  <si>
    <t>target_bed_depth_under_g_UVAOP</t>
  </si>
  <si>
    <t>strictest maximum of the above, rounded</t>
  </si>
  <si>
    <t>contact_material</t>
  </si>
  <si>
    <t>cubic feet</t>
  </si>
  <si>
    <t>contact_mat_per_vessel</t>
  </si>
  <si>
    <t>SA</t>
  </si>
  <si>
    <t>diameter</t>
  </si>
  <si>
    <t>height</t>
  </si>
  <si>
    <t xml:space="preserve">    Required vessel diameter (circular vessels)</t>
  </si>
  <si>
    <t>General Operator Labor</t>
  </si>
  <si>
    <t>General_Oper_Labor</t>
  </si>
  <si>
    <t>Technology</t>
  </si>
  <si>
    <t>Based on general operator labor and percentages in critical design assumptions</t>
  </si>
  <si>
    <t>max_length</t>
  </si>
  <si>
    <t>Number of booster pumps</t>
  </si>
  <si>
    <t>booster_pumps</t>
  </si>
  <si>
    <t>pump_rating</t>
  </si>
  <si>
    <t>Total booster pumps</t>
  </si>
  <si>
    <t>total_booster_pumps</t>
  </si>
  <si>
    <t>Safety factor for pumps</t>
  </si>
  <si>
    <t>pump_safety_factor</t>
  </si>
  <si>
    <t>Number of storage basins for each of the above</t>
  </si>
  <si>
    <t>Building 1 side conductance cooling loss</t>
  </si>
  <si>
    <t>Buiding 1 ceiling conductance cooling loss</t>
  </si>
  <si>
    <t>cooling</t>
  </si>
  <si>
    <t>Air conditioning EER</t>
  </si>
  <si>
    <t>EER</t>
  </si>
  <si>
    <t>tank_valve_size</t>
  </si>
  <si>
    <t>back_valve_size</t>
  </si>
  <si>
    <t>pH_controls</t>
  </si>
  <si>
    <t>Size of flow meters for backwash line</t>
  </si>
  <si>
    <t>alarm_back</t>
  </si>
  <si>
    <t>Sampling ports</t>
  </si>
  <si>
    <t>Energy for lighting</t>
  </si>
  <si>
    <t>Energy for ventilation</t>
  </si>
  <si>
    <t>Energy for cooling</t>
  </si>
  <si>
    <t>Building Structure</t>
  </si>
  <si>
    <t>vessel_fp</t>
  </si>
  <si>
    <t>max</t>
  </si>
  <si>
    <t>ft^2</t>
  </si>
  <si>
    <t xml:space="preserve"> - vertical vessel height</t>
  </si>
  <si>
    <t xml:space="preserve"> - vertical vessel diameter</t>
  </si>
  <si>
    <t>comp_min_vert_diam</t>
  </si>
  <si>
    <t>max_diam CDA</t>
  </si>
  <si>
    <t>strictest maximum of the above</t>
  </si>
  <si>
    <r>
      <t>Bold blue</t>
    </r>
    <r>
      <rPr>
        <sz val="10"/>
        <rFont val="Arial"/>
        <family val="2"/>
      </rPr>
      <t xml:space="preserve"> cells are copied to the input sheet</t>
    </r>
  </si>
  <si>
    <t>from max_diam CDA</t>
  </si>
  <si>
    <t>max_length CDA</t>
  </si>
  <si>
    <t>max volume combined with actual diameter</t>
  </si>
  <si>
    <t>Building 2 length and width</t>
  </si>
  <si>
    <t>build1_side</t>
  </si>
  <si>
    <t>build2_side</t>
  </si>
  <si>
    <t>R-value for walls</t>
  </si>
  <si>
    <t>R-value for ceilings</t>
  </si>
  <si>
    <t>R_wall</t>
  </si>
  <si>
    <t>R_ceiling</t>
  </si>
  <si>
    <t>hr-sf-degF/BTU</t>
  </si>
  <si>
    <t>Basin Length</t>
  </si>
  <si>
    <t>basin_length</t>
  </si>
  <si>
    <t>basin_op_depth</t>
  </si>
  <si>
    <t>Pressure Vessel Design</t>
  </si>
  <si>
    <t>Number of redundant contact basins for medium systems</t>
  </si>
  <si>
    <t>NRD_basins_medium</t>
  </si>
  <si>
    <t>Number of redundant contact basins for large systems</t>
  </si>
  <si>
    <t>NRD_basins_large</t>
  </si>
  <si>
    <t>basin_freeboard</t>
  </si>
  <si>
    <t>max_depth</t>
  </si>
  <si>
    <t>min_depth</t>
  </si>
  <si>
    <t>max_width</t>
  </si>
  <si>
    <t>min_width</t>
  </si>
  <si>
    <t>Guidance: Typical gravity GAC bed depths are 3-10 feet</t>
  </si>
  <si>
    <t>Gravity Basin Design</t>
  </si>
  <si>
    <t xml:space="preserve">Number of manual valves on process line per contactor </t>
  </si>
  <si>
    <t>Number of manual valves on process line per vessel (series pressure vessel systems</t>
  </si>
  <si>
    <t>Total Direct Capital Cost (from above)</t>
  </si>
  <si>
    <t>Total Add-on Cost (from above)</t>
  </si>
  <si>
    <t>Total Indirect Cost (from above)</t>
  </si>
  <si>
    <t>TOTAL CAPITAL COST DETAILS</t>
  </si>
  <si>
    <t>Total Cost ($/yr)</t>
  </si>
  <si>
    <t>Details</t>
  </si>
  <si>
    <t># of treatment trains</t>
  </si>
  <si>
    <t>Total EBCT</t>
  </si>
  <si>
    <t>(i.e., parallel or series operation)</t>
  </si>
  <si>
    <t>contam_type</t>
  </si>
  <si>
    <t>Standard Designs</t>
  </si>
  <si>
    <t>System Size</t>
  </si>
  <si>
    <t>Optional</t>
  </si>
  <si>
    <t>in use</t>
  </si>
  <si>
    <t>Total technology footprint</t>
  </si>
  <si>
    <t>tech_fp</t>
  </si>
  <si>
    <t>Borings, initial field stake out &amp; determination of elevations</t>
  </si>
  <si>
    <t>Trench depth to top of pipe</t>
  </si>
  <si>
    <t>trench_depth</t>
  </si>
  <si>
    <t>Trench Cross-section Area</t>
  </si>
  <si>
    <t>trench_area</t>
  </si>
  <si>
    <t>Trench Volume Source Water</t>
  </si>
  <si>
    <t>bedding_vol</t>
  </si>
  <si>
    <t>Bedding cost</t>
  </si>
  <si>
    <t>Excavation cost</t>
  </si>
  <si>
    <t>Construction Management and GC Overhead</t>
  </si>
  <si>
    <t>Percentage is applied only to process cost. Building direct costs include electrical components.</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</si>
  <si>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</si>
  <si>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</si>
  <si>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</si>
  <si>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</si>
  <si>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</si>
  <si>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</si>
  <si>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</si>
  <si>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</si>
  <si>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</si>
  <si>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</si>
  <si>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</si>
  <si>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Polypropylene/PVC - Bypass</t>
  </si>
  <si>
    <t>pp_mov_eq_bp</t>
  </si>
  <si>
    <t>Stainless Steel - Bypass</t>
  </si>
  <si>
    <t>ss_mov_eq_bp</t>
  </si>
  <si>
    <t>Cast Iron - Bypass</t>
  </si>
  <si>
    <t>ci_mov_eq_bp</t>
  </si>
  <si>
    <t>pp_man_eq_bp</t>
  </si>
  <si>
    <t>ss_man_eq_bp</t>
  </si>
  <si>
    <t>ci_man_eq_bp</t>
  </si>
  <si>
    <t>pp_chv_eq_bp</t>
  </si>
  <si>
    <t>ss_chv_eq_bp</t>
  </si>
  <si>
    <t>ci_chv_eq_bp</t>
  </si>
  <si>
    <t>Process costs</t>
  </si>
  <si>
    <t>Building costs</t>
  </si>
  <si>
    <t>fully automated</t>
  </si>
  <si>
    <t>Total base standby power requirement</t>
  </si>
  <si>
    <t>std_base</t>
  </si>
  <si>
    <t>Assumes 1 foot below, 1 foot above, 4 inches sides of distribution pipe</t>
  </si>
  <si>
    <t>Septic drain field buffer distance</t>
  </si>
  <si>
    <t>sept_buffer</t>
  </si>
  <si>
    <t>State/local regulations typically require minimum 10 feet offset from property lines and structures, with greater offset for wells, watercourses, etc; the latter would be site-specific</t>
  </si>
  <si>
    <t>Septic tank overexcavation depth</t>
  </si>
  <si>
    <t>sept_overexcav</t>
  </si>
  <si>
    <t>Distance above and each side</t>
  </si>
  <si>
    <t>Maximum distribution pipe connections per distribution box</t>
  </si>
  <si>
    <t>sept_dist_connections</t>
  </si>
  <si>
    <t>Using cost for a 7 outlet distribution box</t>
  </si>
  <si>
    <t>Septic system distribution pipe diameter</t>
  </si>
  <si>
    <t># of contactors</t>
  </si>
  <si>
    <t>(including redundancy)</t>
  </si>
  <si>
    <t>For filter to waste in pressure systems</t>
  </si>
  <si>
    <t>Maintenance materials for all contactor components, excluding backfill and compaction</t>
  </si>
  <si>
    <t>No backwash pumps</t>
  </si>
  <si>
    <t>No backwash tanks</t>
  </si>
  <si>
    <t>Fluidization occurs at 2-4 gpm/sf; 12-15 gpm/sf is needed to "expand" GAC and wash out particulates [Calgon Carbon] (Richard E. Hubel, Peter Keenan, American Water Works Service Company, Inc)</t>
  </si>
  <si>
    <t>One ethernet module is needed; using two to provide redundancy</t>
  </si>
  <si>
    <t>Two to provide redundancy in the event of SCADA node failure</t>
  </si>
  <si>
    <t>Minimum residuals pipe diameter</t>
  </si>
  <si>
    <t>min_res_pipe_size</t>
  </si>
  <si>
    <t>in. diam.</t>
  </si>
  <si>
    <t>GAC_density</t>
  </si>
  <si>
    <t>GAC bulk density</t>
  </si>
  <si>
    <t>Time to empty GAC bed</t>
  </si>
  <si>
    <t>GAC Regeneration and Transfer</t>
  </si>
  <si>
    <t>Regeneration runtime (on-site only)</t>
  </si>
  <si>
    <t>regen_runtime</t>
  </si>
  <si>
    <t xml:space="preserve">Interval between backwash occurrences depends on the loading rate, water quality, and size of carbon.  48 hours for surface water if loading rate 4-6 gpm/sf; 7+ days for ground water (Richard E. Hubel, Peter Keenan, American Water Works Service Company, Inc).  2 weeks or loss of head based on operational experience (Verna Arnette, Greater Cincinnati Water Works).  </t>
  </si>
  <si>
    <t>Gravity Contactor Design</t>
  </si>
  <si>
    <t>Base Expansion Modules</t>
  </si>
  <si>
    <t>plc_base_expansion</t>
  </si>
  <si>
    <t>Base Expansion Controller Modules</t>
  </si>
  <si>
    <t>plc_base_expansion_controller</t>
  </si>
  <si>
    <t>plc_cpu</t>
  </si>
  <si>
    <t xml:space="preserve">plc_ethernet </t>
  </si>
  <si>
    <t>plc_interface</t>
  </si>
  <si>
    <t>ups</t>
  </si>
  <si>
    <t>Default number of residuals basins</t>
  </si>
  <si>
    <t>hbasins_default</t>
  </si>
  <si>
    <t>Holding basin depth to volume ratio</t>
  </si>
  <si>
    <t>holding_ratio</t>
  </si>
  <si>
    <t>Holding basin freeboard</t>
  </si>
  <si>
    <t>holding_freeboard</t>
  </si>
  <si>
    <t>Holding tank/basin suspended solids removal efficiency without coagulant</t>
  </si>
  <si>
    <t>Holding tank/basin suspended solids removal efficiency with coagulant</t>
  </si>
  <si>
    <t>Clean holding tanks/basins when solids accumulation =x% of capacity</t>
  </si>
  <si>
    <t>Holding tank/basin capacity safety factor</t>
  </si>
  <si>
    <t>Number of holding basins</t>
  </si>
  <si>
    <t>hbasins</t>
  </si>
  <si>
    <t>hvol_ft</t>
  </si>
  <si>
    <t>hbasin_op_depth</t>
  </si>
  <si>
    <t>hbasin_width</t>
  </si>
  <si>
    <t>hbasin_length</t>
  </si>
  <si>
    <t>hbasin_depth</t>
  </si>
  <si>
    <t>hbasin_vol</t>
  </si>
  <si>
    <t>hconc_vol</t>
  </si>
  <si>
    <t>hexcavation_vol</t>
  </si>
  <si>
    <t>hbackfill_vol</t>
  </si>
  <si>
    <t>hrailing</t>
  </si>
  <si>
    <t>Holding basins (for flow equalization)</t>
  </si>
  <si>
    <t>Residuals Holding Tanks/Basins</t>
  </si>
  <si>
    <t>res_holding</t>
  </si>
  <si>
    <t>Residuals holding type selected</t>
  </si>
  <si>
    <t>Based on priority lookups on the output sheet, always basins when coagulant is added</t>
  </si>
  <si>
    <t>hbasin_fp</t>
  </si>
  <si>
    <t>Residuals holding  basin footprint</t>
  </si>
  <si>
    <t>Type of coagulant added</t>
  </si>
  <si>
    <t>coag_type</t>
  </si>
  <si>
    <t>&lt;-- 1 for polymer, 2 for ferric chloride, 3 for both polymer &amp; ferric chloride</t>
  </si>
  <si>
    <t>Ferric chloride dosage</t>
  </si>
  <si>
    <t>Polymer dosage</t>
  </si>
  <si>
    <t>lb/gal</t>
  </si>
  <si>
    <t>polymer_dose</t>
  </si>
  <si>
    <t>polymer_density</t>
  </si>
  <si>
    <t>Ferric Chloride Addition</t>
  </si>
  <si>
    <t>Polymer Addition</t>
  </si>
  <si>
    <t>polymer_day</t>
  </si>
  <si>
    <t>Polymer storage in gallons</t>
  </si>
  <si>
    <t>polymer_storage</t>
  </si>
  <si>
    <t>polymer_tanks</t>
  </si>
  <si>
    <t>Regenerated GAC Storage basin length</t>
  </si>
  <si>
    <t>Regenerated GAC Storage basin volume</t>
  </si>
  <si>
    <t>Number of Regenerated GAC Storage tanks</t>
  </si>
  <si>
    <t>Regenerated GAC Storage tank volume</t>
  </si>
  <si>
    <t>Regenerated GAC Storage basin operating depth</t>
  </si>
  <si>
    <t>regen_basin_width</t>
  </si>
  <si>
    <t>regen_basin_length</t>
  </si>
  <si>
    <t>regen_basin_depth</t>
  </si>
  <si>
    <t>regen_basin_vol</t>
  </si>
  <si>
    <t>regen_conc_vol</t>
  </si>
  <si>
    <t>regen_excavation_vol</t>
  </si>
  <si>
    <t>back_tank_fp</t>
  </si>
  <si>
    <t>no_backwash</t>
  </si>
  <si>
    <t>tot_fm_in</t>
  </si>
  <si>
    <t>fm_proc</t>
  </si>
  <si>
    <t>bed depth</t>
  </si>
  <si>
    <t>design flow rate</t>
  </si>
  <si>
    <t>min</t>
  </si>
  <si>
    <t>vessel geometry</t>
  </si>
  <si>
    <t>Thickness of vessel walls</t>
  </si>
  <si>
    <t>Yard Piping</t>
  </si>
  <si>
    <t>Geotechnical</t>
  </si>
  <si>
    <t>days/year</t>
  </si>
  <si>
    <t>Backfill cost</t>
  </si>
  <si>
    <t>Pipe cost</t>
  </si>
  <si>
    <t>Total yard piping cost</t>
  </si>
  <si>
    <t>yard_cost</t>
  </si>
  <si>
    <t>Thrust block cost</t>
  </si>
  <si>
    <r>
      <t xml:space="preserve">Printers per </t>
    </r>
    <r>
      <rPr>
        <i/>
        <sz val="10"/>
        <rFont val="Arial"/>
        <family val="2"/>
      </rPr>
      <t>x</t>
    </r>
    <r>
      <rPr>
        <sz val="10"/>
        <rFont val="Arial"/>
        <family val="2"/>
      </rPr>
      <t xml:space="preserve"> computer workstations</t>
    </r>
  </si>
  <si>
    <t>workstation_ratio</t>
  </si>
  <si>
    <t>printer_ratio</t>
  </si>
  <si>
    <t>workstations/printer</t>
  </si>
  <si>
    <t xml:space="preserve">Number of motor/air operated control valves on process line per booster pump </t>
  </si>
  <si>
    <t>Footprint of building 1</t>
  </si>
  <si>
    <t>build1_fp</t>
  </si>
  <si>
    <t>Footprint of building 2</t>
  </si>
  <si>
    <t>Virgin GAC storage (on-site only)</t>
  </si>
  <si>
    <t>virgin_storage_bv</t>
  </si>
  <si>
    <t>Contaminant Removal</t>
  </si>
  <si>
    <t>Carbon Inputs</t>
  </si>
  <si>
    <t>1.33 BV from operational experience (Arnett Verna, Engineer, Greater Cincinnati Water Works).</t>
  </si>
  <si>
    <t>Target Contaminant</t>
  </si>
  <si>
    <t>num_tanks_I</t>
  </si>
  <si>
    <t>POTW</t>
  </si>
  <si>
    <t>Concrete volume</t>
  </si>
  <si>
    <t>Backfill volume</t>
  </si>
  <si>
    <t>Number of flow meters for process line</t>
  </si>
  <si>
    <t>tot_fm_proc</t>
  </si>
  <si>
    <t>tot_fm_back</t>
  </si>
  <si>
    <t>BTU/gal</t>
  </si>
  <si>
    <t>Footprint for pressure vessels (large system assumptions)</t>
  </si>
  <si>
    <t>GAC Contactor Design (both system types)</t>
  </si>
  <si>
    <r>
      <t xml:space="preserve">Add a redundant pressure vessel per </t>
    </r>
    <r>
      <rPr>
        <b/>
        <i/>
        <sz val="10"/>
        <rFont val="Arial"/>
        <family val="2"/>
      </rPr>
      <t>x</t>
    </r>
    <r>
      <rPr>
        <sz val="10"/>
        <rFont val="Arial"/>
        <family val="2"/>
      </rPr>
      <t xml:space="preserve"> parallel lines</t>
    </r>
  </si>
  <si>
    <t>Minimum bed depth (gravity)</t>
  </si>
  <si>
    <t>Maximum bed depth (gravity)</t>
  </si>
  <si>
    <t>Minimum bed depth (pressure)</t>
  </si>
  <si>
    <t>Maximum bed depth (pressure)</t>
  </si>
  <si>
    <t>max_length_g</t>
  </si>
  <si>
    <t>min_length_g</t>
  </si>
  <si>
    <t>Maximum basin length</t>
  </si>
  <si>
    <t>Minimum basin length</t>
  </si>
  <si>
    <t>Maximum basin width</t>
  </si>
  <si>
    <t>Minimum basin width</t>
  </si>
  <si>
    <t>Target Bed Depth (Gravity Designs &gt; 1 MGD)</t>
  </si>
  <si>
    <t>Target Bed Depth (Gravity Designs &lt; 1MGD)</t>
  </si>
  <si>
    <t>Pressure vessel freeboard above media at full expansion</t>
  </si>
  <si>
    <t>Target Bed Depth (Pressure Designs &lt; 1MGD)</t>
  </si>
  <si>
    <t>Target Bed Depth (Pressure Vertical Designs &gt; 1 MGD)</t>
  </si>
  <si>
    <t>Target Bed Depth (Pressure Horizontal Designs)</t>
  </si>
  <si>
    <t>target_bed_depth_under_g</t>
  </si>
  <si>
    <t>target_bed_depth_over_g</t>
  </si>
  <si>
    <t>Basin freeboard above filter media at full expansion</t>
  </si>
  <si>
    <t>Total contactors (including redundancy from below)</t>
  </si>
  <si>
    <t>total_num_basins</t>
  </si>
  <si>
    <t>Design type chosen</t>
  </si>
  <si>
    <t>design_type</t>
  </si>
  <si>
    <t>&lt;-- 1 for Pressure, 2 for Gravity</t>
  </si>
  <si>
    <t>Gravity Contact Basins</t>
  </si>
  <si>
    <t>PRESSURE VESSELS</t>
  </si>
  <si>
    <t>GRAVITY CONTACT BASINS</t>
  </si>
  <si>
    <t>Minimum volume required</t>
  </si>
  <si>
    <t>min_basin_vol</t>
  </si>
  <si>
    <t>Number of basins (no redundancy)</t>
  </si>
  <si>
    <t>op_num_basins</t>
  </si>
  <si>
    <t>Basin depth including freeboard</t>
  </si>
  <si>
    <t>basin_depth</t>
  </si>
  <si>
    <t>Total basin volume</t>
  </si>
  <si>
    <t>basin_vol</t>
  </si>
  <si>
    <t>Basin loading rate</t>
  </si>
  <si>
    <t>Number of reduntant basins</t>
  </si>
  <si>
    <t>Total number of basins (incl. redundancy)</t>
  </si>
  <si>
    <t>basin_conc_vol</t>
  </si>
  <si>
    <t>Excavation volume</t>
  </si>
  <si>
    <t>excavation_vol</t>
  </si>
  <si>
    <t>backfill_vol</t>
  </si>
  <si>
    <t>railing</t>
  </si>
  <si>
    <t>GAC volume per contactor</t>
  </si>
  <si>
    <t>Surface area each contactor</t>
  </si>
  <si>
    <t>basin_area</t>
  </si>
  <si>
    <t>surface_loading_rate_g</t>
  </si>
  <si>
    <t>NRD_g</t>
  </si>
  <si>
    <t>Number of redundant contactors to be added</t>
  </si>
  <si>
    <r>
      <t xml:space="preserve">For information: </t>
    </r>
    <r>
      <rPr>
        <sz val="10"/>
        <color indexed="17"/>
        <rFont val="Arial"/>
        <family val="2"/>
      </rPr>
      <t>Redundant contactors</t>
    </r>
  </si>
  <si>
    <t>incorporates common wall design</t>
  </si>
  <si>
    <t>incorporates common wall design, includes ramping for moving earth out of excavated area, assumes flush with grade (conservative)</t>
  </si>
  <si>
    <t>incorporates common wall design, single railing (concrete thickness is not sufficient to provide walkway)</t>
  </si>
  <si>
    <t>for internals costing</t>
  </si>
  <si>
    <t>MEDIA QUANITITIES</t>
  </si>
  <si>
    <t>Guidance: GAC contactors typically are square.</t>
  </si>
  <si>
    <t>Adjust width constraints</t>
  </si>
  <si>
    <t>Footprint for pressure vessels (skid mounted small system)</t>
  </si>
  <si>
    <t>Access space per pressure vessel</t>
  </si>
  <si>
    <t>Footprint for gravity contactors</t>
  </si>
  <si>
    <t>1 for yes, 0 for no</t>
  </si>
  <si>
    <t>The largest pump size for which costs are available.  Applies to booster pumps and backwash pumps.  For booster pumps, will override lines per pump input, if this input results in pumps that are too large.</t>
  </si>
  <si>
    <t>Exact building footprint required</t>
  </si>
  <si>
    <t>fp_required</t>
  </si>
  <si>
    <t>Labor</t>
  </si>
  <si>
    <t>/hr</t>
  </si>
  <si>
    <t>hrs/yr</t>
  </si>
  <si>
    <t>Materials</t>
  </si>
  <si>
    <t>Standby power for cooling</t>
  </si>
  <si>
    <t>std_cool</t>
  </si>
  <si>
    <t>From Input</t>
  </si>
  <si>
    <t>&lt;-- pick one</t>
  </si>
  <si>
    <t>EBCT_type_I</t>
  </si>
  <si>
    <t>Contaminant removal input type</t>
  </si>
  <si>
    <t>proc_MOV_vessel_ser</t>
  </si>
  <si>
    <t>Number of manual valves for backwash line</t>
  </si>
  <si>
    <t>tot_back_man</t>
  </si>
  <si>
    <t>proc_man_vessel_cont</t>
  </si>
  <si>
    <t>Total number of MOVs</t>
  </si>
  <si>
    <t>tot_MOVs</t>
  </si>
  <si>
    <t>Motor/air operated valve</t>
  </si>
  <si>
    <t>valve</t>
  </si>
  <si>
    <t>Ferric Chloride</t>
  </si>
  <si>
    <t>Ventilation air change rate for chemical storage</t>
  </si>
  <si>
    <t>Ventilation air change rate for offices</t>
  </si>
  <si>
    <t>Manager</t>
  </si>
  <si>
    <t>Clerical</t>
  </si>
  <si>
    <t>units/tank</t>
  </si>
  <si>
    <t>Total high/low alarms</t>
  </si>
  <si>
    <t>tot_back_alarm</t>
  </si>
  <si>
    <t>valves/vessel</t>
  </si>
  <si>
    <t>Sampling Ports</t>
  </si>
  <si>
    <t>ports</t>
  </si>
  <si>
    <t>pH</t>
  </si>
  <si>
    <t>Vessels per line</t>
  </si>
  <si>
    <t>ft^3</t>
  </si>
  <si>
    <t>comp_vol_required</t>
  </si>
  <si>
    <t>comp_vert_bed_depth</t>
  </si>
  <si>
    <t xml:space="preserve"> - vertical bed depth</t>
  </si>
  <si>
    <t>comp_min_vert_bed_depth</t>
  </si>
  <si>
    <t>comp_max_vert_bed_depth</t>
  </si>
  <si>
    <t>2,2-dichloropropane</t>
  </si>
  <si>
    <t>Add-on (pre- or post-treatment)</t>
  </si>
  <si>
    <t>addon_I</t>
  </si>
  <si>
    <t>add-on</t>
  </si>
  <si>
    <t>To be compared to vol_vessel, to determine whether vessel is oversized.</t>
  </si>
  <si>
    <t>Vessel requirements based on bed depth and contact time</t>
  </si>
  <si>
    <t>Checks on user-specified dimensions</t>
  </si>
  <si>
    <t>Design dimensions for vertical vessels:</t>
  </si>
  <si>
    <t xml:space="preserve">    Height of vessel required</t>
  </si>
  <si>
    <t xml:space="preserve">    Minimum commercial height given diameter</t>
  </si>
  <si>
    <t>min_comm_height</t>
  </si>
  <si>
    <t xml:space="preserve">    Maximum commercial height given diameter</t>
  </si>
  <si>
    <t>max_comm_height</t>
  </si>
  <si>
    <t>Void space required for horizontal vessels:</t>
  </si>
  <si>
    <t>Operating LOE assumptions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</si>
  <si>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</si>
  <si>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</si>
  <si>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</si>
  <si>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</si>
  <si>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</si>
  <si>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</si>
  <si>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</si>
  <si>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</si>
  <si>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</si>
  <si>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</si>
  <si>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Minutes per 100 sf per week</t>
  </si>
  <si>
    <t>uloe_fp</t>
  </si>
  <si>
    <t>Trench volume total</t>
  </si>
  <si>
    <t>res_trench_vol</t>
  </si>
  <si>
    <t>res_pipe_bedding_vol</t>
  </si>
  <si>
    <t>Bedding</t>
  </si>
  <si>
    <t xml:space="preserve">Backfill and Compaction </t>
  </si>
  <si>
    <t>Thrust Blocks</t>
  </si>
  <si>
    <t>3.4.2</t>
  </si>
  <si>
    <t>3.4.3</t>
  </si>
  <si>
    <t>3.4.5</t>
  </si>
  <si>
    <t>3.4.6</t>
  </si>
  <si>
    <t>Bypass Flow</t>
  </si>
  <si>
    <t>Percent of Total Flow that is Bypassed</t>
  </si>
  <si>
    <t>bp_pct</t>
  </si>
  <si>
    <t>Bypass Flow Rate</t>
  </si>
  <si>
    <t>bp_flow_rate</t>
  </si>
  <si>
    <t>Bypass design flow</t>
  </si>
  <si>
    <t>Bypass piping length</t>
  </si>
  <si>
    <t>bp_pipe_length</t>
  </si>
  <si>
    <t>Minimum number of vessels in series</t>
  </si>
  <si>
    <t>Bed depth</t>
  </si>
  <si>
    <t>minutes</t>
  </si>
  <si>
    <t>feet</t>
  </si>
  <si>
    <t>number of parallel lines per redundant unit</t>
  </si>
  <si>
    <t>Num_tanks</t>
  </si>
  <si>
    <t>units</t>
  </si>
  <si>
    <t>bed_depth</t>
  </si>
  <si>
    <t>redund_freq</t>
  </si>
  <si>
    <t>bed_expansion</t>
  </si>
  <si>
    <t>NRD_I</t>
  </si>
  <si>
    <t>Controls Software</t>
  </si>
  <si>
    <t>Operator interface software</t>
  </si>
  <si>
    <t>Ventilation air change rate for contactor</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</si>
  <si>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</si>
  <si>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</si>
  <si>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</si>
  <si>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</si>
  <si>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</si>
  <si>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</si>
  <si>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</si>
  <si>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</si>
  <si>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</si>
  <si>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</si>
  <si>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</si>
  <si>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</si>
  <si>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</si>
  <si>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</si>
  <si>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</si>
  <si>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</si>
  <si>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</si>
  <si>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</si>
  <si>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Ventilation air change rate for pump room</t>
  </si>
  <si>
    <t>build2_fp</t>
  </si>
  <si>
    <t>strictest max of the above, rounded</t>
  </si>
  <si>
    <t>strictest min of the above, rounded</t>
  </si>
  <si>
    <t>Constraints</t>
  </si>
  <si>
    <t>S_eductor</t>
  </si>
  <si>
    <t>S_slurry</t>
  </si>
  <si>
    <t>lbs</t>
  </si>
  <si>
    <t>total_backwash</t>
  </si>
  <si>
    <t>Facility dimension assumed square</t>
  </si>
  <si>
    <t>in_out_pipe_length</t>
  </si>
  <si>
    <t>in_out_pipe_diam</t>
  </si>
  <si>
    <t>Ductile Iron</t>
  </si>
  <si>
    <t>Backwashing one vessel</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</si>
  <si>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</si>
  <si>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</si>
  <si>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</si>
  <si>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</si>
  <si>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</si>
  <si>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</si>
  <si>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</si>
  <si>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</si>
  <si>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</si>
  <si>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</si>
  <si>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</si>
  <si>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</si>
  <si>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</si>
  <si>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</si>
  <si>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</si>
  <si>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</si>
  <si>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Number of manual control valves on chemical line per chemical pump</t>
  </si>
  <si>
    <t>chem_man_pump</t>
  </si>
  <si>
    <t>tot_polymer_MOVs</t>
  </si>
  <si>
    <t>tot_polymer_man</t>
  </si>
  <si>
    <t>Polymer pipe flow</t>
  </si>
  <si>
    <t>polymer_pipe_flow</t>
  </si>
  <si>
    <t>Polymer pipe diameter</t>
  </si>
  <si>
    <t>polymer_pipe_diam</t>
  </si>
  <si>
    <t>Polymer addition pipe length</t>
  </si>
  <si>
    <t>polymer_pipe_length</t>
  </si>
  <si>
    <t>polymer_valve_size</t>
  </si>
  <si>
    <t>Polymer storage tank diameter</t>
  </si>
  <si>
    <t>polymer_st_diam</t>
  </si>
  <si>
    <t>space_polymer_st</t>
  </si>
  <si>
    <t>Polymer storage tank footprint</t>
  </si>
  <si>
    <t>polymer_fp</t>
  </si>
  <si>
    <t>Polymer Storage Tanks</t>
  </si>
  <si>
    <t>pl_polymer_st_eq</t>
  </si>
  <si>
    <t>pl_cst_eq</t>
  </si>
  <si>
    <t>fg_polymer_st_eq</t>
  </si>
  <si>
    <t>fg_cst_eq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</si>
  <si>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</si>
  <si>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</si>
  <si>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</si>
  <si>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</si>
  <si>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</si>
  <si>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</si>
  <si>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</si>
  <si>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</si>
  <si>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</si>
  <si>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</si>
  <si>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</si>
  <si>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</si>
  <si>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</si>
  <si>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</si>
  <si>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PVC - Motor Driven</t>
  </si>
  <si>
    <t>pvc_polymer_mmpump_eq</t>
  </si>
  <si>
    <t>pvc_mmpump_eq</t>
  </si>
  <si>
    <t>Stainless Steel - Motor Driven</t>
  </si>
  <si>
    <t>ss_polymer_mmpump_eq</t>
  </si>
  <si>
    <t>ss_mmpump_eq</t>
  </si>
  <si>
    <t>PVC - Electric</t>
  </si>
  <si>
    <t>pvc_polymer_empump_eq</t>
  </si>
  <si>
    <t>pvc_empump_eq</t>
  </si>
  <si>
    <t>Stainless Steel - Electric</t>
  </si>
  <si>
    <t>ss_polymer_empump_eq</t>
  </si>
  <si>
    <t>ss_empump_eq</t>
  </si>
  <si>
    <t>2.3.1</t>
  </si>
  <si>
    <t>3.6.1</t>
  </si>
  <si>
    <t>4.2.6</t>
  </si>
  <si>
    <t>4.1.5</t>
  </si>
  <si>
    <t>Polymer Metering</t>
  </si>
  <si>
    <t>5.4.1</t>
  </si>
  <si>
    <t>Minimum settling time when coagulant is used</t>
  </si>
  <si>
    <t>res_coag_settle_time</t>
  </si>
  <si>
    <t>&lt;-- 1 for surface water, 2 for POTW, 3 for recycle,4 for septic system, 5 for evaporation pond</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</si>
  <si>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</si>
  <si>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</si>
  <si>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</si>
  <si>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</si>
  <si>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</si>
  <si>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</si>
  <si>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</si>
  <si>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</si>
  <si>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</si>
  <si>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</si>
  <si>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</si>
  <si>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</si>
  <si>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</si>
  <si>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</si>
  <si>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</si>
  <si>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</si>
  <si>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</si>
  <si>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</si>
  <si>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</si>
  <si>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</si>
  <si>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</si>
  <si>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Additional freeboard provided above grade by dike</t>
  </si>
  <si>
    <t>cells</t>
  </si>
  <si>
    <t>Assumes liner extends 2 feet up dike side slope</t>
  </si>
  <si>
    <t>Average annual pan evaporation rate</t>
  </si>
  <si>
    <t>pan_evap</t>
  </si>
  <si>
    <t>cm/year</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</si>
  <si>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</si>
  <si>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</si>
  <si>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</si>
  <si>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</si>
  <si>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</si>
  <si>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</si>
  <si>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</si>
  <si>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</si>
  <si>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</si>
  <si>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</si>
  <si>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</si>
  <si>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</si>
  <si>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</si>
  <si>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</si>
  <si>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</si>
  <si>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</si>
  <si>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</si>
  <si>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</si>
  <si>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</si>
  <si>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</si>
  <si>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</si>
  <si>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</si>
  <si>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</si>
  <si>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</si>
  <si>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Evaporation pond solids density</t>
  </si>
  <si>
    <t>ep_solids_density</t>
  </si>
  <si>
    <t>Evaporation pond dike cross-sectional area</t>
  </si>
  <si>
    <t>dike_xsection</t>
  </si>
  <si>
    <t>13' top and 1:2 side slope, 2'6" height</t>
  </si>
  <si>
    <t>Evaporation Pond or Holding/Septic Tank Solids</t>
  </si>
  <si>
    <t>Evaporation pond TSS accumulation</t>
  </si>
  <si>
    <t>ep_solids</t>
  </si>
  <si>
    <t>Number of motor/air operated control valves on residuals line per cell</t>
  </si>
  <si>
    <t>res_MOV_ep</t>
  </si>
  <si>
    <t>valves/cell</t>
  </si>
  <si>
    <t>res_man_ep</t>
  </si>
  <si>
    <t>Additional footprint for evaporation pond</t>
  </si>
  <si>
    <t>ep_fp</t>
  </si>
  <si>
    <t>Evaporation Pond</t>
  </si>
  <si>
    <t>Backfill</t>
  </si>
  <si>
    <t>Liner</t>
  </si>
  <si>
    <t>Dike Construction</t>
  </si>
  <si>
    <t>14.1.1</t>
  </si>
  <si>
    <t>14.1.2</t>
  </si>
  <si>
    <t>14.1.2.1</t>
  </si>
  <si>
    <t>14.1.3</t>
  </si>
  <si>
    <t>14.1.3.1</t>
  </si>
  <si>
    <t>14.2.1</t>
  </si>
  <si>
    <t>14.2.2</t>
  </si>
  <si>
    <t>14.2.2.1</t>
  </si>
  <si>
    <t>14.2.3</t>
  </si>
  <si>
    <t>14.2.3.1</t>
  </si>
  <si>
    <t>14.3</t>
  </si>
  <si>
    <t>Miles to radioactive (non-hazardous) waste disposal site</t>
  </si>
  <si>
    <t>rad_miles</t>
  </si>
  <si>
    <t>Miles to radioactive hazardous waste disposal site</t>
  </si>
  <si>
    <t>hazrad_miles</t>
  </si>
  <si>
    <t>Sales tax percentage</t>
  </si>
  <si>
    <t>tax_pct</t>
  </si>
  <si>
    <t>Financing percentage</t>
  </si>
  <si>
    <t>finance_pct</t>
  </si>
  <si>
    <t>Annual cooling degree days</t>
  </si>
  <si>
    <t>cool_DD</t>
  </si>
  <si>
    <t>degree days</t>
  </si>
  <si>
    <t>BTU/yr</t>
  </si>
  <si>
    <t>Building 1 side conductance heat loss</t>
  </si>
  <si>
    <t>units/vessel</t>
  </si>
  <si>
    <t>Total level switch/alarms</t>
  </si>
  <si>
    <t>tot_level_switch</t>
  </si>
  <si>
    <t>High/Low alarms per backwash tank</t>
  </si>
  <si>
    <t>kWh/yr</t>
  </si>
  <si>
    <t>MWh/yr</t>
  </si>
  <si>
    <t>/sf/yr</t>
  </si>
  <si>
    <t>Pump head for booster pumps</t>
  </si>
  <si>
    <t>Temperature meters</t>
  </si>
  <si>
    <t>temp_meters</t>
  </si>
  <si>
    <t>turb</t>
  </si>
  <si>
    <t>turb_tank</t>
  </si>
  <si>
    <t>Additional turbitidy meters</t>
  </si>
  <si>
    <t>add_turb</t>
  </si>
  <si>
    <t>head_tank</t>
  </si>
  <si>
    <t>Total turbidity meters</t>
  </si>
  <si>
    <t>Total head loss sensors</t>
  </si>
  <si>
    <t>tot_turb_meters</t>
  </si>
  <si>
    <t>tot_head_sens</t>
  </si>
  <si>
    <t>ports_tank</t>
  </si>
  <si>
    <t>Additional sampling ports</t>
  </si>
  <si>
    <t>add_ports</t>
  </si>
  <si>
    <t>Number of operating vessels</t>
  </si>
  <si>
    <t>Management option for spent carbon</t>
  </si>
  <si>
    <t>Water backwash rate</t>
  </si>
  <si>
    <t>Backwash time</t>
  </si>
  <si>
    <t>h2oflush_backwash_rate</t>
  </si>
  <si>
    <t>backwash_time</t>
  </si>
  <si>
    <t>gpm/square ft</t>
  </si>
  <si>
    <t>Valves</t>
  </si>
  <si>
    <t>Storage basin depth to volume ratio</t>
  </si>
  <si>
    <t>Storage basin freeboard</t>
  </si>
  <si>
    <t>storage_ratio</t>
  </si>
  <si>
    <t>storage_freeboard</t>
  </si>
  <si>
    <t>Required for calculation of hazardous waste transport costs only</t>
  </si>
  <si>
    <t>sol_disposal_fee</t>
  </si>
  <si>
    <t>cstore_fp</t>
  </si>
  <si>
    <t>Chemical Feed and Transfer</t>
  </si>
  <si>
    <t>Portable</t>
  </si>
  <si>
    <t>Mounted</t>
  </si>
  <si>
    <t>hmount_mix_eq</t>
  </si>
  <si>
    <t>mount_mix_eq</t>
  </si>
  <si>
    <t>Residuals Mixers</t>
  </si>
  <si>
    <t>Residuals Discharge/Disposal</t>
  </si>
  <si>
    <t>&lt;--current inputs</t>
  </si>
  <si>
    <t>&lt;--inputs used at last "Generate Results"</t>
  </si>
  <si>
    <t>EBCT per line</t>
  </si>
  <si>
    <t>Total Vessel Media Volume</t>
  </si>
  <si>
    <t>comp_vol_required_stg1</t>
  </si>
  <si>
    <t>minimum surface area</t>
  </si>
  <si>
    <t>comp_sa_min</t>
  </si>
  <si>
    <t>maximum surface area</t>
  </si>
  <si>
    <t>comp_sa_max</t>
  </si>
  <si>
    <t>required dry volume</t>
  </si>
  <si>
    <t>volume of media in first-stage vessels</t>
  </si>
  <si>
    <t>Borings, cased borings in earth, w/samples, 2.5" dia</t>
  </si>
  <si>
    <t>Test pits</t>
  </si>
  <si>
    <t>Total geotechnical cost</t>
  </si>
  <si>
    <t>geotech_cost</t>
  </si>
  <si>
    <t>Costs</t>
  </si>
  <si>
    <t>Minimum number of boreholes</t>
  </si>
  <si>
    <t>min_holes</t>
  </si>
  <si>
    <t>For BDST calculation</t>
  </si>
  <si>
    <t>Fluid velocity</t>
  </si>
  <si>
    <t>v</t>
  </si>
  <si>
    <t>m/min</t>
  </si>
  <si>
    <t>Bed depth in meters</t>
  </si>
  <si>
    <t>D</t>
  </si>
  <si>
    <t>m</t>
  </si>
  <si>
    <t>Bed life</t>
  </si>
  <si>
    <t>bed_life</t>
  </si>
  <si>
    <t>months</t>
  </si>
  <si>
    <t>Average regeneration rate</t>
  </si>
  <si>
    <t>regen_day</t>
  </si>
  <si>
    <t>Regeneration capacity needed (on-site only)</t>
  </si>
  <si>
    <t>regen_capacity</t>
  </si>
  <si>
    <t>comp_vert_min_number</t>
  </si>
  <si>
    <t>based on guidance and CDAs for max dimensions</t>
  </si>
  <si>
    <t>for all vessels</t>
  </si>
  <si>
    <t>Input Parameters</t>
  </si>
  <si>
    <t>miles</t>
  </si>
  <si>
    <t>Distance to discharge or recycle point</t>
  </si>
  <si>
    <t>Pump efficiency</t>
  </si>
  <si>
    <t>Residuals pump head</t>
  </si>
  <si>
    <t>res_pump_psi</t>
  </si>
  <si>
    <t>Backwash pump head</t>
  </si>
  <si>
    <t>back_pump_head</t>
  </si>
  <si>
    <t>the autosize_opt macro varies this number automatically as a search parameter.  Not user adjustable.</t>
  </si>
  <si>
    <t>based on max_diam CDA</t>
  </si>
  <si>
    <t>Equations developed in Working draft of "Design and Cost Estimates for Advanced Water Treatment Technologies", 9/30/00, include access space.</t>
  </si>
  <si>
    <t>coag_density</t>
  </si>
  <si>
    <t>lb/ft3</t>
  </si>
  <si>
    <t>coag_spf</t>
  </si>
  <si>
    <t>lbs accumulated per pound added</t>
  </si>
  <si>
    <t>88-06-2</t>
  </si>
  <si>
    <t>Fiberglass</t>
  </si>
  <si>
    <t>System Size Category</t>
  </si>
  <si>
    <t>Piping</t>
  </si>
  <si>
    <t>Process Piping</t>
  </si>
  <si>
    <t>lf</t>
  </si>
  <si>
    <t>in. diam</t>
  </si>
  <si>
    <t>CPVC</t>
  </si>
  <si>
    <t>PVC</t>
  </si>
  <si>
    <t>Steel</t>
  </si>
  <si>
    <t>ex_TSS_total</t>
  </si>
  <si>
    <t>grams</t>
  </si>
  <si>
    <t>Materials for booster pumps</t>
  </si>
  <si>
    <t>Drive controllers per residuals pump</t>
  </si>
  <si>
    <t>Drive controllers per coagulant mixer</t>
  </si>
  <si>
    <t>hmix_hp_per</t>
  </si>
  <si>
    <t>hp per 1,000 gallons</t>
  </si>
  <si>
    <t>Max holding tank mixer horsepower</t>
  </si>
  <si>
    <t>hmix_hp_max</t>
  </si>
  <si>
    <t>The largest impeller mixer size available</t>
  </si>
  <si>
    <t>hmix_per_tank</t>
  </si>
  <si>
    <t>Impeller Mixers</t>
  </si>
  <si>
    <t>himp_mix_eq</t>
  </si>
  <si>
    <t>imp_mix_eq</t>
  </si>
  <si>
    <t>Impeller</t>
  </si>
  <si>
    <t>max_diam_override</t>
  </si>
  <si>
    <t>Maximum vessel diameter will be chosen from a table of conventional sizes for commercial vessels, unless entered here.  Systems have used vessels up to 14' diam and height in practice (AWWA Inorganic Contaminants Workshop 2006)</t>
  </si>
  <si>
    <t>From Central Cost Database</t>
  </si>
  <si>
    <t>Maximum Standard Vessel Diameter</t>
  </si>
  <si>
    <t>max_diam_std_size</t>
  </si>
  <si>
    <t>Standard unless overridden on CDA's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</si>
  <si>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</si>
  <si>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Legal percentage</t>
  </si>
  <si>
    <t>legal_pct</t>
  </si>
  <si>
    <t>Soil density</t>
  </si>
  <si>
    <t>soil_dens</t>
  </si>
  <si>
    <t>Number of manual valves on backwash line per contactor</t>
  </si>
  <si>
    <t>No proces flow meters in P&amp;ID for this technology</t>
  </si>
  <si>
    <t>valve/contactor</t>
  </si>
  <si>
    <t>units/contactor</t>
  </si>
  <si>
    <t>Level switch/alarms per pressure vessel</t>
  </si>
  <si>
    <t>Level switch/alarms per GAC basin</t>
  </si>
  <si>
    <t>units/basin</t>
  </si>
  <si>
    <t>level_switch_g</t>
  </si>
  <si>
    <t>level_switch_small_g</t>
  </si>
  <si>
    <t>Additional pH meters (pressure systems)</t>
  </si>
  <si>
    <t>pH meters per gravity contactor</t>
  </si>
  <si>
    <t>Turbitity meters per gravity contactor</t>
  </si>
  <si>
    <t>add_turb_p</t>
  </si>
  <si>
    <t>add_turb_small_p</t>
  </si>
  <si>
    <t>polymer_tank_vol</t>
  </si>
  <si>
    <t>polymer_cmix_per_tank</t>
  </si>
  <si>
    <t>polymer_cmixers</t>
  </si>
  <si>
    <t>Mixer size for storage tanks</t>
  </si>
  <si>
    <t>polymer_cmix_size</t>
  </si>
  <si>
    <t>polymer_rate</t>
  </si>
  <si>
    <t>cm_pumps_polymer</t>
  </si>
  <si>
    <t>cm_pump_rating_polymer</t>
  </si>
  <si>
    <t>gph</t>
  </si>
  <si>
    <t>Maximum chemical storage tank size</t>
  </si>
  <si>
    <t>max_chem_tank_size</t>
  </si>
  <si>
    <t>Maximum chemical tank mixer horsepower</t>
  </si>
  <si>
    <t>cmix_hp_max</t>
  </si>
  <si>
    <t>Chemical tank mixer horsepower</t>
  </si>
  <si>
    <t>cmix_hp_per</t>
  </si>
  <si>
    <t>hp per 1000 gal</t>
  </si>
  <si>
    <t>Number of redundant chemical metering pumps</t>
  </si>
  <si>
    <t>NRD_cm_pump</t>
  </si>
  <si>
    <t>Maximum chemical metering pump size</t>
  </si>
  <si>
    <t>max_cm_pump_size</t>
  </si>
  <si>
    <t>Annual polymer use</t>
  </si>
  <si>
    <t>polymer_yr</t>
  </si>
  <si>
    <t>Number of motor/air operated control valves on chemical line per chemical pump</t>
  </si>
  <si>
    <t>chem_MOV_pump</t>
  </si>
  <si>
    <t>For additional TSS removal, if desired</t>
  </si>
  <si>
    <t>coag_dose</t>
  </si>
  <si>
    <t>Stainless Steel - Residuals</t>
  </si>
  <si>
    <t>ss_chv_eq_res</t>
  </si>
  <si>
    <t>Cast Iron - Residuals</t>
  </si>
  <si>
    <t>ci_chv_eq_res</t>
  </si>
  <si>
    <t>Residuals</t>
  </si>
  <si>
    <t>res_pump_eq</t>
  </si>
  <si>
    <t>op_fm_eq_res</t>
  </si>
  <si>
    <t>Residuals - Polypropylene/PVC</t>
  </si>
  <si>
    <t>Residuals - Stainless Steel</t>
  </si>
  <si>
    <t>Residuals - Cast Iron</t>
  </si>
  <si>
    <t>Discharge option for spent backwash</t>
  </si>
  <si>
    <t>TSS in treated water</t>
  </si>
  <si>
    <t>effluent_TSS</t>
  </si>
  <si>
    <t>Backwash pumping flow needed</t>
  </si>
  <si>
    <t>Redundant backwash pumps</t>
  </si>
  <si>
    <t>NRD_back_pumps</t>
  </si>
  <si>
    <t>Multiple pumps used if total backwash flow is very high, includes redundant pumps</t>
  </si>
  <si>
    <t>back_pump_flow_total</t>
  </si>
  <si>
    <t>eductors</t>
  </si>
  <si>
    <t>proc_MOV_pump</t>
  </si>
  <si>
    <t>back_MOV_vessel</t>
  </si>
  <si>
    <t>back_MOV_pump</t>
  </si>
  <si>
    <t>back_MOV_tank</t>
  </si>
  <si>
    <t>Number of check valves on backwash line per backwash pump</t>
  </si>
  <si>
    <t>back_chv_pump</t>
  </si>
  <si>
    <t>Number of eductors</t>
  </si>
  <si>
    <t xml:space="preserve">     For small systems</t>
  </si>
  <si>
    <r>
      <t xml:space="preserve">For information: </t>
    </r>
    <r>
      <rPr>
        <sz val="10"/>
        <color indexed="17"/>
        <rFont val="Arial"/>
        <family val="2"/>
      </rPr>
      <t># of booster pumps</t>
    </r>
  </si>
  <si>
    <t>Number of redundant vessels for small systems with only one vessel</t>
  </si>
  <si>
    <t>NRD_small_1</t>
  </si>
  <si>
    <t>If a design includes only one operating vessel, there should be at least one additional vessel</t>
  </si>
  <si>
    <t>Number of redundant vessels for small systems with multiple vessels</t>
  </si>
  <si>
    <t>NRD_small</t>
  </si>
  <si>
    <t>Small systems can operate at reduced capacity while one vessel is down for backwash, if there are multiple vessels</t>
  </si>
  <si>
    <t>&lt;-- pick or leave blank</t>
  </si>
  <si>
    <t>component_level_I</t>
  </si>
  <si>
    <t>no_backwash_I</t>
  </si>
  <si>
    <t>blank = low cost, 1 = mid cost, 2 = high cost</t>
  </si>
  <si>
    <t>actual diameter</t>
  </si>
  <si>
    <t>actual length</t>
  </si>
  <si>
    <t>max pressure vessel volume in cl.xls</t>
  </si>
  <si>
    <t>Design safety factor for standby power</t>
  </si>
  <si>
    <t>std_safety_factor</t>
  </si>
  <si>
    <t>lighting</t>
  </si>
  <si>
    <t>If total footprint is large, building 1 contains vessels only.  If total footprint is small, building 1 contains all equipment.</t>
  </si>
  <si>
    <t>Building 1 ventilation</t>
  </si>
  <si>
    <t>Building 2 ventilation</t>
  </si>
  <si>
    <t>Total ventilation</t>
  </si>
  <si>
    <t>include_NEPA</t>
  </si>
  <si>
    <t>Carbon Life Input Type</t>
  </si>
  <si>
    <t>Bed Depth</t>
  </si>
  <si>
    <t>Transfer Method</t>
  </si>
  <si>
    <t>op_fm_eq_in</t>
  </si>
  <si>
    <t>op_fm_eq</t>
  </si>
  <si>
    <t>Redundant booster pumps</t>
  </si>
  <si>
    <t>NRD_pumps</t>
  </si>
  <si>
    <t>Pilot Study</t>
  </si>
  <si>
    <t>Contingency</t>
  </si>
  <si>
    <t>Process Engineering</t>
  </si>
  <si>
    <t>Legal, Fiscal, and Administrative</t>
  </si>
  <si>
    <t>Sales Tax</t>
  </si>
  <si>
    <t>total of the two void volumes above</t>
  </si>
  <si>
    <t>remaining volume in a max-size pressure vessel, minus bed expansion</t>
  </si>
  <si>
    <t>extra number to test for min cost</t>
  </si>
  <si>
    <t>comp_nlines_extra_search</t>
  </si>
  <si>
    <t>we will search the number of lines until we find a minumum cost, then go this much farther to make sure we aren't in a local minimum</t>
  </si>
  <si>
    <t>available surface area, one vessel</t>
  </si>
  <si>
    <t>available surface area, all vessels</t>
  </si>
  <si>
    <t>Total GAC quanity</t>
  </si>
  <si>
    <t>GAC quantity each contactor</t>
  </si>
  <si>
    <t>GAC_each</t>
  </si>
  <si>
    <t>Total backwash volume</t>
  </si>
  <si>
    <t>Backwash flow</t>
  </si>
  <si>
    <t>GAC in grams</t>
  </si>
  <si>
    <t>M</t>
  </si>
  <si>
    <t>For Freundlich calculation</t>
  </si>
  <si>
    <t>Flow rate in L/min</t>
  </si>
  <si>
    <t>QL</t>
  </si>
  <si>
    <t>L/min</t>
  </si>
  <si>
    <t>N0/e</t>
  </si>
  <si>
    <t>N_0_e</t>
  </si>
  <si>
    <t>mg/cubic m</t>
  </si>
  <si>
    <t>hmixers</t>
  </si>
  <si>
    <t>Days of coagulant storage</t>
  </si>
  <si>
    <t>cstore_days</t>
  </si>
  <si>
    <t>days</t>
  </si>
  <si>
    <t>Coagulant Use</t>
  </si>
  <si>
    <t>coag_yr</t>
  </si>
  <si>
    <t>Shipments per year</t>
  </si>
  <si>
    <t>Ratio of  length to diameter for horizontal vessels for autosize</t>
  </si>
  <si>
    <t>Guidance: Carbon life is best determined by pilot or RSSCT tests. Use theoretical calculation methods (e.g., Freundlich isotherms) only in the absence of such data for initial assessment of carbon life and suitability of GAC for treatment.</t>
  </si>
  <si>
    <t>Number of backwash pumps</t>
  </si>
  <si>
    <t>pumps</t>
  </si>
  <si>
    <t>backwash_pumps</t>
  </si>
  <si>
    <t>Process piping length</t>
  </si>
  <si>
    <t>Include heating in standby power</t>
  </si>
  <si>
    <t>Include cooling in standby power</t>
  </si>
  <si>
    <t>need_heat</t>
  </si>
  <si>
    <t>Round surface area?</t>
  </si>
  <si>
    <t>comp_round_sa</t>
  </si>
  <si>
    <t>op_fm_eq_proc</t>
  </si>
  <si>
    <t>gac_slurry_eq</t>
  </si>
  <si>
    <t>seductor_eq</t>
  </si>
  <si>
    <t>regen_backfill_vol</t>
  </si>
  <si>
    <t>regen_railing</t>
  </si>
  <si>
    <t>regen_tanks</t>
  </si>
  <si>
    <t>regen_tank_vol</t>
  </si>
  <si>
    <t>regen_basin_op_depth</t>
  </si>
  <si>
    <t>cpvc_pipe_eq_back</t>
  </si>
  <si>
    <t>pvc_pipe_eq_back</t>
  </si>
  <si>
    <t>ss_pipe_eq_back</t>
  </si>
  <si>
    <t>st_pipe_eq_back</t>
  </si>
  <si>
    <t>Heat pump cooling mode EER</t>
  </si>
  <si>
    <t>Heat pump (cooling mode)</t>
  </si>
  <si>
    <t>pp_mov_eq_tank</t>
  </si>
  <si>
    <t>ss_mov_eq_tank</t>
  </si>
  <si>
    <t>pp_mov_eq_back</t>
  </si>
  <si>
    <t>ss_mov_eq_back</t>
  </si>
  <si>
    <t>Pumping</t>
  </si>
  <si>
    <t>to reach maximum loading rate</t>
  </si>
  <si>
    <t>to reach minimum loading rate</t>
  </si>
  <si>
    <t>volume of media in all vessels</t>
  </si>
  <si>
    <t>Vertical design search</t>
  </si>
  <si>
    <t>max media volume, vertical vessel</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</si>
  <si>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</si>
  <si>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</si>
  <si>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</si>
  <si>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</si>
  <si>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</si>
  <si>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</si>
  <si>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</si>
  <si>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</si>
  <si>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</si>
  <si>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</si>
  <si>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</si>
  <si>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</si>
  <si>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Leave blank to accept model defaults (only systems between 1 and 10 MGD require separate backwash tanks)</t>
  </si>
  <si>
    <t>radians</t>
  </si>
  <si>
    <t>Pipe length the boundary of the 10 foot buffer to distribution network</t>
  </si>
  <si>
    <t>target number of lines</t>
  </si>
  <si>
    <t>Standby Power</t>
  </si>
  <si>
    <t>Electrical (including yard wiring)</t>
  </si>
  <si>
    <t>Instrumentation and Control</t>
  </si>
  <si>
    <t>Permits</t>
  </si>
  <si>
    <t>Mid</t>
  </si>
  <si>
    <t>Process - Polypropylene/PVC</t>
  </si>
  <si>
    <t>Process - Stainless Steel</t>
  </si>
  <si>
    <t>&lt;-- 1 for regeneration on-site, 2 for regeneration off-site (non-hazardous), 3 for throwaway (non-hazardous), 4 for regeneration off-site (hazardous), 5 for throwaway (hazardous), 6 for throwaway (radioactive), 7 for throwaway (hazardous &amp; radioactive)</t>
  </si>
  <si>
    <t>&lt;-- 1 for non-hazardous, 2 for hazardous, 3 for radioactive, 4 for hazardous radioactive</t>
  </si>
  <si>
    <t>Disposal method for non-hazardous secondary solids</t>
  </si>
  <si>
    <t>solids_method</t>
  </si>
  <si>
    <t>&lt;-- 1 for landfill, 2 for land application</t>
  </si>
  <si>
    <t>Ignored if solids are hazardous or radioactive</t>
  </si>
  <si>
    <t>htransfer_time</t>
  </si>
  <si>
    <t>Ferric chloride sludge production factor</t>
  </si>
  <si>
    <t>Polymer sludge production factor</t>
  </si>
  <si>
    <t>polymer_spf</t>
  </si>
  <si>
    <t>Use basins, instead of tanks, when cogulant is added</t>
  </si>
  <si>
    <t>When coagulant is used, holding tanks will be sized so that residuals are present for at least this long. Based on 90-120 minute settling time in sedimentation basins (Water Treatment Plant Design, 4th ed.)</t>
  </si>
  <si>
    <t>Heating Table (1=include heating in buildings and O&amp;M, 0 = do not include heating)</t>
  </si>
  <si>
    <t>Component Level</t>
  </si>
  <si>
    <t>Buildings 500 square feet or greater</t>
  </si>
  <si>
    <t>low cost</t>
  </si>
  <si>
    <t>heating_table</t>
  </si>
  <si>
    <t>mid cost</t>
  </si>
  <si>
    <t>high cost</t>
  </si>
  <si>
    <t>Buildings less than 500 ft2 (other than those used for chlorine storage)</t>
  </si>
  <si>
    <t>heating_table_shed</t>
  </si>
  <si>
    <t>Cooling Table (1=include cooling in buildings and O&amp;M, 0 = do not include cooling)</t>
  </si>
  <si>
    <t>cooling_table</t>
  </si>
  <si>
    <t>cooling_table_shed</t>
  </si>
  <si>
    <t>One CPU is needed to run the local and expansion bases and modules (max 8192 I/O); using two to provide redundancy</t>
  </si>
  <si>
    <t>Guidance: EBCT is best determined by pilot tests, but may be calculated for radon if a steady state rate constant (Kss) is available. Use the theoretical calculation method for radon only in the absence of pilot data for initial assessment of EBCT and suitability of GAC for treatment.</t>
  </si>
  <si>
    <t>Adjust bypass percentage</t>
  </si>
  <si>
    <t>Adjust vessel size constraints</t>
  </si>
  <si>
    <t>Adjust loading constraints</t>
  </si>
  <si>
    <t>Maximum vessel height (circular vessels)</t>
  </si>
  <si>
    <t>facil_length</t>
  </si>
  <si>
    <t>Building 1 air exchange heat loss</t>
  </si>
  <si>
    <t>Buiding 2 ceiling conductance heat loss</t>
  </si>
  <si>
    <t>Building 2 air exchange heat loss</t>
  </si>
  <si>
    <t>Building 2 side conductance heat loss</t>
  </si>
  <si>
    <t>heating</t>
  </si>
  <si>
    <t>Head loss sensor</t>
  </si>
  <si>
    <t>head</t>
  </si>
  <si>
    <t>switch</t>
  </si>
  <si>
    <t>99-87-6</t>
  </si>
  <si>
    <t>87-68-3</t>
  </si>
  <si>
    <t>Quantity of media handled per year</t>
  </si>
  <si>
    <t>Managing residual solids</t>
  </si>
  <si>
    <t>Diuron</t>
  </si>
  <si>
    <t>330-54-1</t>
  </si>
  <si>
    <t>EPTC</t>
  </si>
  <si>
    <t>759-94-4</t>
  </si>
  <si>
    <t>Fonofos</t>
  </si>
  <si>
    <t>944-22-9</t>
  </si>
  <si>
    <t>Linuron</t>
  </si>
  <si>
    <t>330-55-2</t>
  </si>
  <si>
    <t>95-48-7</t>
  </si>
  <si>
    <t>Molinate</t>
  </si>
  <si>
    <t>2212-67-1</t>
  </si>
  <si>
    <t>Methyl bromide</t>
  </si>
  <si>
    <t>74-83-9</t>
  </si>
  <si>
    <t>Nitrobenzene</t>
  </si>
  <si>
    <t>98-95-3</t>
  </si>
  <si>
    <t>Prometon</t>
  </si>
  <si>
    <t>1610-18-0</t>
  </si>
  <si>
    <t>RDX</t>
  </si>
  <si>
    <t>121-82-4</t>
  </si>
  <si>
    <t>Terbacil</t>
  </si>
  <si>
    <t>5902-51-2</t>
  </si>
  <si>
    <t>Terbufos</t>
  </si>
  <si>
    <t>13071-79-9</t>
  </si>
  <si>
    <t>Makeup carbon for on-site regeneration</t>
  </si>
  <si>
    <t>makeup_rate</t>
  </si>
  <si>
    <t>Clerical_percent</t>
  </si>
  <si>
    <t>Clerical_LOE</t>
  </si>
  <si>
    <t>Annual Operator LOE</t>
  </si>
  <si>
    <t>Operator_LOE</t>
  </si>
  <si>
    <t>hours</t>
  </si>
  <si>
    <t>/therm</t>
  </si>
  <si>
    <t>/gal</t>
  </si>
  <si>
    <t>pump_fp</t>
  </si>
  <si>
    <t>Total footprint</t>
  </si>
  <si>
    <t>total_fp</t>
  </si>
  <si>
    <t>Concrete Class A for vessel and pumps padding</t>
  </si>
  <si>
    <t>concrete</t>
  </si>
  <si>
    <t>cubic yards</t>
  </si>
  <si>
    <t>Access space per pump</t>
  </si>
  <si>
    <t>Number of holding tanks</t>
  </si>
  <si>
    <t>htanks</t>
  </si>
  <si>
    <t>Guidance: redundant unit every 1-5 parallel lines</t>
  </si>
  <si>
    <t>tank_geom</t>
  </si>
  <si>
    <t>curve</t>
  </si>
  <si>
    <t>Size of flow meters for influent line</t>
  </si>
  <si>
    <t>S_booster_pump</t>
  </si>
  <si>
    <t>S_back_pump</t>
  </si>
  <si>
    <t>Borehole needed every x square feet</t>
  </si>
  <si>
    <t>hole_per_sf</t>
  </si>
  <si>
    <t>Number of test pits</t>
  </si>
  <si>
    <t>num_pits</t>
  </si>
  <si>
    <t>Number of boreholes</t>
  </si>
  <si>
    <t>num_holes</t>
  </si>
  <si>
    <t>Boreholes per job</t>
  </si>
  <si>
    <t>hole_per_job</t>
  </si>
  <si>
    <t>comm_vol</t>
  </si>
  <si>
    <t>gal</t>
  </si>
  <si>
    <t>Energy for heating</t>
  </si>
  <si>
    <t>Borings, drawings showing boring details</t>
  </si>
  <si>
    <t>Borings, report and recommendations from P.E.</t>
  </si>
  <si>
    <t>Borings, mobilization and demobilization, minimum</t>
  </si>
  <si>
    <t>POTW TSS discharge limit (over which fee would be imposed)</t>
  </si>
  <si>
    <t>POTW_TSS_limit</t>
  </si>
  <si>
    <t>Miles to non-hazardous solid waste disposal site</t>
  </si>
  <si>
    <t>non_haz_miles</t>
  </si>
  <si>
    <t>sept_pipe_diam</t>
  </si>
  <si>
    <t>Typical design: 4" perforated pvc pipe</t>
  </si>
  <si>
    <t>Septic tank cleaning frequency</t>
  </si>
  <si>
    <t>septic_disp_freq</t>
  </si>
  <si>
    <t>sf</t>
  </si>
  <si>
    <t>proc_man_vessel</t>
  </si>
  <si>
    <t>Number of manual valves for process line</t>
  </si>
  <si>
    <t>tot_proc_man</t>
  </si>
  <si>
    <t>pp_man_eq_proc</t>
  </si>
  <si>
    <t>Standby power for heating</t>
  </si>
  <si>
    <t>std_heat</t>
  </si>
  <si>
    <t>Pressure vessel relining/basin maintenance materials</t>
  </si>
  <si>
    <t>Basin mainenance labor (gravity systems)</t>
  </si>
  <si>
    <t>filter_labor</t>
  </si>
  <si>
    <t>Building height (gravity systems)</t>
  </si>
  <si>
    <t>Building_height_g</t>
  </si>
  <si>
    <t>Maximum basin excavation depth</t>
  </si>
  <si>
    <t>max_excav_depth</t>
  </si>
  <si>
    <t>Borehole depth (pressure systems)</t>
  </si>
  <si>
    <t>Large gravity systems with deep basins require deeper investigation</t>
  </si>
  <si>
    <t>bore_depth_p</t>
  </si>
  <si>
    <t>Contactors</t>
  </si>
  <si>
    <t>Backwash Basin/Tanks</t>
  </si>
  <si>
    <t>holding tank</t>
  </si>
  <si>
    <t>1.2.2</t>
  </si>
  <si>
    <t>1.2.3</t>
  </si>
  <si>
    <t>1.2.4</t>
  </si>
  <si>
    <t>1.2.5</t>
  </si>
  <si>
    <t>1.2.6</t>
  </si>
  <si>
    <t>Design Type</t>
  </si>
  <si>
    <t># of contactors in series</t>
  </si>
  <si>
    <t>I/O Ports needed per….</t>
  </si>
  <si>
    <t>Lookup name</t>
  </si>
  <si>
    <t>Discrete Inputs</t>
  </si>
  <si>
    <t>Discrete Outputs</t>
  </si>
  <si>
    <t>Analog Inputs</t>
  </si>
  <si>
    <t>Analog Outputs</t>
  </si>
  <si>
    <t>Multiple pump approach eliminates need for redundant pumps</t>
  </si>
  <si>
    <t>Number of CPUs</t>
  </si>
  <si>
    <t>r_bed_life</t>
  </si>
  <si>
    <t>Bed life for retrofit</t>
  </si>
  <si>
    <t>N0/e for retrofit</t>
  </si>
  <si>
    <t>r_regen_day</t>
  </si>
  <si>
    <t>r_GAC_yr</t>
  </si>
  <si>
    <t>r_regen_yr</t>
  </si>
  <si>
    <t>r_GAC_makeup</t>
  </si>
  <si>
    <t>Septic drain field trench depth</t>
  </si>
  <si>
    <t>Backwash tank diameter</t>
  </si>
  <si>
    <t>bt_diam</t>
  </si>
  <si>
    <t>st_diam</t>
  </si>
  <si>
    <t>Residuals holding tank diameter</t>
  </si>
  <si>
    <t>ht_diam</t>
  </si>
  <si>
    <t>Virgin GAC storage tank diameter</t>
  </si>
  <si>
    <t>vt_diam</t>
  </si>
  <si>
    <t>Spent GAC storage tank diameter</t>
  </si>
  <si>
    <t>Regenerated GAC storage tank diameter</t>
  </si>
  <si>
    <t>rt_diam</t>
  </si>
  <si>
    <t>comm_height_length</t>
  </si>
  <si>
    <t>comm_diam</t>
  </si>
  <si>
    <t>Maximum vessel diameter</t>
  </si>
  <si>
    <t>Buiding 1 ceiling conductance heat loss</t>
  </si>
  <si>
    <t>Heating ventilation/infiltration load</t>
  </si>
  <si>
    <t>Cooling ventilation/infiltration load</t>
  </si>
  <si>
    <t>heat_viload</t>
  </si>
  <si>
    <t>cool_viload</t>
  </si>
  <si>
    <t>BTU/cfm</t>
  </si>
  <si>
    <t>Building 1 air exchange rate</t>
  </si>
  <si>
    <t>cfm</t>
  </si>
  <si>
    <t>build1_cfm</t>
  </si>
  <si>
    <t>Building 2 air exchange rate</t>
  </si>
  <si>
    <t>build2_cfm</t>
  </si>
  <si>
    <t>Land Cost per acre</t>
  </si>
  <si>
    <t>land_cost</t>
  </si>
  <si>
    <t>pump_eq</t>
  </si>
  <si>
    <t>Number of mechanical ventilation days per year 2nd building (small system)</t>
  </si>
  <si>
    <t>fan_days_build2_small</t>
  </si>
  <si>
    <t>For small systems (&lt;1 MGD)</t>
  </si>
  <si>
    <t>Many systems can operate to 0.5 gpm/sf (Richard E. Hubel, Peter Keenan, American Water Works Service Company, Inc.).</t>
  </si>
  <si>
    <t>Solids drying pad</t>
  </si>
  <si>
    <t>Area required</t>
  </si>
  <si>
    <t>solids_pad_area</t>
  </si>
  <si>
    <t>Concrete</t>
  </si>
  <si>
    <t>solids_pad_concrete</t>
  </si>
  <si>
    <t>cubic yds</t>
  </si>
  <si>
    <t>Residual solids storage height (for drying pad)</t>
  </si>
  <si>
    <t>solids_storage_height</t>
  </si>
  <si>
    <t>Validity Checks</t>
  </si>
  <si>
    <t>Contaminant removal requirements</t>
  </si>
  <si>
    <t>EBCT_type</t>
  </si>
  <si>
    <t>EBCT_I</t>
  </si>
  <si>
    <t>EBCT_O</t>
  </si>
  <si>
    <t>Kss</t>
  </si>
  <si>
    <t>freund_type</t>
  </si>
  <si>
    <t>Septic Tank Solids Disposal Fees</t>
  </si>
  <si>
    <t>septic_disposal_fee</t>
  </si>
  <si>
    <t>Septic Tanks</t>
  </si>
  <si>
    <t>Excavation for Septic Tanks</t>
  </si>
  <si>
    <t>Distribution Boxes</t>
  </si>
  <si>
    <t>Distribution Pipe (Perforated PVC)</t>
  </si>
  <si>
    <t>Drain Field Trench Excavation</t>
  </si>
  <si>
    <t>Drain Field Gravel</t>
  </si>
  <si>
    <t>septic_tank_eq</t>
  </si>
  <si>
    <t>I/O Discrete Output Modules</t>
  </si>
  <si>
    <t>Redundant Contactors</t>
  </si>
  <si>
    <t>Number of Booster pumps</t>
  </si>
  <si>
    <t>Number of manual valves for residual line</t>
  </si>
  <si>
    <t>total_res_man</t>
  </si>
  <si>
    <t>333-41-5</t>
  </si>
  <si>
    <t>120-83-2</t>
  </si>
  <si>
    <t>563-58-6</t>
  </si>
  <si>
    <t>142-28-9</t>
  </si>
  <si>
    <t>51-28-5</t>
  </si>
  <si>
    <t>121-14-2</t>
  </si>
  <si>
    <t>606-20-2</t>
  </si>
  <si>
    <t>122-66-7</t>
  </si>
  <si>
    <t>Disulfoton</t>
  </si>
  <si>
    <t>298-04-4</t>
  </si>
  <si>
    <t>space_pumps</t>
  </si>
  <si>
    <t>Number of manual valves on process line per vessel</t>
  </si>
  <si>
    <t>Access space per backwash tank</t>
  </si>
  <si>
    <t>Maximum access space per vessel or tank</t>
  </si>
  <si>
    <t>max_space_vessels</t>
  </si>
  <si>
    <t>Minimum will always be one, but larger systems will have multiple workstations to control the system</t>
  </si>
  <si>
    <t>Vessel Geometry</t>
  </si>
  <si>
    <t>Vessel Diameter</t>
  </si>
  <si>
    <t>Organic-free groundwater</t>
  </si>
  <si>
    <t>media_changes_cf</t>
  </si>
  <si>
    <t>cf</t>
  </si>
  <si>
    <t>For use with mechanical transfer, incorporates number of vessels. For onsite regeneration, media changeout labor is included regen_labor, below</t>
  </si>
  <si>
    <t>For use with manual transfer, incorporates both removal and refill. For onsite regeneration, media changeout labor is included regen_labor, below</t>
  </si>
  <si>
    <t>Minimum average flow as percentage of design</t>
  </si>
  <si>
    <t>min_avg_flow</t>
  </si>
  <si>
    <t>Flow meters for process line per vessel</t>
  </si>
  <si>
    <t>Characteristics of holding tank solids</t>
  </si>
  <si>
    <t>O&amp;M Items</t>
  </si>
  <si>
    <t>r_inc_regen_capacity</t>
  </si>
  <si>
    <t>Number of check valves on influent line in add-on scenario</t>
  </si>
  <si>
    <t>in_chv</t>
  </si>
  <si>
    <t>in_chv_addon</t>
  </si>
  <si>
    <t>fm_in</t>
  </si>
  <si>
    <t>fm_in_addon</t>
  </si>
  <si>
    <t>Include pilot study costs in add-on scenario?</t>
  </si>
  <si>
    <t>include_pilot_addon</t>
  </si>
  <si>
    <t>plc_cpu_standalone</t>
  </si>
  <si>
    <t>Number of CPUs in add-on scenario</t>
  </si>
  <si>
    <t>plc_cpu_addon</t>
  </si>
  <si>
    <t>Ethernet modules in add-on scenario</t>
  </si>
  <si>
    <t>plc_ethernet_addon</t>
  </si>
  <si>
    <t>plc_ethernet_standalone</t>
  </si>
  <si>
    <t>plc_interface_standalone</t>
  </si>
  <si>
    <t>plc_interface_addon</t>
  </si>
  <si>
    <t>ups_standalone</t>
  </si>
  <si>
    <t>ups_addon</t>
  </si>
  <si>
    <t>pit_length</t>
  </si>
  <si>
    <t>pit_width</t>
  </si>
  <si>
    <t>pit_depth</t>
  </si>
  <si>
    <t>bore_depth</t>
  </si>
  <si>
    <t>bore_need</t>
  </si>
  <si>
    <t>Technology footprint above which boreholes are needed</t>
  </si>
  <si>
    <t>Drive controllers per slurry pump system</t>
  </si>
  <si>
    <t>Total drive controllers</t>
  </si>
  <si>
    <t>Drive controllers</t>
  </si>
  <si>
    <t>Missing Cost?:</t>
  </si>
  <si>
    <t>Total of process and building costs</t>
  </si>
  <si>
    <t>Internal use</t>
  </si>
  <si>
    <t>Indirect cost multiplier</t>
  </si>
  <si>
    <t>Indirect costs added</t>
  </si>
  <si>
    <t>Subtotal indirect and add-on cost</t>
  </si>
  <si>
    <t>lb/cubic ft.</t>
  </si>
  <si>
    <t>Based on soil density of loamy sand (1.55 gm/cc)</t>
  </si>
  <si>
    <t>Coefficient of passive pressure</t>
  </si>
  <si>
    <t>Reduction factor</t>
  </si>
  <si>
    <t>Coeff_Kp</t>
  </si>
  <si>
    <t>Reduction</t>
  </si>
  <si>
    <t>yard_pipe_diam</t>
  </si>
  <si>
    <t>Actual yard piping diameter</t>
  </si>
  <si>
    <t>hole_per_day</t>
  </si>
  <si>
    <t>boreholes/job</t>
  </si>
  <si>
    <t>RS Means Costworks 2001</t>
  </si>
  <si>
    <t>Linear feet bored per day</t>
  </si>
  <si>
    <t>l.f./day</t>
  </si>
  <si>
    <t>r_replace_gac_eq</t>
  </si>
  <si>
    <t>r_off_regen_eq</t>
  </si>
  <si>
    <t>Retrofit (optional)</t>
  </si>
  <si>
    <t>Retrofit</t>
  </si>
  <si>
    <t>Makeup carbon 10% for on-site regeneration (Richard E. Hubel, Peter Keenan, American Water Works Service Company).</t>
  </si>
  <si>
    <t>Count?</t>
  </si>
  <si>
    <t>Depreciation</t>
  </si>
  <si>
    <t>direct_for_UL</t>
  </si>
  <si>
    <t>total_direct_depreciation</t>
  </si>
  <si>
    <t>build_UL</t>
  </si>
  <si>
    <t>ANNUALIZED COSTS</t>
  </si>
  <si>
    <t>Discount rate</t>
  </si>
  <si>
    <t>User adjustable</t>
  </si>
  <si>
    <t>Calculate households based on:</t>
  </si>
  <si>
    <t>ground water</t>
  </si>
  <si>
    <t>Household size (people per household)</t>
  </si>
  <si>
    <t>Useful Life (Reciprocal Weighted Average)</t>
  </si>
  <si>
    <t>years</t>
  </si>
  <si>
    <t>Number of households served</t>
  </si>
  <si>
    <t>households</t>
  </si>
  <si>
    <t>Annualized cost per 1,000 gallons average flow</t>
  </si>
  <si>
    <t>/kgal</t>
  </si>
  <si>
    <t>Annualized cost per household</t>
  </si>
  <si>
    <t>/household/year</t>
  </si>
  <si>
    <t>Spent media quantity (average per year)</t>
  </si>
  <si>
    <t>spent_media_yr</t>
  </si>
  <si>
    <t>Makeup carbon for off-site regeneration</t>
  </si>
  <si>
    <t>makeup_rate_off</t>
  </si>
  <si>
    <t>Makeup carbon needs are higher for transport and regeneration off-site -- 30% (Richard E. Hubel, Peter Keenan, American Water Works Service Company).</t>
  </si>
  <si>
    <t>Trench length</t>
  </si>
  <si>
    <t>sept_trench_l</t>
  </si>
  <si>
    <t>Drain field gravel required</t>
  </si>
  <si>
    <t>sept_gravel_vol</t>
  </si>
  <si>
    <t>Trench excavation required</t>
  </si>
  <si>
    <t>sept_trench_excav_vol</t>
  </si>
  <si>
    <t>Septic tank side length</t>
  </si>
  <si>
    <t>sept_tank_side</t>
  </si>
  <si>
    <t>Tank excavation required</t>
  </si>
  <si>
    <t>sept_tank_exav_vol</t>
  </si>
  <si>
    <t>Number of distribution boxes</t>
  </si>
  <si>
    <t>sept_dist_boxes</t>
  </si>
  <si>
    <t>Septic distribution pipe length</t>
  </si>
  <si>
    <t>sept_pipe_length</t>
  </si>
  <si>
    <t>Drain field land area required</t>
  </si>
  <si>
    <t>sept_fp</t>
  </si>
  <si>
    <t>gpd</t>
  </si>
  <si>
    <t>sq ft</t>
  </si>
  <si>
    <t>Typical state/local regulations allow trench sides below pipe to be counted as part of infiltration area</t>
  </si>
  <si>
    <t>cu yd</t>
  </si>
  <si>
    <t>Assumes cube shape for simplicity</t>
  </si>
  <si>
    <t>Assumes piping to septic tank and laterals between trenches are accounted for by existing residuals piping cost</t>
  </si>
  <si>
    <t>Minimum septic tank discharge time</t>
  </si>
  <si>
    <t>min_sept_disch_time</t>
  </si>
  <si>
    <t>Typical of state/local regulations</t>
  </si>
  <si>
    <t>Minimum septic tank volume</t>
  </si>
  <si>
    <t>min_sept_tank_vol</t>
  </si>
  <si>
    <t>State/local regulations dictate a minimum of 750 to 1000 gallons; 1000 is the minimum size for which costs are available</t>
  </si>
  <si>
    <t>Maximum septic tank volume</t>
  </si>
  <si>
    <t>max_sept_tank_vol</t>
  </si>
  <si>
    <t>The largest size for which costs are available</t>
  </si>
  <si>
    <t>Septic tank volume safety factor</t>
  </si>
  <si>
    <t>sept_tank_sf</t>
  </si>
  <si>
    <t>Allow for tank freeboard &amp; effluent other than residuals</t>
  </si>
  <si>
    <t>Long term acceptance rate</t>
  </si>
  <si>
    <t>sept_LTAR</t>
  </si>
  <si>
    <t>gpd/sq ft</t>
  </si>
  <si>
    <t>Used by states/localities to dermine the minimum trench infiltration area; varies based on soil type</t>
  </si>
  <si>
    <t>Septic drain field trench width</t>
  </si>
  <si>
    <t>sept_trench_w</t>
  </si>
  <si>
    <t>State/local regulations require 2 to 4 feet; RS Means costs based on 4' trenches</t>
  </si>
  <si>
    <t>discrete_outputs</t>
  </si>
  <si>
    <t>analog_inputs</t>
  </si>
  <si>
    <t>analog_outputs</t>
  </si>
  <si>
    <t>Maximum vessel length (longitudinal vessels)</t>
  </si>
  <si>
    <t>design_flow</t>
  </si>
  <si>
    <t>average_flow</t>
  </si>
  <si>
    <t>Design Flow Rate</t>
  </si>
  <si>
    <t>design_flow_rate</t>
  </si>
  <si>
    <t>EBCT per vessel</t>
  </si>
  <si>
    <t>load_min</t>
  </si>
  <si>
    <t>load_max</t>
  </si>
  <si>
    <t>square feet</t>
  </si>
  <si>
    <t>target diameter</t>
  </si>
  <si>
    <t>target length</t>
  </si>
  <si>
    <t>from guidance on input sheet</t>
  </si>
  <si>
    <t>target height</t>
  </si>
  <si>
    <t>dimensions for vertical vessels</t>
  </si>
  <si>
    <t>6.5</t>
  </si>
  <si>
    <t>6.7</t>
  </si>
  <si>
    <t>6.9</t>
  </si>
  <si>
    <t>6.10</t>
  </si>
  <si>
    <t>Initial GAC Charge</t>
  </si>
  <si>
    <t>gac_eq</t>
  </si>
  <si>
    <t>Multiple Hearth Furnace System</t>
  </si>
  <si>
    <t>on_regen_eq</t>
  </si>
  <si>
    <t>Virgin GAC Storage</t>
  </si>
  <si>
    <t>Concrete Basins</t>
  </si>
  <si>
    <t>Steel Tanks</t>
  </si>
  <si>
    <t>Spent GAC Storage</t>
  </si>
  <si>
    <t>Regenerated GAC Storage</t>
  </si>
  <si>
    <t>no equation</t>
  </si>
  <si>
    <t>st_vt_eq</t>
  </si>
  <si>
    <t>st_st_eq</t>
  </si>
  <si>
    <t>st_rt_eq</t>
  </si>
  <si>
    <t>Does not include backwash pumping or on-site regeneration, as these activities can be delayed in the event of a power outage</t>
  </si>
  <si>
    <t>throwaway (non-hazardous)</t>
  </si>
  <si>
    <t>regeneration off-site (non-hazardous)</t>
  </si>
  <si>
    <t>Additional Transportation Cost for Off-site Regeneration (Hazardous)</t>
  </si>
  <si>
    <t>Regeneration frequency</t>
  </si>
  <si>
    <t>haz_regen_transp</t>
  </si>
  <si>
    <t>Radon</t>
  </si>
  <si>
    <t>Materials_pct</t>
  </si>
  <si>
    <t>Annual contactor materials cost as a percent of capital</t>
  </si>
  <si>
    <t>To account for vessel relining, as GAC can be corrosive</t>
  </si>
  <si>
    <t>filter_materials</t>
  </si>
  <si>
    <t>Materials for GAC contactors</t>
  </si>
  <si>
    <t>Includes labor for regular operations, maintenance, regeneration, etc.</t>
  </si>
  <si>
    <t>MGD (excludes bypass flow)</t>
  </si>
  <si>
    <t>Under assumptions below, valves are motorized for fully automated systems, manual for semi-automated and manual systems</t>
  </si>
  <si>
    <t>Hold the greater of one event of media removal or one holding tank cleanout</t>
  </si>
  <si>
    <t>tank_geom_I</t>
  </si>
  <si>
    <t xml:space="preserve">For information:  </t>
  </si>
  <si>
    <t>Number of treatment trains</t>
  </si>
  <si>
    <t>Natural Gas</t>
  </si>
  <si>
    <t>regen_ng</t>
  </si>
  <si>
    <t>Therms/yr</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</si>
  <si>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</si>
  <si>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</si>
  <si>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</si>
  <si>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</si>
  <si>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</si>
  <si>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</si>
  <si>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</si>
  <si>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</si>
  <si>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</si>
  <si>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</si>
  <si>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</si>
  <si>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eng_pct_small</t>
  </si>
  <si>
    <t>Engineering percentage for medium systems</t>
  </si>
  <si>
    <t>eng_pct_medium</t>
  </si>
  <si>
    <t>Engineering percentage for large systems</t>
  </si>
  <si>
    <t>eng_pct_large</t>
  </si>
  <si>
    <t>Miscellaneous allowance percentage</t>
  </si>
  <si>
    <t>misc_pct</t>
  </si>
  <si>
    <t>from max_height CDA</t>
  </si>
  <si>
    <t>actual bed depth</t>
  </si>
  <si>
    <t>actual height</t>
  </si>
  <si>
    <t>Select carbon life input type</t>
  </si>
  <si>
    <t>freund_type_I</t>
  </si>
  <si>
    <t>Carbon life input type</t>
  </si>
  <si>
    <t>EBCT per contactor</t>
  </si>
  <si>
    <t>Carbon Life</t>
  </si>
  <si>
    <t>&lt;-- enter 1 for parallel, 2 or more for series</t>
  </si>
  <si>
    <t>Vessel geometry</t>
  </si>
  <si>
    <t>Total vessels (incl. redundancy, below)</t>
  </si>
  <si>
    <t>Num_tanks_I</t>
  </si>
  <si>
    <t>min_bed_depth</t>
  </si>
  <si>
    <t>max_bed_depth</t>
  </si>
  <si>
    <t>This sheet performs calculations to confirm that the contactor design on the Input page meets engineering constraints</t>
  </si>
  <si>
    <t>From Inputs</t>
  </si>
  <si>
    <t>Minimum Vessel Diameter</t>
  </si>
  <si>
    <t>min_diam</t>
  </si>
  <si>
    <t>Maximum Vessel Diameter</t>
  </si>
  <si>
    <t>trains</t>
  </si>
  <si>
    <t>res_s2_opt</t>
  </si>
  <si>
    <t>tons</t>
  </si>
  <si>
    <t>res_cap_factor</t>
  </si>
  <si>
    <t>Maximum holding tank size</t>
  </si>
  <si>
    <t>max_htank_size</t>
  </si>
  <si>
    <t>The largest size for which costs are available.</t>
  </si>
  <si>
    <t>Redundant residuals pumps</t>
  </si>
  <si>
    <t>NRD_res_pump</t>
  </si>
  <si>
    <t>Applies only if pumping is included</t>
  </si>
  <si>
    <t>add_res_pipe_length</t>
  </si>
  <si>
    <t>Number of motor/air operated control valves on residuals line per residuals pump</t>
  </si>
  <si>
    <t>res_MOV_pump</t>
  </si>
  <si>
    <t>bed depth for chosen geometry</t>
  </si>
  <si>
    <t>unit</t>
  </si>
  <si>
    <t>Polymers</t>
  </si>
  <si>
    <t>Internals (1st cell underdrain)</t>
  </si>
  <si>
    <t>Internals (add cell underdrain)</t>
  </si>
  <si>
    <t>Internals (backwash dist)</t>
  </si>
  <si>
    <t>cont_bot_eq</t>
  </si>
  <si>
    <t>cont_bot_add_eq</t>
  </si>
  <si>
    <t>cont_top_eq</t>
  </si>
  <si>
    <t>Internals (total)</t>
  </si>
  <si>
    <t>cont_int_eq</t>
  </si>
  <si>
    <t>Internals (Underdrain/Backwash System)</t>
  </si>
  <si>
    <t>ss_polymer_st_eq</t>
  </si>
  <si>
    <t>ss_cst_eq</t>
  </si>
  <si>
    <t>backwash_pump_valid</t>
  </si>
  <si>
    <t>new pumps</t>
  </si>
  <si>
    <t>backwash_storage_valid</t>
  </si>
  <si>
    <t>new storage</t>
  </si>
  <si>
    <t>comp_level_valid</t>
  </si>
  <si>
    <t>system_automation_valid</t>
  </si>
  <si>
    <t>semi-automated</t>
  </si>
  <si>
    <t>retrofit_valid</t>
  </si>
  <si>
    <t>add_on_valid</t>
  </si>
  <si>
    <t>Number of control valves of x type on y line per z</t>
  </si>
  <si>
    <t>Semi-auto</t>
  </si>
  <si>
    <t>Fully Auto</t>
  </si>
  <si>
    <t>Keeping this assumption with a value of 1 is strongly recommended; the cost equations method is more appropriate for national cost estimating and will be more accurate for nearly all user-specified designs</t>
  </si>
  <si>
    <t>Contaminant Selection</t>
  </si>
  <si>
    <t>Contaminant Name</t>
  </si>
  <si>
    <t>Internal Use</t>
  </si>
  <si>
    <t>Design Indices</t>
  </si>
  <si>
    <t>Number of Tanks</t>
  </si>
  <si>
    <t>Default Critical Design Assumptions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</si>
  <si>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</si>
  <si>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</si>
  <si>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</si>
  <si>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I/O Port Table</t>
  </si>
  <si>
    <t>See the I/O Port Table at the bottom of this page for additional assumptions relating to system controls</t>
  </si>
  <si>
    <t>Users may change any of the cells in the Value column</t>
  </si>
  <si>
    <t>Default Assumptions for Indirect and Add-On Costs</t>
  </si>
  <si>
    <t>Retrofit Calculations</t>
  </si>
  <si>
    <t>Calculation</t>
  </si>
  <si>
    <t>Contactor Constraint Calculations</t>
  </si>
  <si>
    <t>Backwash and Regeneration Calculations</t>
  </si>
  <si>
    <t>Pumps and Transfer Equipment</t>
  </si>
  <si>
    <t>Pumps, Piping, and Structure Calculations</t>
  </si>
  <si>
    <t>Instrumentation and Control Calculations</t>
  </si>
  <si>
    <t>Based on system size and component level (see cell comment), unless user overrides on input sheet</t>
  </si>
  <si>
    <t>res_s1_valid</t>
  </si>
  <si>
    <t>res_sol_validation</t>
  </si>
  <si>
    <t>contam_lookup</t>
  </si>
  <si>
    <t>Residuals Management Calculations</t>
  </si>
  <si>
    <t>Operation and Maintenance Calculations</t>
  </si>
  <si>
    <t>Building Heating, Ventilating, and Air Conditioning Calculations</t>
  </si>
  <si>
    <t>Indirect and Add-on Cost Calculations</t>
  </si>
  <si>
    <t>Component</t>
  </si>
  <si>
    <t>Cost Equations</t>
  </si>
  <si>
    <t xml:space="preserve">This sheet is used internally by the Auto Size macro to iteratively select the lowest capital cost design meeting engineering constraints. </t>
  </si>
  <si>
    <t>This sheet is used only if the Auto Size button is clicked.  Advanced users may adjust the automated sizing procedure following the guidance below.</t>
  </si>
  <si>
    <t>Autosize</t>
  </si>
  <si>
    <t>This sheet is used internally to calculate component costs using the cost equations method; see model documentation for more details on the development of cost equations</t>
  </si>
  <si>
    <t>Lookup Tables and Input Validation</t>
  </si>
  <si>
    <t>This sheet is used internally to perform certain reference calculations and support input sheet data validation</t>
  </si>
  <si>
    <t>GRANULAR ACTIVATED CARBON (GAC) SYSTEM DESIGN AND COST INPUT</t>
  </si>
  <si>
    <t>Parameter</t>
  </si>
  <si>
    <t>Annualized cost per household per year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</si>
  <si>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</si>
  <si>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Design Quanitity</t>
  </si>
  <si>
    <t>Design Size</t>
  </si>
  <si>
    <t>Full Line Item Name</t>
  </si>
  <si>
    <t>Total of direct line items above:</t>
  </si>
  <si>
    <t>Direct cost category</t>
  </si>
  <si>
    <t>Add-on Line Item</t>
  </si>
  <si>
    <r>
      <t xml:space="preserve">Add-on Cost Details </t>
    </r>
    <r>
      <rPr>
        <i/>
        <sz val="10"/>
        <color rgb="FF008000"/>
        <rFont val="Arial"/>
        <family val="2"/>
      </rPr>
      <t>(See indirect assumptions sheet to exclude individual add-on items)</t>
    </r>
  </si>
  <si>
    <t>Indirect Line Item</t>
  </si>
  <si>
    <t>Percent</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</si>
  <si>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</si>
  <si>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t>Capital Cost Category</t>
  </si>
  <si>
    <t>User adjustable. Can be used to adjust estimated costs to be more reflective of a specific geographical location</t>
  </si>
  <si>
    <r>
      <t>Grand total capital cost</t>
    </r>
    <r>
      <rPr>
        <b/>
        <sz val="12"/>
        <color rgb="FF008000"/>
        <rFont val="Arial"/>
        <family val="2"/>
      </rPr>
      <t xml:space="preserve"> </t>
    </r>
    <r>
      <rPr>
        <i/>
        <sz val="10"/>
        <color rgb="FF008000"/>
        <rFont val="Arial"/>
        <family val="2"/>
      </rPr>
      <t>(incorporating city index)</t>
    </r>
  </si>
  <si>
    <t>Included by default for high cost systems only.</t>
  </si>
  <si>
    <r>
      <t xml:space="preserve">Indirect Capital Cost Details </t>
    </r>
    <r>
      <rPr>
        <i/>
        <sz val="10"/>
        <color rgb="FF008000"/>
        <rFont val="Arial"/>
        <family val="2"/>
      </rPr>
      <t>(See indirect assumptions sheet to exclude individual indirect items)</t>
    </r>
  </si>
  <si>
    <r>
      <t>Annual Operating and Maintenance Cost Details</t>
    </r>
    <r>
      <rPr>
        <i/>
        <sz val="10"/>
        <color rgb="FF008000"/>
        <rFont val="Arial"/>
        <family val="2"/>
      </rPr>
      <t xml:space="preserve"> (items in italics, without a 1 in the "Use?" column, represent alternate costs and are excluded from total)</t>
    </r>
  </si>
  <si>
    <t>1 ton cooling = 12,000 BTU/hr</t>
  </si>
  <si>
    <t>thousands of BTU per hour</t>
  </si>
  <si>
    <t>Guidance: Typically upright, although larger systems (e.g., greater than 2,000 gpm) might use horizontal vessels</t>
  </si>
  <si>
    <t>Guidance: Typically up to 14 feet for upright vessels, 20 to 40 feet for horizontal vessels</t>
  </si>
  <si>
    <t>Guidance: Typically 1.5 to 14 feet for upright vessels, 10 to 14 feet for horizontal vessels</t>
  </si>
  <si>
    <t>Size of valves for polymer line</t>
  </si>
  <si>
    <t>Polymer Mixers</t>
  </si>
  <si>
    <t>8.4</t>
  </si>
  <si>
    <t>8.4.1</t>
  </si>
  <si>
    <t>Polymer Storage Tank Mixers</t>
  </si>
  <si>
    <t>cmount_mix_eq_polymer</t>
  </si>
  <si>
    <t>cimp_mix_eq_polymer</t>
  </si>
  <si>
    <t>throwaway (radioactive)</t>
  </si>
  <si>
    <t>One for treated water line, one on residual side of backwash line</t>
  </si>
  <si>
    <t>One for influent line, one for treated water line</t>
  </si>
  <si>
    <t>Pressure systems also include one on influent line</t>
  </si>
  <si>
    <t>Sampling ports for blended treated water</t>
  </si>
  <si>
    <t>One for influent line, one for treated water line, one on residual side of backwash line</t>
  </si>
  <si>
    <t>Number of manual valves on influent and treated water line</t>
  </si>
  <si>
    <t>Number of manual valves on influent and treated water line in add-on scenario</t>
  </si>
  <si>
    <t>Flow meters for influent and treated water line</t>
  </si>
  <si>
    <t>Flow meters for influent and treated water line in add-on scenario</t>
  </si>
  <si>
    <t>Automation</t>
  </si>
  <si>
    <r>
      <t xml:space="preserve">For information: </t>
    </r>
    <r>
      <rPr>
        <sz val="10"/>
        <color indexed="17"/>
        <rFont val="Arial"/>
        <family val="2"/>
      </rPr>
      <t>Component level</t>
    </r>
  </si>
  <si>
    <t>Number of stair risers for basins</t>
  </si>
  <si>
    <t>Overexcavation for basins</t>
  </si>
  <si>
    <t>Concrete thickness for basins</t>
  </si>
  <si>
    <t>Should be consistent with (reflect same climate as) heating and cooling assumptions on O&amp;M assumptions page</t>
  </si>
  <si>
    <t>For calculating cost of actual maintenance materials; not to be confused with depreciation; 5% would be too high (Richard E. Hubel, Peter Keenan, American Water Works Service Company, Inc)</t>
  </si>
  <si>
    <t>Typically 2-5% of the estimated construction cost. Enter 0% to exclude.</t>
  </si>
  <si>
    <t>Enter 0% to exclude. Highly site-specific. Can range from 2-5% of equipment, installation, construction, electrical, and standby power.</t>
  </si>
  <si>
    <t>Suppliers may provide specific data for individual GAC media</t>
  </si>
  <si>
    <t>Guidance: Typical pressure GAC bed depths are 2 to 8.5 ft</t>
  </si>
  <si>
    <t>Set to zero because vendor designs and quotes are usually expressed in inside diameter. Increase if user desires to input outside diameter.</t>
  </si>
  <si>
    <t>This assumption used only if concrete basins are used</t>
  </si>
  <si>
    <t>2 feet each side in each dimension. This assumption used only if concrete basins are used.</t>
  </si>
  <si>
    <t>Backwash duration is time allowed for backwash of filter. Use highest expected duration. Typically 5-10 minutes. Default is 10 minutes.</t>
  </si>
  <si>
    <t>This assumption applies if concrete basins are used. If tanks are used, number calculated on design sheet.</t>
  </si>
  <si>
    <t>Bulk density, not particle density. GAC density range of 22-30 lb/cubic ft; lignite GAC approximately 22 and bituminous GAC approximately 28 lb/cubic ft (Randal J. Braker, General Manager, Duck River Utility Commission)</t>
  </si>
  <si>
    <t>Percent of time that regeneration facility operates. Less than full time (100%) to allow for routine maintenance.</t>
  </si>
  <si>
    <t>100% means no redundancy (i.e., no additional capacity beyond that needed to account for runtime). Use a value greater than 100% to add capacity and provide redundancy.</t>
  </si>
  <si>
    <t>Target for systems using mechanical transfer. For systems with manual transfer, calcuated based on media volume.</t>
  </si>
  <si>
    <t>Default: one each for virgin, spent, and regenerated GAC. This assumption applies if concrete basins are used. If steel tanks are used, number calculated on regeneration sheet.</t>
  </si>
  <si>
    <t>Required only for technologies with significant electric-powered equipment outside a building</t>
  </si>
  <si>
    <t>Top_bottom_Vessel_space</t>
  </si>
  <si>
    <t>This is used to determine the building height for purposes of heating and cooling cost</t>
  </si>
  <si>
    <t>This is INFLUENT TSS. Backwash TSS is calculated and will be higher, as TSS removed are concentrated.</t>
  </si>
  <si>
    <t>Most common limit for cities with a limit</t>
  </si>
  <si>
    <t>Reflects an arid climate. If evaporation ponds are used, climate assumptions on O&amp;M assumptions page should also be changed to reflect an arid climate.</t>
  </si>
  <si>
    <t>A minimum of 2 two cells is essential to ensure availability of storage space during cleaning, maintainance or emergency conditions (Dewatering Municipal Wastewater Sludge,EPA design Manual, Dewatering Municipal Wastewater Sludges.EPA/625/1-87/014, September 1987)</t>
  </si>
  <si>
    <t>Range from 1 to 3 yrs, depending on the final solid concentration required and local climate (Dewatering Municipal Wastewater Sludge,EPA design Manual, Dewatering Municipal Wastewater Sludges.EPA/625/1-87/014, September 1987)</t>
  </si>
  <si>
    <t>For systems using manual media transfer. Based on 20 cubic yards per day, applied separately to removal and replacement.</t>
  </si>
  <si>
    <t>U.S. DOE, Energy Information Administration</t>
  </si>
  <si>
    <t>Default 0%. Apply a percentage to increase standby power requirements.</t>
  </si>
  <si>
    <t>If a system uses gas or diesel heat, heating will not be included in standby power, regardless of this assumption.</t>
  </si>
  <si>
    <t>Included as a direct cost line item</t>
  </si>
  <si>
    <t>Technology-specific factor. See Appendices for details. Low complexity = 0.5; Average complexity = 1.0; High complexity = 1.5; Very high complexity = 2.0.</t>
  </si>
  <si>
    <t>Enter 0% to exclude</t>
  </si>
  <si>
    <t>May be exempt if constructed with public funds. May be as high as 7.25% of equipment and construction, with national average 4.75%.</t>
  </si>
  <si>
    <t>Enter 0% to exclude. Typically assumed to be one year's interest on capital cost.</t>
  </si>
  <si>
    <t>Reference Data and Sources for Freundlich Isotherm Constants</t>
  </si>
  <si>
    <t>Freundlich Isotherm data provided by EPA Office of Research and Development</t>
  </si>
  <si>
    <t>Aldrin</t>
  </si>
  <si>
    <t>Bromobenzene</t>
  </si>
  <si>
    <t>Desethyl atrazine</t>
  </si>
  <si>
    <t>Dieldrin</t>
  </si>
  <si>
    <t>p-Isopropyltoluene</t>
  </si>
  <si>
    <t>Hexachlorobutadiene</t>
  </si>
  <si>
    <t>Methyl tert-butyl ether</t>
  </si>
  <si>
    <t>Metolachlor</t>
  </si>
  <si>
    <t>Metribuzin</t>
  </si>
  <si>
    <t>Naphthalene</t>
  </si>
  <si>
    <t>Molecular Weight</t>
  </si>
  <si>
    <t>Density (g/ml)</t>
  </si>
  <si>
    <t>Vapor Pressure (kPa)</t>
  </si>
  <si>
    <t>Solubility (mg/L)</t>
  </si>
  <si>
    <t>Reported 1/n (dimensionless)</t>
  </si>
  <si>
    <t>Predicted 1/n (dimensionless)</t>
  </si>
  <si>
    <r>
      <t>Reported K (ug/g)(L/ug)</t>
    </r>
    <r>
      <rPr>
        <b/>
        <vertAlign val="superscript"/>
        <sz val="10"/>
        <rFont val="Arial"/>
        <family val="2"/>
      </rPr>
      <t>1/n</t>
    </r>
  </si>
  <si>
    <r>
      <t>Predicted K (ug/g)(L/ug)</t>
    </r>
    <r>
      <rPr>
        <b/>
        <vertAlign val="superscript"/>
        <sz val="10"/>
        <rFont val="Arial"/>
        <family val="2"/>
      </rPr>
      <t>1/n</t>
    </r>
  </si>
  <si>
    <t>1,1-dichloropropene</t>
  </si>
  <si>
    <t>1,2-diphenylhydrazine</t>
  </si>
  <si>
    <t>1,3-dichloropropane</t>
  </si>
  <si>
    <t>2,4,6-trichlorophenol</t>
  </si>
  <si>
    <t>2,4-dichlorophenol</t>
  </si>
  <si>
    <t>2,4-dinitrophenol</t>
  </si>
  <si>
    <t>2,4-dinitrotoluene</t>
  </si>
  <si>
    <t>2,6-dinitrotoluene</t>
  </si>
  <si>
    <t>2-methyl phenol (o-Cresol)</t>
  </si>
  <si>
    <t>Atrazine and Cyanazine Data from Leung and Segar, 1999 (see below for reference)</t>
  </si>
  <si>
    <t>Alkalinity (mg-CaCO3/L)</t>
  </si>
  <si>
    <t>Hardness (mg-CaCO3/L)</t>
  </si>
  <si>
    <t>UV254 (1/cm)</t>
  </si>
  <si>
    <t>DOC (mg/L)</t>
  </si>
  <si>
    <t>Initial Concentration (ug/L)</t>
  </si>
  <si>
    <t>Influent Water Characteristics</t>
  </si>
  <si>
    <t>They found that constants varied depending on the characteristics of the influent water and on initial concentrations. Therefore, constants should be selected to best reflect the treatment conditions.</t>
  </si>
  <si>
    <t>Source: Leung and Segar. 1999.  Adsorptiona of s-triazine Herbicides in Natural Water by Activated Carbon.  Proceedings of American Water Works Association Annual Conference and Exposition.</t>
  </si>
  <si>
    <t>Transportation unit cost</t>
  </si>
  <si>
    <t>$/ton-mile</t>
  </si>
  <si>
    <t>$/shipment</t>
  </si>
  <si>
    <t>Transportation minimum charge per shipment</t>
  </si>
  <si>
    <t>Transportation mileage</t>
  </si>
  <si>
    <t>CAS Number</t>
  </si>
  <si>
    <t>Maximum access space per vessel or tank for custom designed systems</t>
  </si>
  <si>
    <t>max_space_vessels_cust</t>
  </si>
  <si>
    <t>Maximum access space per vessel or tank for pre-engineered systems</t>
  </si>
  <si>
    <t>max_space_vessels_pre</t>
  </si>
  <si>
    <t>Pre-engineered packages are skid-mounted with minimal access space</t>
  </si>
  <si>
    <t>Operator interfaces in add-on scenario</t>
  </si>
  <si>
    <t>GAC in grams (unchanged)</t>
  </si>
  <si>
    <t>Flow rate in L/min (unchanged)</t>
  </si>
  <si>
    <t>Fluid velocity (unchanged)</t>
  </si>
  <si>
    <t>Bed depth in meters (unchanged)</t>
  </si>
  <si>
    <t>For Freundlich calculation, does not change in retrofit scenario, repeated here for reference</t>
  </si>
  <si>
    <t>For BDST calculation, does not change in retrofit scenario, repeated here for reference</t>
  </si>
  <si>
    <t>Hazardous regeneration shipments per year after retrofit</t>
  </si>
  <si>
    <t>Additional transportation cost for hazardous regeneration after retrofit</t>
  </si>
  <si>
    <t>Regeneration frequency after retrofit</t>
  </si>
  <si>
    <t>r_haz_regen_transp</t>
  </si>
  <si>
    <t>Polymer storage in pounds</t>
  </si>
  <si>
    <t>polymer_storage_lbs</t>
  </si>
  <si>
    <t>eloss_pumps</t>
  </si>
  <si>
    <t>waste_heat_pumps</t>
  </si>
  <si>
    <t>Power lost: booster pumps</t>
  </si>
  <si>
    <t>Waste heat: booster pumps</t>
  </si>
  <si>
    <t>Power lost: backwash pumps</t>
  </si>
  <si>
    <t>eloss_bw_pumps</t>
  </si>
  <si>
    <t>Waste heat: backwash pumps</t>
  </si>
  <si>
    <t>waste_heat_bw_pumps</t>
  </si>
  <si>
    <t>Typically, bypass flow ranges between 0% and 50% of inflow. Enter zero to remove bypass piping and components. 0% is default consistent with the type of cost curves that EPA will need for its national cost simulation model.</t>
  </si>
  <si>
    <t>pump_hp</t>
  </si>
  <si>
    <t>back_pump_hp</t>
  </si>
  <si>
    <t>Plastic/XLPE</t>
  </si>
  <si>
    <t>Oxidation loss during on-site regeneration</t>
  </si>
  <si>
    <t>GHG_GAC_oxidation_loss</t>
  </si>
  <si>
    <t>Climate for estimating evaporation pond greenhouse gas emissions</t>
  </si>
  <si>
    <t>GHG_pond_climate</t>
  </si>
  <si>
    <t>disposal_shipments</t>
  </si>
  <si>
    <t>disposal_miles</t>
  </si>
  <si>
    <t>sol_disposal_shipments</t>
  </si>
  <si>
    <t>sol_disposal_miles</t>
  </si>
  <si>
    <t>Maximum waste shipment size</t>
  </si>
  <si>
    <t>max_waste_ship</t>
  </si>
  <si>
    <t>Include workstations in add-on scenario</t>
  </si>
  <si>
    <t>workstation_addon</t>
  </si>
  <si>
    <t>Include printers in add-on scenario</t>
  </si>
  <si>
    <t>printer_addon</t>
  </si>
  <si>
    <t>Include PLC rack/power supplies in add-on scenario</t>
  </si>
  <si>
    <t>plc_rack_addon</t>
  </si>
  <si>
    <t>Assumes additional PLC modules for add-on will fit on existing racks</t>
  </si>
  <si>
    <t>Include yard piping costs in add-on scenario?</t>
  </si>
  <si>
    <t>include_yardpipe_addon</t>
  </si>
  <si>
    <t>Include standby power costs in add-on scenario?</t>
  </si>
  <si>
    <t>include_standby_addon</t>
  </si>
  <si>
    <t>Include residuals pumps in add-on scenario</t>
  </si>
  <si>
    <t>res_pump_addon</t>
  </si>
  <si>
    <t>Include piping to discharge point in add-on scenario</t>
  </si>
  <si>
    <t>include_add_res_pipe_addon</t>
  </si>
  <si>
    <t>&lt;--1 for contaminant removal %, 2 for influent and effluent concentrations, 3 for EBCT</t>
  </si>
  <si>
    <t>Coagulant Purchasing</t>
  </si>
  <si>
    <t>Quantity required for large quantity purchase</t>
  </si>
  <si>
    <t>#N/A indicates that price data do not depend on volume purchased.</t>
  </si>
  <si>
    <t>Quantity required for mid quantity purchase</t>
  </si>
  <si>
    <t>Quantity required for small quantity purchase</t>
  </si>
  <si>
    <t>Purchase Type</t>
  </si>
  <si>
    <t>coag_purchase</t>
  </si>
  <si>
    <t>Returns descriptive term based on volume of each purchase for use in determining pricing. Blank indicates that price data do not depend on volume purchased.</t>
  </si>
  <si>
    <t>Polymer Purchasing</t>
  </si>
  <si>
    <t>polymer_purchase</t>
  </si>
  <si>
    <t>Media</t>
  </si>
  <si>
    <t>Maximum furnace capacity</t>
  </si>
  <si>
    <t>max_furnace_size</t>
  </si>
  <si>
    <t>Number of furnaces for on-site regeneration</t>
  </si>
  <si>
    <t>num_furnaces</t>
  </si>
  <si>
    <t>Capacity of each furnace</t>
  </si>
  <si>
    <t>furnace_size</t>
  </si>
  <si>
    <t>TDB_link</t>
  </si>
  <si>
    <t>TDB_link_isotherm</t>
  </si>
  <si>
    <t>months at average flow</t>
  </si>
  <si>
    <t>minutes at design flow</t>
  </si>
  <si>
    <t>Perfluorooctanoic Acid (PFOA)</t>
  </si>
  <si>
    <t>Perfluorooctane Sulfonate (PFOS)</t>
  </si>
  <si>
    <t>Installation, Transportation, and O&amp;P</t>
  </si>
  <si>
    <t>Minimum chemical tank mixer horsepower</t>
  </si>
  <si>
    <t>min_cmix_hp</t>
  </si>
  <si>
    <t>Minimum holding tank mixer horsepower</t>
  </si>
  <si>
    <t>min_hmix_hp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</si>
  <si>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</si>
  <si>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</si>
  <si>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</si>
  <si>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</si>
  <si>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</si>
  <si>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</si>
  <si>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</si>
  <si>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</si>
  <si>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</si>
  <si>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</si>
  <si>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yes_no_valid</t>
  </si>
  <si>
    <t>yes</t>
  </si>
  <si>
    <t>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</si>
  <si>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</si>
  <si>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</si>
  <si>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</si>
  <si>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</si>
  <si>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</si>
  <si>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</si>
  <si>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</si>
  <si>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</si>
  <si>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</si>
  <si>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</si>
  <si>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</si>
  <si>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</si>
  <si>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</si>
  <si>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</si>
  <si>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Concrete Pad</t>
  </si>
  <si>
    <t>Building and HVAC Maintenance</t>
  </si>
  <si>
    <t>Cost excluding heating and cooling</t>
  </si>
  <si>
    <t>Total annual building and HVAC maintenance</t>
  </si>
  <si>
    <t>Building and HVAC maintenance (materials and labor)</t>
  </si>
  <si>
    <t>Basin width</t>
  </si>
  <si>
    <t>Basin length</t>
  </si>
  <si>
    <t>Gen X</t>
  </si>
  <si>
    <t>See input sheet to exclude buildings/HVAC; indirect assumptions sheet to exclude concrete pad</t>
  </si>
  <si>
    <t>&lt;-- Click here for list</t>
  </si>
  <si>
    <t>Based on theoretical operating characteristics provided by an eductor vendor</t>
  </si>
  <si>
    <t>See Freundlich isotherm reference data</t>
  </si>
  <si>
    <t>See PFAS breakthrough reference data</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</si>
  <si>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</si>
  <si>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</si>
  <si>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</si>
  <si>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</si>
  <si>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</si>
  <si>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</si>
  <si>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</si>
  <si>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</si>
  <si>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</si>
  <si>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</si>
  <si>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</si>
  <si>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</si>
  <si>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</si>
  <si>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</si>
  <si>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Other Perfluorinated Carboxylic Acids</t>
  </si>
  <si>
    <t>Other 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</si>
  <si>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</si>
  <si>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</si>
  <si>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</si>
  <si>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</si>
  <si>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</si>
  <si>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</si>
  <si>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</si>
  <si>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</si>
  <si>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</si>
  <si>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</si>
  <si>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</si>
  <si>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</si>
  <si>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</si>
  <si>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</si>
  <si>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</si>
  <si>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</si>
  <si>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</si>
  <si>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</si>
  <si>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</si>
  <si>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</si>
  <si>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</si>
  <si>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</si>
  <si>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</si>
  <si>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</si>
  <si>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</si>
  <si>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</si>
  <si>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</si>
  <si>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</si>
  <si>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A</t>
  </si>
  <si>
    <t>see note</t>
  </si>
  <si>
    <t>&lt;dl</t>
  </si>
  <si>
    <t>GAC at Site A changed out 15 times in approximately 3.5 years of operation. PFHpA and PFBS reached 10% breakthrough only once in 12 runs during which these compounds were monitored</t>
  </si>
  <si>
    <t>C</t>
  </si>
  <si>
    <t>Site C treats landfill leachate. PFOA and PFOS detected (about 2% breakthrough) in system effluent at 158 days of operation, but then returned to non-detect. Influent TOC is not monitored, but effluent TOC ranged from 2.03 to 10.8 mg/L. GAC changed out twice in just over 2 years of operation.</t>
  </si>
  <si>
    <t>C (lead vessel)</t>
  </si>
  <si>
    <t>Data for the lead vessel in series</t>
  </si>
  <si>
    <t>&lt;1</t>
  </si>
  <si>
    <t>Average flow not reported, so bed volumes calculated based on design flow. PFOA and PFNA detected (3% and 48% breakthrough) in system effluent at 61 days of operation, but then returned to non-detect. PFBS detected (3% breakthrough) in system effluent at 548 days of operation, but then returned to non-detect. GAC has not been changed out through almost 2 years of operation (64,568 bed volumes, based on design flow and total EBCT)</t>
  </si>
  <si>
    <t>E</t>
  </si>
  <si>
    <t>not reported</t>
  </si>
  <si>
    <t>PFOS reached 2% breakthrough in system effluent at the end of one run (after 88 days or 2,263 bed volumes), but in this instance effluent concentration was 77 times higher than effluent from the lead vessel. PFOS did not reach 1% breakthrough in system effluent during any other run. GAC changed out 5 times in approximately 1.5 years of operation</t>
  </si>
  <si>
    <t>E (lead vessel)</t>
  </si>
  <si>
    <t>2,281 (see note)</t>
  </si>
  <si>
    <t>2,089 (see note)</t>
  </si>
  <si>
    <t>Data for the lead vessel in series. PFOS reached 1% breakthrough in 3 runs and 10% breakthrough in only 2 runs; this results in an average bed life to 1% breakthrough that is slightly longer than average bed life to 10% breakthrough.</t>
  </si>
  <si>
    <t>GAC has not been changed out through just over 1 year of operation (8,420 bed volumes, based on average flow and total EBCT)</t>
  </si>
  <si>
    <t>F (train A, lead vessel)</t>
  </si>
  <si>
    <t>Treatment train A contains bituminous coal-based GAC, data for the lead vessel</t>
  </si>
  <si>
    <t>F (train B, lead vessel)</t>
  </si>
  <si>
    <t>Treatment train B contains coconut shell based-GAC, data for the lead vessel</t>
  </si>
  <si>
    <t>CFPUA</t>
  </si>
  <si>
    <t>~1,600</t>
  </si>
  <si>
    <t>Data for column 10+11 series using the best performing carbon (Calgon F400) in the pilot test. BV calculated using actual totalized flow.</t>
  </si>
  <si>
    <t>CFPUA (lead vessel)</t>
  </si>
  <si>
    <t>Data for lead column in series (column 10) using the best performing carbon (Calgon F400) in the pilot test. BV calculated using actual totalized flow.</t>
  </si>
  <si>
    <t>Ferric chloride solution density</t>
  </si>
  <si>
    <t>Ferric chloride solution concentration</t>
  </si>
  <si>
    <t>coag_pct</t>
  </si>
  <si>
    <t>Mixers per holding tank</t>
  </si>
  <si>
    <t>Number of holding tank mixers</t>
  </si>
  <si>
    <t>Pounds of pure ferric chloride needed per event</t>
  </si>
  <si>
    <t>coag_day_gal</t>
  </si>
  <si>
    <t>Gallons of solution needed per event</t>
  </si>
  <si>
    <t>coag_day_lbs</t>
  </si>
  <si>
    <t>coag_storage_lbs</t>
  </si>
  <si>
    <t>Ferric chloride storage in gallons</t>
  </si>
  <si>
    <t>coag_storage_gal</t>
  </si>
  <si>
    <t>coag_tanks</t>
  </si>
  <si>
    <t>coag_tank_vol</t>
  </si>
  <si>
    <t>coag_cmix_per_tank</t>
  </si>
  <si>
    <t>coag_cmixers</t>
  </si>
  <si>
    <t>coag_cmix_size</t>
  </si>
  <si>
    <t>coag_rate</t>
  </si>
  <si>
    <t>cm_pumps_coag</t>
  </si>
  <si>
    <t>cm_pump_rating_coag</t>
  </si>
  <si>
    <t>Number of ferric chloride storage tanks</t>
  </si>
  <si>
    <t>Ferric chloride storage tank size</t>
  </si>
  <si>
    <t>Mixers per ferric chloride storage tank</t>
  </si>
  <si>
    <t>Number of ferric chloride storage tank mixers</t>
  </si>
  <si>
    <t>Ferric chloride solution feed rate</t>
  </si>
  <si>
    <t>Number of ferric chloride metering pumps</t>
  </si>
  <si>
    <t>Ferric chloride metering pump rating</t>
  </si>
  <si>
    <t>Mixer size for holding tanks</t>
  </si>
  <si>
    <t>Holding Tank Mixers (if coagulant is used)</t>
  </si>
  <si>
    <t>Number of polymer storage tanks</t>
  </si>
  <si>
    <t>Polymer storage tank size</t>
  </si>
  <si>
    <t>Mixers per polymer storage tank</t>
  </si>
  <si>
    <t>Number of polymer storage tank mixers</t>
  </si>
  <si>
    <t>Mixer size for polymer storage tanks</t>
  </si>
  <si>
    <t>Polymer solution feed rate</t>
  </si>
  <si>
    <t>Number of polymer metering pumps</t>
  </si>
  <si>
    <t>Polymer metering pump rating</t>
  </si>
  <si>
    <t>coag_pipe_length</t>
  </si>
  <si>
    <t>coag_pipe_flow</t>
  </si>
  <si>
    <t>coag_pipe_diam</t>
  </si>
  <si>
    <t>Ferric chloride addition pipe length</t>
  </si>
  <si>
    <t>Ferric chloride pipe flow</t>
  </si>
  <si>
    <t>Ferric chloride pipe diameter</t>
  </si>
  <si>
    <t>Ferric chloride storage tank diameter</t>
  </si>
  <si>
    <t>coag_st_diam</t>
  </si>
  <si>
    <t>space_coag_st</t>
  </si>
  <si>
    <t>Ferric chloride storage tank footprint</t>
  </si>
  <si>
    <t>Size of valves for ferric chloride line</t>
  </si>
  <si>
    <t>coag_valve_size</t>
  </si>
  <si>
    <t>Number of MOVs for ferric chloride line</t>
  </si>
  <si>
    <t>Number of MOVs for polymer line</t>
  </si>
  <si>
    <t>tot_coag_MOVs</t>
  </si>
  <si>
    <t>Number of manual valves for polymer line</t>
  </si>
  <si>
    <t>Number of manual valves for ferric chloride line</t>
  </si>
  <si>
    <t>tot_coag_man</t>
  </si>
  <si>
    <t>Number of check valves for backwash line</t>
  </si>
  <si>
    <t>Number of check valves for ferric chloride line</t>
  </si>
  <si>
    <t>Number of check valves for polymer line</t>
  </si>
  <si>
    <t>tot_coag_chv</t>
  </si>
  <si>
    <t>Number of check valves on ferric chloride line per metering pump</t>
  </si>
  <si>
    <t>coag_chv_pump</t>
  </si>
  <si>
    <t>Applies only with ferric addition to residuals</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</si>
  <si>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</si>
  <si>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</si>
  <si>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</si>
  <si>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</si>
  <si>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</si>
  <si>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</si>
  <si>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</si>
  <si>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</si>
  <si>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</si>
  <si>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</si>
  <si>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</si>
  <si>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</si>
  <si>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</si>
  <si>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</si>
  <si>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</si>
  <si>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Include secondary containment (for ferric chloride residuals coagulant)</t>
  </si>
  <si>
    <t>7.48 converts gallons to cubic feet</t>
  </si>
  <si>
    <t>Footprint available</t>
  </si>
  <si>
    <t>Total footprint minus displacement by tanks themselves</t>
  </si>
  <si>
    <t>Curb height required</t>
  </si>
  <si>
    <t>Curb thickness</t>
  </si>
  <si>
    <t>Curb length (long side)</t>
  </si>
  <si>
    <t>Curb length (short side)</t>
  </si>
  <si>
    <t>Curb concrete volume</t>
  </si>
  <si>
    <t>27 converts cubic feet to cubic yards</t>
  </si>
  <si>
    <t>Chemical resistant coating required</t>
  </si>
  <si>
    <t>Covers total footprint plus inside surface and top of curbs</t>
  </si>
  <si>
    <t>coag_cont_volume</t>
  </si>
  <si>
    <t>coag_cont_fp</t>
  </si>
  <si>
    <t>coag_curb_height</t>
  </si>
  <si>
    <t>coag_curb_thick</t>
  </si>
  <si>
    <t>coag_curb_len_long</t>
  </si>
  <si>
    <t>coag_curb_len_short</t>
  </si>
  <si>
    <t>coag_curb_concrete</t>
  </si>
  <si>
    <t>coag_coating_gal</t>
  </si>
  <si>
    <t>Secondary Containment for Ferric Chloride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</si>
  <si>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</si>
  <si>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</si>
  <si>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</si>
  <si>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</si>
  <si>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</si>
  <si>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</si>
  <si>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</si>
  <si>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</si>
  <si>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</si>
  <si>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</si>
  <si>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</si>
  <si>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</si>
  <si>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</si>
  <si>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</si>
  <si>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</si>
  <si>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</si>
  <si>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2.4.1</t>
  </si>
  <si>
    <t>3.7.1</t>
  </si>
  <si>
    <t>Ferric Chloride - Polypropylene/PVC</t>
  </si>
  <si>
    <t>4.1.6</t>
  </si>
  <si>
    <t>4.2.7</t>
  </si>
  <si>
    <t>4.3.6</t>
  </si>
  <si>
    <t>5.5.1</t>
  </si>
  <si>
    <t>Ferric Chloride Storage Tank Mixers</t>
  </si>
  <si>
    <t>8.5</t>
  </si>
  <si>
    <t>8.5.1</t>
  </si>
  <si>
    <t>&lt;- Autosize Std Inputs</t>
  </si>
  <si>
    <t>use_autosize</t>
  </si>
  <si>
    <t>Autosize Standard Pressure Designs</t>
  </si>
  <si>
    <t>Autosize Standard Gravity Designs</t>
  </si>
  <si>
    <t>use_autosizeA</t>
  </si>
  <si>
    <t>inp_used_nonvessel1</t>
  </si>
  <si>
    <t>inp_used_pressure</t>
  </si>
  <si>
    <t>inp_used_gravity</t>
  </si>
  <si>
    <t>inp_autosize_pressure</t>
  </si>
  <si>
    <t>inp_autosize_gravity</t>
  </si>
  <si>
    <t>All match</t>
  </si>
  <si>
    <t>Flow match</t>
  </si>
  <si>
    <t>if use_autosize</t>
  </si>
  <si>
    <t>if not use_autosize</t>
  </si>
  <si>
    <t>All match final</t>
  </si>
  <si>
    <t>Flow match final</t>
  </si>
  <si>
    <t>Access space per ferric chloride storage tank</t>
  </si>
  <si>
    <t>Access space per polymer storage tank</t>
  </si>
  <si>
    <t>Secondary Containment - Concrete Curbing</t>
  </si>
  <si>
    <t>Secondary Containment - Chemical Resistant Coating</t>
  </si>
  <si>
    <t>2.3.2</t>
  </si>
  <si>
    <t>2.3.3</t>
  </si>
  <si>
    <t>With vessels in series, bed volumes are based on…</t>
  </si>
  <si>
    <t>BV_definition</t>
  </si>
  <si>
    <t>Different studies may use different defintions for "bed volumes." This assumption applies only when vessels are in series and the input for carbon life is in bed volumes.</t>
  </si>
  <si>
    <t>Pounds of pure ferric chloride in storage</t>
  </si>
  <si>
    <t>Pounds of bulk ferric chloride solution in storage</t>
  </si>
  <si>
    <t>coag_storage_lbs_bulk</t>
  </si>
  <si>
    <t>Annual ferric chloride use (lbs bulk solution)</t>
  </si>
  <si>
    <t>Maximum chemical storage tank size excluding stainless steel</t>
  </si>
  <si>
    <t>max_chem_tank_size_noSS</t>
  </si>
  <si>
    <t>Maximum chemical metering pump size excluding stainless steel</t>
  </si>
  <si>
    <t>max_cm_pump_size_noSS</t>
  </si>
  <si>
    <t>The largest size for which costs are available, excluding stainless steel</t>
  </si>
  <si>
    <t>Annual fee</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</si>
  <si>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</si>
  <si>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</si>
  <si>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</si>
  <si>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</si>
  <si>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</si>
  <si>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</si>
  <si>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Uses custom function to apply formula and multiplier documented in Abt Associates, 2020, Permitting Requirement Costs for Drinking Water Treatment Cost Models. Prepared for USEPA. October.</t>
  </si>
  <si>
    <t>Influent and treated water - Stainless Steel</t>
  </si>
  <si>
    <t>Influent and treated water - Cast Iron</t>
  </si>
  <si>
    <t>Influent and treated water pipe flow</t>
  </si>
  <si>
    <t>Influent and treated water piping diameter</t>
  </si>
  <si>
    <t>Influent and treated water pipe length</t>
  </si>
  <si>
    <t>Polypropylene/PVC - Influent and treated water</t>
  </si>
  <si>
    <t>Stainless Steel - Influent and treated water</t>
  </si>
  <si>
    <t>Cast Iron - Influent and treated water</t>
  </si>
  <si>
    <t>Influent and treated water - Polypropylene/PVC</t>
  </si>
  <si>
    <t>Size of valves for influent and treated water lines</t>
  </si>
  <si>
    <t>Based on output sheet selection for influent and treated water pipe</t>
  </si>
  <si>
    <t>Trench Volume Influent and treated water</t>
  </si>
  <si>
    <t>Influent and Treated Water Piping</t>
  </si>
  <si>
    <t>Flow Meters - Influent and Treated Water</t>
  </si>
  <si>
    <t>Polypropylene/PVC - Influent</t>
  </si>
  <si>
    <t>Stainless Steel - Influent</t>
  </si>
  <si>
    <t>Cast Iron - Influent</t>
  </si>
  <si>
    <t>Influent - Polypropylene/PVC</t>
  </si>
  <si>
    <t>Influent - Stainless Steel</t>
  </si>
  <si>
    <t>Influent - Cast Iron</t>
  </si>
  <si>
    <t>Flow meter lookup code - influent and treated water</t>
  </si>
  <si>
    <t>Number of flow meters for influent and treated water line</t>
  </si>
  <si>
    <t>depth:volume</t>
  </si>
  <si>
    <t>length:diameter</t>
  </si>
  <si>
    <t>Percent Contributions to Annualized Cost</t>
  </si>
  <si>
    <t>Total annualized cost percent capital</t>
  </si>
  <si>
    <t>Total annualized cost percent O&amp;M</t>
  </si>
  <si>
    <t>TAC_pct_cap</t>
  </si>
  <si>
    <t>TAC_pct_OM</t>
  </si>
  <si>
    <t>City Index for Total Capital Cost</t>
  </si>
  <si>
    <t>City Index for Total O&amp;M Cost</t>
  </si>
  <si>
    <r>
      <t xml:space="preserve">Total Annual O&amp;M Cost </t>
    </r>
    <r>
      <rPr>
        <i/>
        <sz val="10"/>
        <color rgb="FF008000"/>
        <rFont val="Arial"/>
        <family val="2"/>
      </rPr>
      <t>(incorporating city index)</t>
    </r>
  </si>
  <si>
    <t>Pipe Length Multipliers</t>
  </si>
  <si>
    <t>Influent and treated water pipe length multiplier</t>
  </si>
  <si>
    <t>in_out_pipe_mult</t>
  </si>
  <si>
    <t>times facility length</t>
  </si>
  <si>
    <t>Process pipe length multiplier</t>
  </si>
  <si>
    <t>proc_pipe_mult</t>
  </si>
  <si>
    <t>Backwash pipe length multiplier</t>
  </si>
  <si>
    <t>back_pipe_mult</t>
  </si>
  <si>
    <t>Chemical pipe length multiplier</t>
  </si>
  <si>
    <t>chem_pipe_mult</t>
  </si>
  <si>
    <t>Residuals pipe length multiplier</t>
  </si>
  <si>
    <t>res_pipe_mult</t>
  </si>
  <si>
    <t>Bypass pipe length multiplier</t>
  </si>
  <si>
    <t>bp_pipe_mult</t>
  </si>
  <si>
    <t>Clearance space beneath the ceiling</t>
  </si>
  <si>
    <t>ceiling_clearance</t>
  </si>
  <si>
    <t>Minimum space between the tops of storage tanks and the ceiling</t>
  </si>
  <si>
    <t>Perfluorohexane Sulfonate (PFHxS)</t>
  </si>
  <si>
    <t>Perfluoroheptanoic Acid (PFHpA)</t>
  </si>
  <si>
    <t>Perfluorobutane Sulfonate (PFBS)</t>
  </si>
  <si>
    <t>Perfluorohexanoic Acid (PFHxA)</t>
  </si>
  <si>
    <t>Retrofit (operational modification)?</t>
  </si>
  <si>
    <t>New carbon life after retrofit</t>
  </si>
  <si>
    <t>See Appendix E.  If higher R-value materials are desired, user may also need to adjust the cost of building materials in cl.xls</t>
  </si>
  <si>
    <t>Heating and cooling assumptions should be consistent with one another.  Assumed values are for a climate that results in a total energy usage for heating and cooling equal to the national median.</t>
  </si>
  <si>
    <t>BTU/Whr</t>
  </si>
  <si>
    <t>0.3, 0.6, and 1.2 W/sf are the assumptions used for building capital costs</t>
  </si>
  <si>
    <t>GAC type</t>
  </si>
  <si>
    <t>GHG_GAC_type</t>
  </si>
  <si>
    <t>kg</t>
  </si>
  <si>
    <t>INDEX</t>
  </si>
  <si>
    <t>This page provides an index to all user-adjustable inputs and assumptions.  Click on a variable name to go directly to the adjustable cells.</t>
  </si>
  <si>
    <t>User-adjustable Input or Assumption</t>
  </si>
  <si>
    <t>Variable Name and Link</t>
  </si>
  <si>
    <t>Carbon life,  1st Freundlich constant (Kf), or   Sorption capacity</t>
  </si>
  <si>
    <t>no additonal input required ,   2nd Freundlich constant (1/n), or  Bohart and Adams quasi-chemical rate constant (k)</t>
  </si>
  <si>
    <t>no additonal input required or Influent concentration</t>
  </si>
  <si>
    <t>no additonal input required or  Breakthrough concentration</t>
  </si>
  <si>
    <t xml:space="preserve"> Percent removal or Total Theoretical Empty Bed Contact Time (EBCT)</t>
  </si>
  <si>
    <t>no additonal input required or Desired effluent concentration</t>
  </si>
  <si>
    <t>no additonal input required or Steady state system constant (Kss)</t>
  </si>
  <si>
    <t>Height (straight) or Length (straight)</t>
  </si>
  <si>
    <t>Diameter or blank</t>
  </si>
  <si>
    <t>Characteristics of holding tank solids or Characteristics of evaporation pond solids</t>
  </si>
  <si>
    <t>New carbon life, 1st Freundlich constant (Kf), or Sorption capacity</t>
  </si>
  <si>
    <t>no additonal input required, 2nd Freundlich constant (1/n), or Bohart and Adams quasi-chemical rate constant (k)</t>
  </si>
  <si>
    <t>no additonal input required or New influent concentration</t>
  </si>
  <si>
    <t>no additonal input required or New breakthrough concentration</t>
  </si>
  <si>
    <t>Add a redundant pressure vessel per x parallel lines</t>
  </si>
  <si>
    <t>Computer workstations per x operators</t>
  </si>
  <si>
    <t>Printers per x computer workstations</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</si>
  <si>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</si>
  <si>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</si>
  <si>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</si>
  <si>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</si>
  <si>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</si>
  <si>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</si>
  <si>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</si>
  <si>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</si>
  <si>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</si>
  <si>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</si>
  <si>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LOE assumptions for instruments (includes calibration)</t>
  </si>
  <si>
    <t>Maintenance LOE assumptions for pumps</t>
  </si>
  <si>
    <t>Maintenance LOE assumptions for valves</t>
  </si>
  <si>
    <t>Maintenance LOE assumptions for chemical supply systems</t>
  </si>
  <si>
    <t>Head loss sensors per contactor for small systems</t>
  </si>
  <si>
    <t>Additional turbitidy meters (pressure systems) for small systems</t>
  </si>
  <si>
    <t>Additional turbitidy meters for small systems</t>
  </si>
  <si>
    <t>Temperature meters for small systems</t>
  </si>
  <si>
    <t>Additional pH meters (pressure systems) for small systems</t>
  </si>
  <si>
    <t>pH meters per gravity contactor for small systems</t>
  </si>
  <si>
    <t>Level switch/alarms per GAC basin for small systems</t>
  </si>
  <si>
    <t>Level switch/alarms per pressure vessel for small systems</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</si>
  <si>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</si>
  <si>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</si>
  <si>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</si>
  <si>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</si>
  <si>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</si>
  <si>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</si>
  <si>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</si>
  <si>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</si>
  <si>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</si>
  <si>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</si>
  <si>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</si>
  <si>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</si>
  <si>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</si>
  <si>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</si>
  <si>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</si>
  <si>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</si>
  <si>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</si>
  <si>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</si>
  <si>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</si>
  <si>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</si>
  <si>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</si>
  <si>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</si>
  <si>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</si>
  <si>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</si>
  <si>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</si>
  <si>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</si>
  <si>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</si>
  <si>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</si>
  <si>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</si>
  <si>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</si>
  <si>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</si>
  <si>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</si>
  <si>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</si>
  <si>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</si>
  <si>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</si>
  <si>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</si>
  <si>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</si>
  <si>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</si>
  <si>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</si>
  <si>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</si>
  <si>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</si>
  <si>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</si>
  <si>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</si>
  <si>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</si>
  <si>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</si>
  <si>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</si>
  <si>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</si>
  <si>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</si>
  <si>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</si>
  <si>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</si>
  <si>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</si>
  <si>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</si>
  <si>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</si>
  <si>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</si>
  <si>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</si>
  <si>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</si>
  <si>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</si>
  <si>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</si>
  <si>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</si>
  <si>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</si>
  <si>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</si>
  <si>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</si>
  <si>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</si>
  <si>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</si>
  <si>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</si>
  <si>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</si>
  <si>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</si>
  <si>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</si>
  <si>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</si>
  <si>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</si>
  <si>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</si>
  <si>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</si>
  <si>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</si>
  <si>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</si>
  <si>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</si>
  <si>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</si>
  <si>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</si>
  <si>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</si>
  <si>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</si>
  <si>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</si>
  <si>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</si>
  <si>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</si>
  <si>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</si>
  <si>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</si>
  <si>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</si>
  <si>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</si>
  <si>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</si>
  <si>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</si>
  <si>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</si>
  <si>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</si>
  <si>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</si>
  <si>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</si>
  <si>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</si>
  <si>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</si>
  <si>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</si>
  <si>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</si>
  <si>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</si>
  <si>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</si>
  <si>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</si>
  <si>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</si>
  <si>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</si>
  <si>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</si>
  <si>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</si>
  <si>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</si>
  <si>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</si>
  <si>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</si>
  <si>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</si>
  <si>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</si>
  <si>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</si>
  <si>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</si>
  <si>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</si>
  <si>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</si>
  <si>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</si>
  <si>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</si>
  <si>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bls1074</t>
  </si>
  <si>
    <t>Backwash Distributors for Concrete GAC Contactors</t>
  </si>
  <si>
    <t>Size Needed (cell length)</t>
  </si>
  <si>
    <t>Size Selected (cell length)</t>
  </si>
  <si>
    <t>Useful Life(large)</t>
  </si>
  <si>
    <t>cont_top_cost_cl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</si>
  <si>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</si>
  <si>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</si>
  <si>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</si>
  <si>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</si>
  <si>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</si>
  <si>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</si>
  <si>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</si>
  <si>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</si>
  <si>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</si>
  <si>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</si>
  <si>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</si>
  <si>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</si>
  <si>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</si>
  <si>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</si>
  <si>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</si>
  <si>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</si>
  <si>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</si>
  <si>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</si>
  <si>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</si>
  <si>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</si>
  <si>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</si>
  <si>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</si>
  <si>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</si>
  <si>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</si>
  <si>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</si>
  <si>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</si>
  <si>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</si>
  <si>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</si>
  <si>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Size Needed (gal)</t>
  </si>
  <si>
    <t>Size Selected (gal)</t>
  </si>
  <si>
    <t>fg_cst_cost_cl</t>
  </si>
  <si>
    <t>Fiberglass Pressure Vessels - Plastic Internals</t>
  </si>
  <si>
    <t>fg_pv_cost_cl</t>
  </si>
  <si>
    <t>bls1399</t>
  </si>
  <si>
    <t>Granular Activated Carbon - Material and Delivery Cost</t>
  </si>
  <si>
    <t>Quantity Needed (lb)</t>
  </si>
  <si>
    <t>Quantity Selected (lb)</t>
  </si>
  <si>
    <t>Avg. Unit Cost ($/lb)</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</si>
  <si>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</si>
  <si>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</si>
  <si>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</si>
  <si>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</si>
  <si>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</si>
  <si>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</si>
  <si>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</si>
  <si>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</si>
  <si>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</si>
  <si>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</si>
  <si>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</si>
  <si>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</si>
  <si>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</si>
  <si>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bls1154</t>
  </si>
  <si>
    <t>Laser Jet Printer</t>
  </si>
  <si>
    <t>laser_printer_cost_cl</t>
  </si>
  <si>
    <t>Magnetic Flow Meters</t>
  </si>
  <si>
    <t>mag_fm_cost_cl</t>
  </si>
  <si>
    <t>Metalwork</t>
  </si>
  <si>
    <t>riser</t>
  </si>
  <si>
    <t>Checkered Plate Platform</t>
  </si>
  <si>
    <t>Grating</t>
  </si>
  <si>
    <t>metal_cost_cl</t>
  </si>
  <si>
    <t>Mounted Mixers (for neutralization tanks, etc)</t>
  </si>
  <si>
    <t>Size selected (hp)</t>
  </si>
  <si>
    <t>mount_mix_cost_cl</t>
  </si>
  <si>
    <t>CPI</t>
  </si>
  <si>
    <t>Off-site GAC Regeneration</t>
  </si>
  <si>
    <t>off_regen_cost_cl</t>
  </si>
  <si>
    <t>bls1134</t>
  </si>
  <si>
    <t>GAC Regeneration - Multiple Hearth Furnace System</t>
  </si>
  <si>
    <t>Size Needed (lb/day)</t>
  </si>
  <si>
    <t>Size Selected (lb/day)</t>
  </si>
  <si>
    <t>on_regen_cost_cl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</si>
  <si>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</si>
  <si>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</si>
  <si>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</si>
  <si>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</si>
  <si>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</si>
  <si>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</si>
  <si>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</si>
  <si>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</si>
  <si>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</si>
  <si>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</si>
  <si>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</si>
  <si>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</si>
  <si>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</si>
  <si>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</si>
  <si>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</si>
  <si>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</si>
  <si>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</si>
  <si>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</si>
  <si>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</si>
  <si>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</si>
  <si>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</si>
  <si>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</si>
  <si>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</si>
  <si>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</si>
  <si>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</si>
  <si>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</si>
  <si>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</si>
  <si>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</si>
  <si>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</si>
  <si>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</si>
  <si>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</si>
  <si>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</si>
  <si>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</si>
  <si>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</si>
  <si>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</si>
  <si>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</si>
  <si>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</si>
  <si>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</si>
  <si>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</si>
  <si>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</si>
  <si>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</si>
  <si>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</si>
  <si>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</si>
  <si>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</si>
  <si>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</si>
  <si>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</si>
  <si>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</si>
  <si>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</si>
  <si>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</si>
  <si>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</si>
  <si>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</si>
  <si>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</si>
  <si>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</si>
  <si>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</si>
  <si>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</si>
  <si>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</si>
  <si>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</si>
  <si>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</si>
  <si>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</si>
  <si>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</si>
  <si>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</si>
  <si>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</si>
  <si>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</si>
  <si>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Eductors (for bed transfer)</t>
  </si>
  <si>
    <t>Size Needed (in. diam)</t>
  </si>
  <si>
    <t>Size Selected (in. diam)</t>
  </si>
  <si>
    <t>seductor_cost_cl</t>
  </si>
  <si>
    <t>Septic System Distribution Box</t>
  </si>
  <si>
    <t>Size needed</t>
  </si>
  <si>
    <t>Size selected</t>
  </si>
  <si>
    <t>sept_distbox_cost_cl</t>
  </si>
  <si>
    <t>Septic system distribution pipe (perforated PVC)</t>
  </si>
  <si>
    <t>sept_distpipe_cost_cl</t>
  </si>
  <si>
    <t>Septic system drain field trench excavation</t>
  </si>
  <si>
    <t>sept_trench_excav_cost</t>
  </si>
  <si>
    <t>Septic system drain field gravel</t>
  </si>
  <si>
    <t>sept_gravel_cost_cl</t>
  </si>
  <si>
    <t>Septic tank excavation and drain field</t>
  </si>
  <si>
    <t>Septic tank excavation</t>
  </si>
  <si>
    <t>sept_tank_excav_cost</t>
  </si>
  <si>
    <t>sept_tank_excav_cost_cl</t>
  </si>
  <si>
    <t>sept_trench_excav_cost_cl</t>
  </si>
  <si>
    <t>septic_tank_cost_cl</t>
  </si>
  <si>
    <t>Sitework unit cost</t>
  </si>
  <si>
    <t>sitework_sf_cl</t>
  </si>
  <si>
    <t>Stainless Steel Check Valves</t>
  </si>
  <si>
    <t>ss_chv_cost_cl</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</si>
  <si>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</si>
  <si>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</si>
  <si>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</si>
  <si>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</si>
  <si>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</si>
  <si>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</si>
  <si>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</si>
  <si>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</si>
  <si>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</si>
  <si>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</si>
  <si>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</si>
  <si>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</si>
  <si>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</si>
  <si>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</si>
  <si>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</si>
  <si>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</si>
  <si>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</si>
  <si>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</si>
  <si>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</si>
  <si>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</si>
  <si>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</si>
  <si>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</si>
  <si>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</si>
  <si>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</si>
  <si>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</si>
  <si>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</si>
  <si>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</si>
  <si>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</si>
  <si>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</si>
  <si>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</si>
  <si>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</si>
  <si>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</si>
  <si>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</si>
  <si>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</si>
  <si>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</si>
  <si>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</si>
  <si>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</si>
  <si>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</si>
  <si>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</si>
  <si>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</si>
  <si>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</si>
  <si>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</si>
  <si>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</si>
  <si>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</si>
  <si>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</si>
  <si>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</si>
  <si>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</si>
  <si>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</si>
  <si>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</si>
  <si>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</si>
  <si>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</si>
  <si>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bls106</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</si>
  <si>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</si>
  <si>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</si>
  <si>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</si>
  <si>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</si>
  <si>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</si>
  <si>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</si>
  <si>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</si>
  <si>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</si>
  <si>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</si>
  <si>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</si>
  <si>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</si>
  <si>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</si>
  <si>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</si>
  <si>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</si>
  <si>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</si>
  <si>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</si>
  <si>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</si>
  <si>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</si>
  <si>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</si>
  <si>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</si>
  <si>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</si>
  <si>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</si>
  <si>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</si>
  <si>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</si>
  <si>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</si>
  <si>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</si>
  <si>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</si>
  <si>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</si>
  <si>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</si>
  <si>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</si>
  <si>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</si>
  <si>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</si>
  <si>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</si>
  <si>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</si>
  <si>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</si>
  <si>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</si>
  <si>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</si>
  <si>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</si>
  <si>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</si>
  <si>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</si>
  <si>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</si>
  <si>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</si>
  <si>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</si>
  <si>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</si>
  <si>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</si>
  <si>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</si>
  <si>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</si>
  <si>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</si>
  <si>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System Size  greater than (MGD)</t>
  </si>
  <si>
    <t>Assumed Population</t>
  </si>
  <si>
    <t>Unit Cost ($/acre)</t>
  </si>
  <si>
    <t>25-100</t>
  </si>
  <si>
    <t>101-500</t>
  </si>
  <si>
    <t>501-1,000</t>
  </si>
  <si>
    <t>1,001-3,300</t>
  </si>
  <si>
    <t>3,301-10,000</t>
  </si>
  <si>
    <t>10,001-50,000</t>
  </si>
  <si>
    <t>50,001-100,000</t>
  </si>
  <si>
    <t>100,001-1,000,000</t>
  </si>
  <si>
    <t>land_cost_cl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</si>
  <si>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</si>
  <si>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</si>
  <si>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</si>
  <si>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</si>
  <si>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</si>
  <si>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</si>
  <si>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</si>
  <si>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</si>
  <si>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</si>
  <si>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</si>
  <si>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</si>
  <si>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</si>
  <si>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</si>
  <si>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</si>
  <si>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</si>
  <si>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</si>
  <si>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</si>
  <si>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</si>
  <si>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</si>
  <si>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</si>
  <si>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AA</t>
  </si>
  <si>
    <t>AAFS-50</t>
  </si>
  <si>
    <t>G2</t>
  </si>
  <si>
    <t>SORB33</t>
  </si>
  <si>
    <t>GFH</t>
  </si>
  <si>
    <t>GF</t>
  </si>
  <si>
    <t>AX</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</si>
  <si>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</si>
  <si>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</si>
  <si>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</si>
  <si>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</si>
  <si>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</si>
  <si>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</si>
  <si>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</si>
  <si>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</si>
  <si>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</si>
  <si>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</si>
  <si>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</si>
  <si>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</si>
  <si>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</si>
  <si>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</si>
  <si>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</si>
  <si>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</si>
  <si>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</si>
  <si>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</si>
  <si>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</si>
  <si>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</si>
  <si>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</si>
  <si>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</si>
  <si>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</si>
  <si>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</si>
  <si>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</si>
  <si>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</si>
  <si>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</si>
  <si>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</si>
  <si>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</si>
  <si>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</si>
  <si>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</si>
  <si>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</si>
  <si>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</si>
  <si>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</si>
  <si>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</si>
  <si>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</si>
  <si>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</si>
  <si>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</si>
  <si>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</si>
  <si>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</si>
  <si>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</si>
  <si>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</si>
  <si>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</si>
  <si>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</si>
  <si>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</si>
  <si>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</si>
  <si>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</si>
  <si>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</si>
  <si>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</si>
  <si>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</si>
  <si>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</si>
  <si>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Septic tank pump and haul cost</t>
  </si>
  <si>
    <t>septic_disposal_cost_cl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</si>
  <si>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</si>
  <si>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</si>
  <si>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</si>
  <si>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</si>
  <si>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</si>
  <si>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</si>
  <si>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</si>
  <si>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</si>
  <si>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</si>
  <si>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</si>
  <si>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</si>
  <si>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</si>
  <si>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</si>
  <si>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</si>
  <si>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</si>
  <si>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</si>
  <si>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</si>
  <si>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</si>
  <si>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</si>
  <si>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</si>
  <si>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</si>
  <si>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</si>
  <si>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</si>
  <si>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</si>
  <si>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</si>
  <si>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</si>
  <si>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</si>
  <si>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</si>
  <si>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</si>
  <si>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</si>
  <si>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</si>
  <si>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</si>
  <si>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</si>
  <si>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</si>
  <si>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</si>
  <si>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</si>
  <si>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</si>
  <si>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</si>
  <si>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</si>
  <si>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</si>
  <si>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</si>
  <si>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</si>
  <si>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</si>
  <si>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</si>
  <si>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</si>
  <si>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</si>
  <si>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</si>
  <si>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</si>
  <si>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</si>
  <si>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</si>
  <si>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</si>
  <si>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</si>
  <si>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</si>
  <si>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</si>
  <si>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</si>
  <si>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</si>
  <si>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</si>
  <si>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</si>
  <si>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</si>
  <si>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</si>
  <si>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</si>
  <si>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</si>
  <si>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</si>
  <si>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</si>
  <si>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</si>
  <si>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</si>
  <si>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</si>
  <si>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</si>
  <si>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</si>
  <si>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</si>
  <si>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</si>
  <si>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</si>
  <si>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</si>
  <si>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Concrete mass</t>
  </si>
  <si>
    <t>lbs/cy</t>
  </si>
  <si>
    <t>convert_concrete_cy_to_lbs_cl</t>
  </si>
  <si>
    <t>Cement content in concrete</t>
  </si>
  <si>
    <t>percent weight</t>
  </si>
  <si>
    <t>convert_concrete_to_cement_cl</t>
  </si>
  <si>
    <t>Transfer Rate (GPM)</t>
  </si>
  <si>
    <t>Chlorine</t>
  </si>
  <si>
    <t>Hydrogen Peroxide</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</si>
  <si>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</si>
  <si>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</si>
  <si>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</si>
  <si>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</si>
  <si>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</si>
  <si>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</si>
  <si>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</si>
  <si>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</si>
  <si>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</si>
  <si>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</si>
  <si>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</si>
  <si>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</si>
  <si>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</si>
  <si>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</si>
  <si>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</si>
  <si>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</si>
  <si>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</si>
  <si>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</si>
  <si>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</si>
  <si>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</si>
  <si>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</si>
  <si>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</si>
  <si>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</si>
  <si>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</si>
  <si>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</si>
  <si>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</si>
  <si>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</si>
  <si>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</si>
  <si>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Length (ft)</t>
  </si>
  <si>
    <t>Width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</si>
  <si>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</si>
  <si>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</si>
  <si>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</si>
  <si>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</si>
  <si>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</si>
  <si>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</si>
  <si>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</si>
  <si>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</si>
  <si>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</si>
  <si>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</si>
  <si>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</si>
  <si>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</si>
  <si>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</si>
  <si>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</si>
  <si>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</si>
  <si>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</si>
  <si>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</si>
  <si>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</si>
  <si>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</si>
  <si>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</si>
  <si>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</si>
  <si>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</si>
  <si>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</si>
  <si>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</si>
  <si>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</si>
  <si>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</si>
  <si>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</si>
  <si>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</si>
  <si>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</si>
  <si>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</si>
  <si>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</si>
  <si>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</si>
  <si>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</si>
  <si>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</si>
  <si>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</si>
  <si>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</si>
  <si>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</si>
  <si>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</si>
  <si>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</si>
  <si>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</si>
  <si>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</si>
  <si>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</si>
  <si>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</si>
  <si>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</si>
  <si>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</si>
  <si>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</si>
  <si>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</si>
  <si>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</si>
  <si>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</si>
  <si>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</si>
  <si>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</si>
  <si>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</si>
  <si>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</si>
  <si>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</si>
  <si>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</si>
  <si>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</si>
  <si>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</si>
  <si>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</si>
  <si>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</si>
  <si>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</si>
  <si>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</si>
  <si>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</si>
  <si>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</si>
  <si>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</si>
  <si>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</si>
  <si>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</si>
  <si>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</si>
  <si>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</si>
  <si>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</si>
  <si>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</si>
  <si>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</si>
  <si>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</si>
  <si>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</si>
  <si>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</si>
  <si>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</si>
  <si>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</si>
  <si>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</si>
  <si>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</si>
  <si>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</si>
  <si>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</si>
  <si>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</si>
  <si>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Diameter</t>
  </si>
  <si>
    <t>Min Height</t>
  </si>
  <si>
    <t>Max Height</t>
  </si>
  <si>
    <t>Power: C1*x^C2</t>
  </si>
  <si>
    <t>Logarithmic: C3*Ln(x) + C4</t>
  </si>
  <si>
    <t>Exponential: C5*e^(C6*x)</t>
  </si>
  <si>
    <t>Polynomial: C7*x^3 + C8*x^2 + C9*x + C10</t>
  </si>
  <si>
    <t>NOTES</t>
  </si>
  <si>
    <t>Equation Lookup Name</t>
  </si>
  <si>
    <t>C1</t>
  </si>
  <si>
    <t>C2</t>
  </si>
  <si>
    <t>C3</t>
  </si>
  <si>
    <t>C4</t>
  </si>
  <si>
    <t>C5</t>
  </si>
  <si>
    <t>C6</t>
  </si>
  <si>
    <t>C7</t>
  </si>
  <si>
    <t>C8</t>
  </si>
  <si>
    <t>C9</t>
  </si>
  <si>
    <t>C10</t>
  </si>
  <si>
    <t>Pct deviation of fit equation</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</si>
  <si>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</si>
  <si>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</si>
  <si>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</si>
  <si>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</si>
  <si>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</si>
  <si>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</si>
  <si>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</si>
  <si>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</si>
  <si>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</si>
  <si>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</si>
  <si>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</si>
  <si>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</si>
  <si>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</si>
  <si>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</si>
  <si>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</si>
  <si>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</si>
  <si>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</si>
  <si>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</si>
  <si>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</si>
  <si>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</si>
  <si>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</si>
  <si>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</si>
  <si>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</si>
  <si>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</si>
  <si>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</si>
  <si>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</si>
  <si>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</si>
  <si>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</si>
  <si>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</si>
  <si>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</si>
  <si>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</si>
  <si>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</si>
  <si>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</si>
  <si>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</si>
  <si>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</si>
  <si>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</si>
  <si>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</si>
  <si>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</si>
  <si>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</si>
  <si>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</si>
  <si>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</si>
  <si>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</si>
  <si>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</si>
  <si>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</si>
  <si>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</si>
  <si>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</si>
  <si>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</si>
  <si>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</si>
  <si>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</si>
  <si>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</si>
  <si>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2:54:07 PM</t>
  </si>
  <si>
    <t xml:space="preserve"> 1/24/2023 2:54:29 PM</t>
  </si>
  <si>
    <t xml:space="preserve"> 1/25/2023 6:01:42 PM</t>
  </si>
  <si>
    <t xml:space="preserve"> 1/25/2023 6:03:12 PM</t>
  </si>
  <si>
    <t xml:space="preserve"> 1/25/2023 6:03:24 PM</t>
  </si>
  <si>
    <t xml:space="preserve"> 1/25/2023 6:03:34 PM</t>
  </si>
  <si>
    <t xml:space="preserve"> 1/25/2023 3:54:56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</si>
  <si>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</si>
  <si>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</si>
  <si>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</si>
  <si>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</si>
  <si>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</si>
  <si>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</si>
  <si>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</si>
  <si>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</si>
  <si>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</si>
  <si>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</si>
  <si>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</si>
  <si>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</si>
  <si>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</si>
  <si>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</si>
  <si>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</si>
  <si>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</si>
  <si>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</si>
  <si>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</si>
  <si>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</si>
  <si>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</si>
  <si>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</si>
  <si>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</si>
  <si>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</si>
  <si>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</si>
  <si>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</si>
  <si>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Granular Activated Carbon (GAC) System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</si>
  <si>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</si>
  <si>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</si>
  <si>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</si>
  <si>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</si>
  <si>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</si>
  <si>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</si>
  <si>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Granular Activated Carbon (GAC) System Drinking Water Treatment</t>
    </r>
    <r>
      <rPr>
        <sz val="10"/>
        <rFont val="Arial"/>
        <family val="2"/>
      </rPr>
      <t>. Office of Water.</t>
    </r>
  </si>
  <si>
    <t>upright</t>
  </si>
  <si>
    <t>MGD</t>
    <phoneticPr fontId="0" type="noConversion"/>
  </si>
  <si>
    <t>Select units</t>
    <phoneticPr fontId="0" type="noConversion"/>
  </si>
  <si>
    <t>gallon to m3</t>
    <phoneticPr fontId="0" type="noConversion"/>
  </si>
  <si>
    <t>gpm:gallon per minute;  MGD:Million gallon day</t>
    <phoneticPr fontId="0" type="noConversion"/>
  </si>
  <si>
    <t>Guidance: Carbon life is best determined by pilot or RSSCT tests. Use theoretical calculation methods (e.g., Freundlich isotherms) only in the absence of such data for initial assessment of carbon life and suitability of GAC for treatment.</t>
    <phoneticPr fontId="0" type="noConversion"/>
  </si>
  <si>
    <t>upright</t>
    <phoneticPr fontId="0" type="noConversion"/>
  </si>
  <si>
    <t>Interval Between backwashes</t>
    <phoneticPr fontId="0" type="noConversion"/>
  </si>
  <si>
    <t>Discharge option for spent backwash</t>
    <phoneticPr fontId="0" type="noConversion"/>
  </si>
  <si>
    <t>Number of booster pumps</t>
    <phoneticPr fontId="0" type="noConversion"/>
  </si>
  <si>
    <t>recycle</t>
  </si>
  <si>
    <t>throwaway (hazardous)</t>
  </si>
  <si>
    <t>hazardous</t>
  </si>
  <si>
    <t>Hazardous waste minimum charge per shipment</t>
    <phoneticPr fontId="83" type="noConversion"/>
  </si>
  <si>
    <t>gac_cost_cl</t>
    <phoneticPr fontId="83" type="noConversion"/>
  </si>
  <si>
    <t>casues the max shippment one time is 18 ton</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</si>
</sst>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1" formatCode="_(* #,##0_);_(* \(#,##0\);_(* &quot;-&quot;_);_(@_)"/>
    <numFmt numFmtId="43" formatCode="_(* #,##0.00_);_(* \(#,##0.00\);_(* &quot;-&quot;??_);_(@_)"/>
    <numFmt numFmtId="176" formatCode="&quot;$&quot;#,##0_);[Red]\(&quot;$&quot;#,##0\)"/>
    <numFmt numFmtId="177" formatCode="&quot;$&quot;#,##0.00_);[Red]\(&quot;$&quot;#,##0.00\)"/>
    <numFmt numFmtId="178" formatCode="_(&quot;$&quot;* #,##0.00_);_(&quot;$&quot;* \(#,##0.00\);_(&quot;$&quot;* &quot;-&quot;??_);_(@_)"/>
    <numFmt numFmtId="179" formatCode="_(* #,##0.0_);_(* \(#,##0.0\);_(* &quot;-&quot;??_);_(@_)"/>
    <numFmt numFmtId="180" formatCode="_(* #,##0_);_(* \(#,##0\);_(* &quot;-&quot;??_);_(@_)"/>
    <numFmt numFmtId="181" formatCode="0.0000"/>
    <numFmt numFmtId="182" formatCode="0.000"/>
    <numFmt numFmtId="183" formatCode="_(&quot;$&quot;* #,##0_);_(&quot;$&quot;* \(#,##0\);_(&quot;$&quot;* &quot;-&quot;??_);_(@_)"/>
    <numFmt numFmtId="184" formatCode="&quot;$&quot;#,##0"/>
    <numFmt numFmtId="185" formatCode="0.0"/>
    <numFmt numFmtId="186" formatCode="_(* #,##0.000_);_(* \(#,##0.000\);_(* &quot;-&quot;??_);_(@_)"/>
    <numFmt numFmtId="187" formatCode="_(* #,##0.0000_);_(* \(#,##0.0000\);_(* &quot;-&quot;??_);_(@_)"/>
    <numFmt numFmtId="188" formatCode="0.0%"/>
    <numFmt numFmtId="189" formatCode="_(&quot;$&quot;* #,##0.000_);_(&quot;$&quot;* \(#,##0.000\);_(&quot;$&quot;* &quot;-&quot;??_);_(@_)"/>
    <numFmt numFmtId="190" formatCode="#,##0.0"/>
    <numFmt numFmtId="191" formatCode="0.0E+00"/>
    <numFmt numFmtId="192" formatCode="#,###"/>
    <numFmt numFmtId="193" formatCode="#,###.0"/>
    <numFmt numFmtId="194" formatCode="#,###.00"/>
    <numFmt numFmtId="195" formatCode="&quot;$&quot;#,##0.00"/>
  </numFmts>
  <fonts count="86">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10"/>
      <color indexed="57"/>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i/>
      <u/>
      <sz val="10"/>
      <name val="Arial"/>
      <family val="2"/>
    </font>
    <font>
      <b/>
      <sz val="10"/>
      <color indexed="8"/>
      <name val="Arial"/>
      <family val="2"/>
    </font>
    <font>
      <b/>
      <i/>
      <sz val="10"/>
      <color indexed="17"/>
      <name val="Arial"/>
      <family val="2"/>
    </font>
    <font>
      <sz val="10"/>
      <color indexed="17"/>
      <name val="Arial"/>
      <family val="2"/>
    </font>
    <font>
      <sz val="10"/>
      <color indexed="23"/>
      <name val="Arial"/>
      <family val="2"/>
    </font>
    <font>
      <sz val="8"/>
      <color indexed="81"/>
      <name val="Tahoma"/>
      <family val="2"/>
    </font>
    <font>
      <b/>
      <u/>
      <sz val="10"/>
      <name val="Arial"/>
      <family val="2"/>
    </font>
    <font>
      <b/>
      <vertAlign val="subscript"/>
      <sz val="10"/>
      <color indexed="17"/>
      <name val="Arial"/>
      <family val="2"/>
    </font>
    <font>
      <b/>
      <vertAlign val="superscript"/>
      <sz val="10"/>
      <color indexed="17"/>
      <name val="Arial"/>
      <family val="2"/>
    </font>
    <font>
      <sz val="10"/>
      <color indexed="8"/>
      <name val="Arial"/>
      <family val="2"/>
    </font>
    <font>
      <b/>
      <sz val="10"/>
      <color indexed="57"/>
      <name val="Arial"/>
      <family val="2"/>
    </font>
    <font>
      <sz val="10"/>
      <color indexed="51"/>
      <name val="Arial"/>
      <family val="2"/>
    </font>
    <font>
      <sz val="10"/>
      <color indexed="40"/>
      <name val="Arial"/>
      <family val="2"/>
    </font>
    <font>
      <i/>
      <sz val="10"/>
      <color indexed="52"/>
      <name val="Arial"/>
      <family val="2"/>
    </font>
    <font>
      <i/>
      <sz val="10"/>
      <color indexed="40"/>
      <name val="Arial"/>
      <family val="2"/>
    </font>
    <font>
      <sz val="8"/>
      <color indexed="17"/>
      <name val="Arial"/>
      <family val="2"/>
    </font>
    <font>
      <b/>
      <u/>
      <sz val="12"/>
      <color indexed="12"/>
      <name val="Arial"/>
      <family val="2"/>
    </font>
    <font>
      <i/>
      <sz val="10"/>
      <color indexed="17"/>
      <name val="Arial"/>
      <family val="2"/>
    </font>
    <font>
      <b/>
      <u/>
      <sz val="12"/>
      <name val="Arial"/>
      <family val="2"/>
    </font>
    <font>
      <sz val="10"/>
      <color indexed="17"/>
      <name val="Arial"/>
      <family val="2"/>
    </font>
    <font>
      <b/>
      <sz val="12"/>
      <color indexed="12"/>
      <name val="Arial"/>
      <family val="2"/>
    </font>
    <font>
      <sz val="9"/>
      <color indexed="17"/>
      <name val="Arial"/>
      <family val="2"/>
    </font>
    <font>
      <b/>
      <u/>
      <sz val="12"/>
      <color indexed="61"/>
      <name val="Arial"/>
      <family val="2"/>
    </font>
    <font>
      <b/>
      <sz val="12"/>
      <color indexed="61"/>
      <name val="Arial"/>
      <family val="2"/>
    </font>
    <font>
      <u/>
      <sz val="10"/>
      <name val="Arial"/>
      <family val="2"/>
    </font>
    <font>
      <sz val="10"/>
      <color indexed="18"/>
      <name val="Arial"/>
      <family val="2"/>
    </font>
    <font>
      <sz val="8"/>
      <color indexed="57"/>
      <name val="Arial"/>
      <family val="2"/>
    </font>
    <font>
      <b/>
      <sz val="10"/>
      <color indexed="17"/>
      <name val="Arial"/>
      <family val="2"/>
    </font>
    <font>
      <sz val="8"/>
      <name val="Arial"/>
      <family val="2"/>
    </font>
    <font>
      <i/>
      <sz val="10"/>
      <name val="Arial"/>
      <family val="2"/>
    </font>
    <font>
      <b/>
      <sz val="10"/>
      <name val="Arial"/>
      <family val="2"/>
    </font>
    <font>
      <b/>
      <sz val="12"/>
      <color indexed="20"/>
      <name val="Arial"/>
      <family val="2"/>
    </font>
    <font>
      <i/>
      <u/>
      <sz val="10"/>
      <color indexed="17"/>
      <name val="Arial"/>
      <family val="2"/>
    </font>
    <font>
      <sz val="10"/>
      <name val="Arial"/>
      <family val="2"/>
    </font>
    <font>
      <b/>
      <sz val="10"/>
      <color theme="1"/>
      <name val="Arial"/>
      <family val="2"/>
    </font>
    <font>
      <sz val="10"/>
      <color theme="1"/>
      <name val="Arial"/>
      <family val="2"/>
    </font>
    <font>
      <sz val="9"/>
      <color indexed="81"/>
      <name val="Tahoma"/>
      <family val="2"/>
    </font>
    <font>
      <b/>
      <sz val="9"/>
      <color indexed="81"/>
      <name val="Tahoma"/>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b/>
      <sz val="10"/>
      <color indexed="12"/>
      <name val="Arial"/>
      <family val="2"/>
    </font>
    <font>
      <b/>
      <u/>
      <sz val="12"/>
      <color rgb="FF993366"/>
      <name val="Arial"/>
      <family val="2"/>
    </font>
    <font>
      <b/>
      <sz val="12"/>
      <color rgb="FF0000FF"/>
      <name val="Arial"/>
      <family val="2"/>
    </font>
    <font>
      <sz val="10"/>
      <color rgb="FF008000"/>
      <name val="Arial"/>
      <family val="2"/>
    </font>
    <font>
      <b/>
      <vertAlign val="superscript"/>
      <sz val="10"/>
      <name val="Arial"/>
      <family val="2"/>
    </font>
    <font>
      <sz val="10"/>
      <color rgb="FF000000"/>
      <name val="Arial"/>
      <family val="2"/>
    </font>
    <font>
      <u/>
      <sz val="10"/>
      <color theme="1"/>
      <name val="Arial"/>
      <family val="2"/>
    </font>
    <font>
      <i/>
      <sz val="10"/>
      <color theme="1"/>
      <name val="Arial"/>
      <family val="2"/>
    </font>
    <font>
      <b/>
      <sz val="10"/>
      <color rgb="FFFF0000"/>
      <name val="Arial"/>
      <family val="2"/>
    </font>
    <font>
      <sz val="10"/>
      <color rgb="FFFF0000"/>
      <name val="Arial"/>
      <family val="2"/>
    </font>
    <font>
      <b/>
      <u/>
      <sz val="10"/>
      <color indexed="61"/>
      <name val="Arial"/>
      <family val="2"/>
    </font>
    <font>
      <b/>
      <sz val="8"/>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
      <b/>
      <sz val="9"/>
      <color rgb="FF000000"/>
      <name val="Tahoma"/>
      <family val="2"/>
    </font>
    <font>
      <sz val="9"/>
      <color rgb="FF000000"/>
      <name val="Tahoma"/>
      <family val="2"/>
    </font>
  </fonts>
  <fills count="22">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55"/>
        <bgColor indexed="64"/>
      </patternFill>
    </fill>
    <fill>
      <patternFill patternType="solid">
        <fgColor indexed="48"/>
        <bgColor indexed="64"/>
      </patternFill>
    </fill>
    <fill>
      <patternFill patternType="solid">
        <fgColor indexed="41"/>
        <bgColor indexed="64"/>
      </patternFill>
    </fill>
    <fill>
      <patternFill patternType="solid">
        <fgColor indexed="17"/>
        <bgColor indexed="64"/>
      </patternFill>
    </fill>
    <fill>
      <patternFill patternType="solid">
        <fgColor indexed="18"/>
        <bgColor indexed="64"/>
      </pattern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rgb="FF00CCFF"/>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CC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79998168889431442"/>
        <bgColor indexed="64"/>
      </patternFill>
    </fill>
  </fills>
  <borders count="90">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22"/>
      </top>
      <bottom/>
      <diagonal/>
    </border>
    <border>
      <left style="thin">
        <color indexed="22"/>
      </left>
      <right style="thin">
        <color indexed="64"/>
      </right>
      <top style="thin">
        <color indexed="22"/>
      </top>
      <bottom style="thin">
        <color indexed="22"/>
      </bottom>
      <diagonal/>
    </border>
    <border>
      <left/>
      <right style="thin">
        <color indexed="64"/>
      </right>
      <top style="thin">
        <color indexed="22"/>
      </top>
      <bottom/>
      <diagonal/>
    </border>
    <border>
      <left/>
      <right/>
      <top style="thin">
        <color indexed="64"/>
      </top>
      <bottom/>
      <diagonal/>
    </border>
    <border>
      <left/>
      <right style="thin">
        <color indexed="64"/>
      </right>
      <top style="thin">
        <color indexed="64"/>
      </top>
      <bottom/>
      <diagonal/>
    </border>
    <border>
      <left style="thin">
        <color indexed="22"/>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64"/>
      </bottom>
      <diagonal/>
    </border>
    <border>
      <left/>
      <right/>
      <top/>
      <bottom style="thin">
        <color indexed="22"/>
      </bottom>
      <diagonal/>
    </border>
    <border>
      <left/>
      <right style="thin">
        <color indexed="22"/>
      </right>
      <top/>
      <bottom style="thin">
        <color indexed="22"/>
      </bottom>
      <diagonal/>
    </border>
    <border>
      <left/>
      <right style="thin">
        <color indexed="22"/>
      </right>
      <top style="thin">
        <color indexed="22"/>
      </top>
      <bottom/>
      <diagonal/>
    </border>
    <border>
      <left/>
      <right/>
      <top style="thin">
        <color indexed="22"/>
      </top>
      <bottom/>
      <diagonal/>
    </border>
    <border>
      <left style="thin">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64"/>
      </top>
      <bottom style="thin">
        <color indexed="22"/>
      </bottom>
      <diagonal/>
    </border>
    <border>
      <left/>
      <right style="thin">
        <color indexed="64"/>
      </right>
      <top/>
      <bottom style="thin">
        <color indexed="22"/>
      </bottom>
      <diagonal/>
    </border>
    <border>
      <left style="thin">
        <color indexed="64"/>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right style="thin">
        <color indexed="22"/>
      </right>
      <top/>
      <bottom style="thin">
        <color indexed="64"/>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bottom style="thin">
        <color indexed="64"/>
      </bottom>
      <diagonal/>
    </border>
    <border>
      <left style="thin">
        <color indexed="64"/>
      </left>
      <right style="thin">
        <color indexed="64"/>
      </right>
      <top/>
      <bottom/>
      <diagonal/>
    </border>
    <border>
      <left style="thin">
        <color indexed="9"/>
      </left>
      <right style="thin">
        <color indexed="9"/>
      </right>
      <top style="thin">
        <color indexed="9"/>
      </top>
      <bottom style="thin">
        <color indexed="64"/>
      </bottom>
      <diagonal/>
    </border>
    <border>
      <left style="thin">
        <color indexed="9"/>
      </left>
      <right style="thin">
        <color indexed="64"/>
      </right>
      <top/>
      <bottom style="thin">
        <color indexed="64"/>
      </bottom>
      <diagonal/>
    </border>
    <border>
      <left/>
      <right/>
      <top style="thin">
        <color indexed="64"/>
      </top>
      <bottom style="thin">
        <color indexed="64"/>
      </bottom>
      <diagonal/>
    </border>
    <border>
      <left style="thin">
        <color indexed="64"/>
      </left>
      <right/>
      <top/>
      <bottom style="thin">
        <color indexed="22"/>
      </bottom>
      <diagonal/>
    </border>
    <border>
      <left/>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style="double">
        <color indexed="64"/>
      </top>
      <bottom style="thin">
        <color indexed="64"/>
      </bottom>
      <diagonal/>
    </border>
    <border>
      <left style="thin">
        <color indexed="64"/>
      </left>
      <right style="thin">
        <color indexed="9"/>
      </right>
      <top style="thin">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indexed="64"/>
      </right>
      <top style="thin">
        <color indexed="64"/>
      </top>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right/>
      <top style="thin">
        <color indexed="22"/>
      </top>
      <bottom/>
      <diagonal/>
    </border>
    <border>
      <left style="thin">
        <color auto="1"/>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22"/>
      </top>
      <bottom/>
      <diagonal/>
    </border>
    <border>
      <left style="thin">
        <color indexed="64"/>
      </left>
      <right/>
      <top style="thin">
        <color indexed="22"/>
      </top>
      <bottom/>
      <diagonal/>
    </border>
    <border>
      <left style="thin">
        <color rgb="FFC0C0C0"/>
      </left>
      <right style="thin">
        <color rgb="FFC0C0C0"/>
      </right>
      <top style="thin">
        <color rgb="FFC0C0C0"/>
      </top>
      <bottom style="thin">
        <color indexed="64"/>
      </bottom>
      <diagonal/>
    </border>
    <border>
      <left/>
      <right style="thin">
        <color indexed="22"/>
      </right>
      <top style="thin">
        <color indexed="22"/>
      </top>
      <bottom/>
      <diagonal/>
    </border>
    <border>
      <left style="thin">
        <color rgb="FFC0C0C0"/>
      </left>
      <right style="thin">
        <color rgb="FFC0C0C0"/>
      </right>
      <top style="thin">
        <color rgb="FFC0C0C0"/>
      </top>
      <bottom style="thin">
        <color rgb="FFC0C0C0"/>
      </bottom>
      <diagonal/>
    </border>
    <border>
      <left style="thin">
        <color rgb="FFC0C0C0"/>
      </left>
      <right style="thin">
        <color indexed="22"/>
      </right>
      <top style="thin">
        <color indexed="22"/>
      </top>
      <bottom style="thin">
        <color rgb="FFC0C0C0"/>
      </bottom>
      <diagonal/>
    </border>
    <border>
      <left style="thin">
        <color rgb="FFC0C0C0"/>
      </left>
      <right style="thin">
        <color indexed="22"/>
      </right>
      <top style="thin">
        <color rgb="FFC0C0C0"/>
      </top>
      <bottom style="thin">
        <color rgb="FFC0C0C0"/>
      </bottom>
      <diagonal/>
    </border>
    <border>
      <left style="thin">
        <color rgb="FFC0C0C0"/>
      </left>
      <right style="thin">
        <color indexed="22"/>
      </right>
      <top style="thin">
        <color rgb="FFC0C0C0"/>
      </top>
      <bottom style="thin">
        <color indexed="22"/>
      </bottom>
      <diagonal/>
    </border>
    <border>
      <left style="thin">
        <color indexed="22"/>
      </left>
      <right style="thin">
        <color indexed="22"/>
      </right>
      <top style="thin">
        <color indexed="22"/>
      </top>
      <bottom style="double">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64"/>
      </left>
      <right style="thin">
        <color indexed="64"/>
      </right>
      <top style="thin">
        <color indexed="64"/>
      </top>
      <bottom style="thin">
        <color indexed="64"/>
      </bottom>
      <diagonal/>
    </border>
  </borders>
  <cellStyleXfs count="34">
    <xf numFmtId="0" fontId="0" fillId="0" borderId="0"/>
    <xf numFmtId="9" fontId="5" fillId="2" borderId="0" applyNumberFormat="0" applyBorder="0">
      <alignment horizontal="right"/>
      <protection locked="0"/>
    </xf>
    <xf numFmtId="0" fontId="12" fillId="0" borderId="0">
      <alignment vertical="center"/>
    </xf>
    <xf numFmtId="0" fontId="10" fillId="3" borderId="0" applyNumberFormat="0" applyBorder="0">
      <alignment horizontal="right"/>
      <protection locked="0"/>
    </xf>
    <xf numFmtId="0" fontId="23" fillId="0" borderId="0" applyNumberFormat="0" applyBorder="0"/>
    <xf numFmtId="0" fontId="10" fillId="2" borderId="0" applyBorder="0" applyAlignment="0">
      <protection locked="0"/>
    </xf>
    <xf numFmtId="43" fontId="5" fillId="0" borderId="0" applyFont="0" applyFill="0" applyBorder="0" applyAlignment="0" applyProtection="0"/>
    <xf numFmtId="43" fontId="10" fillId="0" borderId="0" applyFont="0" applyFill="0" applyBorder="0" applyAlignment="0" applyProtection="0"/>
    <xf numFmtId="178" fontId="5" fillId="0" borderId="0" applyFont="0" applyFill="0" applyBorder="0" applyAlignment="0" applyProtection="0"/>
    <xf numFmtId="178" fontId="10" fillId="0" borderId="0" applyFont="0" applyFill="0" applyBorder="0" applyAlignment="0" applyProtection="0"/>
    <xf numFmtId="0" fontId="17" fillId="0" borderId="0" applyNumberFormat="0" applyFill="0" applyBorder="0" applyAlignment="0" applyProtection="0">
      <alignment vertical="top"/>
      <protection locked="0"/>
    </xf>
    <xf numFmtId="0" fontId="23" fillId="0" borderId="1" applyNumberFormat="0" applyBorder="0">
      <alignment horizontal="right" vertical="center" wrapText="1"/>
    </xf>
    <xf numFmtId="0" fontId="23" fillId="0" borderId="2" applyNumberFormat="0" applyBorder="0">
      <alignment horizontal="left" vertical="center" wrapText="1"/>
    </xf>
    <xf numFmtId="0" fontId="23" fillId="0" borderId="0" applyNumberFormat="0">
      <alignment vertical="center"/>
    </xf>
    <xf numFmtId="0" fontId="52" fillId="4" borderId="0" applyNumberFormat="0" applyFill="0" applyBorder="0">
      <alignment vertical="center" wrapText="1"/>
    </xf>
    <xf numFmtId="0" fontId="23" fillId="0" borderId="0" applyNumberFormat="0">
      <alignment vertical="center"/>
    </xf>
    <xf numFmtId="0" fontId="26" fillId="0" borderId="0" applyNumberFormat="0" applyBorder="0">
      <alignment vertical="center"/>
    </xf>
    <xf numFmtId="0" fontId="10" fillId="0" borderId="0" applyNumberFormat="0" applyFill="0" applyBorder="0">
      <alignment horizontal="left" vertical="center" wrapText="1" indent="1"/>
    </xf>
    <xf numFmtId="0" fontId="50" fillId="0" borderId="0" applyNumberFormat="0" applyBorder="0">
      <alignment vertical="center"/>
    </xf>
    <xf numFmtId="0" fontId="6" fillId="2" borderId="0" applyBorder="0">
      <alignment horizontal="right" vertical="center"/>
      <protection locked="0"/>
    </xf>
    <xf numFmtId="0" fontId="6" fillId="3" borderId="3" applyBorder="0">
      <alignment horizontal="right" vertical="center"/>
      <protection locked="0"/>
    </xf>
    <xf numFmtId="0" fontId="10" fillId="0" borderId="4" applyBorder="0">
      <alignment vertical="center"/>
    </xf>
    <xf numFmtId="0" fontId="47" fillId="0" borderId="5" applyNumberFormat="0" applyBorder="0">
      <alignment horizontal="right" vertical="center"/>
    </xf>
    <xf numFmtId="9" fontId="10" fillId="3" borderId="0" applyNumberFormat="0" applyFont="0" applyBorder="0">
      <protection locked="0"/>
    </xf>
    <xf numFmtId="0" fontId="10" fillId="0" borderId="0"/>
    <xf numFmtId="0" fontId="5" fillId="0" borderId="0"/>
    <xf numFmtId="0" fontId="5" fillId="0" borderId="0"/>
    <xf numFmtId="9" fontId="5" fillId="0" borderId="0" applyFont="0" applyFill="0" applyBorder="0" applyAlignment="0" applyProtection="0"/>
    <xf numFmtId="0" fontId="49" fillId="0" borderId="0" applyNumberFormat="0" applyFill="0" applyBorder="0">
      <alignment vertical="center"/>
    </xf>
    <xf numFmtId="0" fontId="4" fillId="0" borderId="0"/>
    <xf numFmtId="0" fontId="3" fillId="0" borderId="0"/>
    <xf numFmtId="0" fontId="17" fillId="0" borderId="0" applyNumberFormat="0" applyFill="0" applyBorder="0" applyAlignment="0" applyProtection="0">
      <alignment vertical="top"/>
      <protection locked="0"/>
    </xf>
    <xf numFmtId="43" fontId="2" fillId="0" borderId="0" applyFont="0" applyFill="0" applyBorder="0" applyAlignment="0" applyProtection="0"/>
    <xf numFmtId="0" fontId="1" fillId="0" borderId="0"/>
  </cellStyleXfs>
  <cellXfs count="1098">
    <xf numFmtId="0" fontId="0" fillId="0" borderId="0" xfId="0"/>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0" fillId="0" borderId="0" xfId="0" quotePrefix="1"/>
    <xf numFmtId="0" fontId="12" fillId="0" borderId="0" xfId="0" applyFont="1"/>
    <xf numFmtId="16" fontId="12" fillId="0" borderId="0" xfId="0" applyNumberFormat="1" applyFont="1"/>
    <xf numFmtId="0" fontId="14" fillId="0" borderId="0" xfId="0" applyFont="1"/>
    <xf numFmtId="1" fontId="0" fillId="0" borderId="0" xfId="0" applyNumberFormat="1"/>
    <xf numFmtId="0" fontId="10" fillId="5" borderId="0" xfId="0" applyFont="1" applyFill="1"/>
    <xf numFmtId="183" fontId="0" fillId="0" borderId="0" xfId="8" applyNumberFormat="1" applyFont="1"/>
    <xf numFmtId="183" fontId="0" fillId="0" borderId="0" xfId="0" applyNumberFormat="1"/>
    <xf numFmtId="0" fontId="6" fillId="6" borderId="0" xfId="0" applyFont="1" applyFill="1"/>
    <xf numFmtId="185" fontId="0" fillId="0" borderId="0" xfId="0" applyNumberFormat="1"/>
    <xf numFmtId="0" fontId="11" fillId="0" borderId="0" xfId="0" applyFont="1"/>
    <xf numFmtId="3" fontId="0" fillId="0" borderId="0" xfId="0" applyNumberFormat="1"/>
    <xf numFmtId="0" fontId="0" fillId="4" borderId="0" xfId="0" applyFill="1"/>
    <xf numFmtId="43" fontId="0" fillId="0" borderId="0" xfId="0" applyNumberFormat="1"/>
    <xf numFmtId="181" fontId="0" fillId="0" borderId="0" xfId="0" applyNumberFormat="1"/>
    <xf numFmtId="0" fontId="0" fillId="3" borderId="0" xfId="0" applyFill="1"/>
    <xf numFmtId="183" fontId="0" fillId="4" borderId="0" xfId="8" applyNumberFormat="1" applyFont="1" applyFill="1"/>
    <xf numFmtId="0" fontId="10" fillId="0" borderId="0" xfId="0" applyFont="1" applyProtection="1">
      <protection locked="0"/>
    </xf>
    <xf numFmtId="0" fontId="6" fillId="6" borderId="0" xfId="0" applyFont="1" applyFill="1" applyProtection="1">
      <protection hidden="1"/>
    </xf>
    <xf numFmtId="180" fontId="0" fillId="0" borderId="0" xfId="6" applyNumberFormat="1" applyFont="1" applyProtection="1">
      <protection hidden="1"/>
    </xf>
    <xf numFmtId="180" fontId="0" fillId="0" borderId="0" xfId="6" applyNumberFormat="1" applyFont="1" applyAlignment="1" applyProtection="1">
      <alignment horizontal="right"/>
      <protection hidden="1"/>
    </xf>
    <xf numFmtId="0" fontId="0" fillId="0" borderId="0" xfId="0" applyProtection="1">
      <protection hidden="1"/>
    </xf>
    <xf numFmtId="0" fontId="0" fillId="0" borderId="0" xfId="6" applyNumberFormat="1" applyFont="1" applyProtection="1">
      <protection hidden="1"/>
    </xf>
    <xf numFmtId="180" fontId="10" fillId="0" borderId="0" xfId="6" applyNumberFormat="1" applyFont="1" applyFill="1" applyProtection="1">
      <protection hidden="1"/>
    </xf>
    <xf numFmtId="3" fontId="10" fillId="0" borderId="0" xfId="0" applyNumberFormat="1" applyFont="1" applyProtection="1">
      <protection hidden="1"/>
    </xf>
    <xf numFmtId="0" fontId="10" fillId="0" borderId="0" xfId="0" applyFont="1" applyProtection="1">
      <protection hidden="1"/>
    </xf>
    <xf numFmtId="184" fontId="10" fillId="0" borderId="0" xfId="0" applyNumberFormat="1" applyFont="1" applyProtection="1">
      <protection hidden="1"/>
    </xf>
    <xf numFmtId="0" fontId="8" fillId="0" borderId="0" xfId="0" applyFont="1" applyProtection="1">
      <protection hidden="1"/>
    </xf>
    <xf numFmtId="0" fontId="12" fillId="0" borderId="0" xfId="0" quotePrefix="1" applyFont="1" applyAlignment="1">
      <alignment horizontal="left"/>
    </xf>
    <xf numFmtId="0" fontId="8" fillId="0" borderId="0" xfId="0" quotePrefix="1" applyFont="1" applyAlignment="1">
      <alignment horizontal="left"/>
    </xf>
    <xf numFmtId="0" fontId="12" fillId="0" borderId="0" xfId="0" applyFont="1" applyAlignment="1">
      <alignment vertical="top"/>
    </xf>
    <xf numFmtId="0" fontId="8" fillId="0" borderId="0" xfId="0" applyFont="1" applyAlignment="1">
      <alignment horizontal="left"/>
    </xf>
    <xf numFmtId="180" fontId="0" fillId="0" borderId="0" xfId="6" applyNumberFormat="1" applyFont="1"/>
    <xf numFmtId="0" fontId="10" fillId="5" borderId="0" xfId="0" applyFont="1" applyFill="1" applyProtection="1">
      <protection hidden="1"/>
    </xf>
    <xf numFmtId="0" fontId="6" fillId="3" borderId="0" xfId="0" applyFont="1" applyFill="1"/>
    <xf numFmtId="43" fontId="0" fillId="0" borderId="0" xfId="6" applyFont="1"/>
    <xf numFmtId="0" fontId="0" fillId="0" borderId="0" xfId="0" applyAlignment="1">
      <alignment horizontal="right"/>
    </xf>
    <xf numFmtId="0" fontId="7" fillId="0" borderId="0" xfId="0" applyFont="1" applyAlignment="1">
      <alignment horizontal="left"/>
    </xf>
    <xf numFmtId="178" fontId="10" fillId="0" borderId="0" xfId="8" applyFont="1" applyProtection="1">
      <protection hidden="1"/>
    </xf>
    <xf numFmtId="180" fontId="10" fillId="0" borderId="0" xfId="6" applyNumberFormat="1" applyFont="1" applyProtection="1">
      <protection hidden="1"/>
    </xf>
    <xf numFmtId="180" fontId="10" fillId="0" borderId="0" xfId="6" applyNumberFormat="1" applyFont="1"/>
    <xf numFmtId="0" fontId="22" fillId="0" borderId="0" xfId="0" applyFont="1"/>
    <xf numFmtId="0" fontId="7" fillId="0" borderId="9" xfId="0" applyFont="1" applyBorder="1"/>
    <xf numFmtId="0" fontId="7" fillId="0" borderId="10" xfId="0" applyFont="1" applyBorder="1"/>
    <xf numFmtId="0" fontId="8" fillId="0" borderId="13" xfId="0" applyFont="1" applyBorder="1"/>
    <xf numFmtId="0" fontId="12" fillId="0" borderId="0" xfId="0" applyFont="1" applyProtection="1">
      <protection hidden="1"/>
    </xf>
    <xf numFmtId="43" fontId="10" fillId="0" borderId="0" xfId="6" applyFont="1"/>
    <xf numFmtId="190" fontId="10" fillId="0" borderId="0" xfId="0" applyNumberFormat="1" applyFont="1" applyProtection="1">
      <protection hidden="1"/>
    </xf>
    <xf numFmtId="180" fontId="0" fillId="0" borderId="0" xfId="0" applyNumberFormat="1"/>
    <xf numFmtId="178" fontId="0" fillId="0" borderId="0" xfId="8" applyFont="1"/>
    <xf numFmtId="0" fontId="5" fillId="0" borderId="0" xfId="26"/>
    <xf numFmtId="185" fontId="5" fillId="0" borderId="0" xfId="26" applyNumberFormat="1"/>
    <xf numFmtId="2" fontId="5" fillId="0" borderId="0" xfId="26" applyNumberFormat="1"/>
    <xf numFmtId="178" fontId="0" fillId="0" borderId="0" xfId="0" applyNumberFormat="1"/>
    <xf numFmtId="0" fontId="8" fillId="7" borderId="0" xfId="0" applyFont="1" applyFill="1"/>
    <xf numFmtId="0" fontId="24" fillId="0" borderId="0" xfId="0" applyFont="1" applyAlignment="1">
      <alignment horizontal="left" indent="1"/>
    </xf>
    <xf numFmtId="0" fontId="6" fillId="7" borderId="0" xfId="0" applyFont="1" applyFill="1"/>
    <xf numFmtId="0" fontId="26" fillId="0" borderId="0" xfId="0" applyFont="1"/>
    <xf numFmtId="0" fontId="8" fillId="3" borderId="0" xfId="0" applyFont="1" applyFill="1"/>
    <xf numFmtId="0" fontId="6" fillId="0" borderId="0" xfId="0" applyFont="1" applyProtection="1">
      <protection hidden="1"/>
    </xf>
    <xf numFmtId="185" fontId="0" fillId="0" borderId="0" xfId="0" applyNumberFormat="1" applyProtection="1">
      <protection hidden="1"/>
    </xf>
    <xf numFmtId="0" fontId="12" fillId="0" borderId="0" xfId="0" applyFont="1" applyAlignment="1">
      <alignment horizontal="left"/>
    </xf>
    <xf numFmtId="179" fontId="29" fillId="0" borderId="0" xfId="6" applyNumberFormat="1" applyFont="1" applyFill="1" applyProtection="1">
      <protection hidden="1"/>
    </xf>
    <xf numFmtId="0" fontId="8" fillId="0" borderId="0" xfId="0" quotePrefix="1" applyFont="1" applyAlignment="1" applyProtection="1">
      <alignment horizontal="left"/>
      <protection hidden="1"/>
    </xf>
    <xf numFmtId="179" fontId="0" fillId="0" borderId="0" xfId="6" applyNumberFormat="1" applyFont="1"/>
    <xf numFmtId="0" fontId="30" fillId="0" borderId="0" xfId="0" applyFont="1"/>
    <xf numFmtId="190" fontId="10" fillId="0" borderId="0" xfId="0" applyNumberFormat="1" applyFont="1"/>
    <xf numFmtId="0" fontId="0" fillId="0" borderId="15" xfId="0" applyBorder="1"/>
    <xf numFmtId="0" fontId="8" fillId="0" borderId="15" xfId="0" applyFont="1" applyBorder="1"/>
    <xf numFmtId="180" fontId="10" fillId="0" borderId="0" xfId="6" applyNumberFormat="1" applyFont="1" applyAlignment="1">
      <alignment horizontal="right"/>
    </xf>
    <xf numFmtId="180" fontId="10" fillId="0" borderId="0" xfId="6" applyNumberFormat="1" applyFont="1" applyFill="1" applyAlignment="1" applyProtection="1">
      <alignment horizontal="right"/>
      <protection hidden="1"/>
    </xf>
    <xf numFmtId="43" fontId="10" fillId="0" borderId="0" xfId="6" applyFont="1" applyFill="1" applyAlignment="1" applyProtection="1">
      <alignment horizontal="right"/>
      <protection hidden="1"/>
    </xf>
    <xf numFmtId="186" fontId="10" fillId="0" borderId="0" xfId="6" applyNumberFormat="1" applyFont="1" applyFill="1" applyAlignment="1" applyProtection="1">
      <alignment horizontal="right"/>
      <protection hidden="1"/>
    </xf>
    <xf numFmtId="178" fontId="10" fillId="0" borderId="0" xfId="0" applyNumberFormat="1" applyFont="1" applyProtection="1">
      <protection hidden="1"/>
    </xf>
    <xf numFmtId="43" fontId="0" fillId="0" borderId="0" xfId="6" applyFont="1" applyAlignment="1">
      <alignment horizontal="right"/>
    </xf>
    <xf numFmtId="0" fontId="0" fillId="0" borderId="0" xfId="0" applyAlignment="1">
      <alignment horizontal="left"/>
    </xf>
    <xf numFmtId="0" fontId="8" fillId="0" borderId="0" xfId="0" applyFont="1" applyAlignment="1" applyProtection="1">
      <alignment horizontal="left"/>
      <protection hidden="1"/>
    </xf>
    <xf numFmtId="0" fontId="10" fillId="5" borderId="0" xfId="0" applyFont="1" applyFill="1" applyProtection="1">
      <protection locked="0"/>
    </xf>
    <xf numFmtId="0" fontId="10" fillId="0" borderId="0" xfId="6" applyNumberFormat="1" applyFont="1" applyFill="1" applyProtection="1">
      <protection locked="0"/>
    </xf>
    <xf numFmtId="0" fontId="10" fillId="2" borderId="0" xfId="0" applyFont="1" applyFill="1"/>
    <xf numFmtId="0" fontId="26" fillId="4" borderId="0" xfId="0" applyFont="1" applyFill="1" applyAlignment="1">
      <alignment horizontal="left"/>
    </xf>
    <xf numFmtId="0" fontId="6" fillId="4" borderId="0" xfId="0" applyFont="1" applyFill="1" applyProtection="1">
      <protection hidden="1"/>
    </xf>
    <xf numFmtId="0" fontId="0" fillId="4" borderId="17" xfId="0" applyFill="1" applyBorder="1"/>
    <xf numFmtId="0" fontId="0" fillId="4" borderId="1" xfId="0" applyFill="1" applyBorder="1"/>
    <xf numFmtId="0" fontId="0" fillId="4" borderId="2" xfId="0" applyFill="1" applyBorder="1"/>
    <xf numFmtId="0" fontId="0" fillId="4" borderId="18" xfId="0" applyFill="1" applyBorder="1"/>
    <xf numFmtId="0" fontId="26" fillId="4" borderId="0" xfId="0" applyFont="1" applyFill="1" applyAlignment="1">
      <alignment horizontal="left" vertical="top"/>
    </xf>
    <xf numFmtId="0" fontId="8" fillId="4" borderId="0" xfId="0" applyFont="1" applyFill="1" applyAlignment="1">
      <alignment wrapText="1"/>
    </xf>
    <xf numFmtId="0" fontId="10" fillId="4" borderId="0" xfId="0" applyFont="1" applyFill="1" applyAlignment="1">
      <alignment horizontal="left" vertical="center" wrapText="1"/>
    </xf>
    <xf numFmtId="0" fontId="26" fillId="4" borderId="0" xfId="0" applyFont="1" applyFill="1" applyAlignment="1">
      <alignment wrapText="1"/>
    </xf>
    <xf numFmtId="0" fontId="26" fillId="4" borderId="0" xfId="0" applyFont="1" applyFill="1"/>
    <xf numFmtId="0" fontId="8" fillId="4" borderId="0" xfId="0" applyFont="1" applyFill="1"/>
    <xf numFmtId="182" fontId="6" fillId="4" borderId="0" xfId="0" applyNumberFormat="1" applyFont="1" applyFill="1" applyProtection="1">
      <protection locked="0"/>
    </xf>
    <xf numFmtId="182" fontId="9" fillId="4" borderId="2" xfId="0" applyNumberFormat="1" applyFont="1" applyFill="1" applyBorder="1" applyAlignment="1" applyProtection="1">
      <alignment horizontal="left"/>
      <protection locked="0"/>
    </xf>
    <xf numFmtId="182" fontId="6" fillId="4" borderId="15" xfId="0" applyNumberFormat="1" applyFont="1" applyFill="1" applyBorder="1" applyProtection="1">
      <protection locked="0"/>
    </xf>
    <xf numFmtId="0" fontId="10" fillId="4" borderId="0" xfId="0" applyFont="1" applyFill="1" applyAlignment="1">
      <alignment horizontal="left"/>
    </xf>
    <xf numFmtId="0" fontId="12" fillId="4" borderId="19" xfId="0" applyFont="1" applyFill="1" applyBorder="1" applyAlignment="1">
      <alignment horizontal="right"/>
    </xf>
    <xf numFmtId="0" fontId="23" fillId="4" borderId="1" xfId="0" applyFont="1" applyFill="1" applyBorder="1" applyAlignment="1">
      <alignment horizontal="right"/>
    </xf>
    <xf numFmtId="182" fontId="12"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0" fontId="23" fillId="4" borderId="18" xfId="0" applyFont="1" applyFill="1" applyBorder="1" applyAlignment="1">
      <alignment horizontal="right"/>
    </xf>
    <xf numFmtId="0" fontId="13" fillId="4" borderId="16" xfId="0" applyFont="1" applyFill="1" applyBorder="1" applyAlignment="1" applyProtection="1">
      <alignment horizontal="right"/>
      <protection locked="0"/>
    </xf>
    <xf numFmtId="182" fontId="9" fillId="3" borderId="20" xfId="0" applyNumberFormat="1" applyFont="1" applyFill="1" applyBorder="1" applyAlignment="1" applyProtection="1">
      <alignment horizontal="left"/>
      <protection locked="0"/>
    </xf>
    <xf numFmtId="185" fontId="12" fillId="4" borderId="0" xfId="0" applyNumberFormat="1" applyFont="1" applyFill="1" applyProtection="1">
      <protection locked="0"/>
    </xf>
    <xf numFmtId="0" fontId="7" fillId="0" borderId="15" xfId="0" applyFont="1" applyBorder="1"/>
    <xf numFmtId="0" fontId="0" fillId="4" borderId="15" xfId="0" applyFill="1" applyBorder="1"/>
    <xf numFmtId="0" fontId="0" fillId="4" borderId="16" xfId="0" applyFill="1" applyBorder="1"/>
    <xf numFmtId="0" fontId="9" fillId="4" borderId="0" xfId="0" applyFont="1" applyFill="1"/>
    <xf numFmtId="0" fontId="12" fillId="4" borderId="1" xfId="0" applyFont="1" applyFill="1" applyBorder="1" applyAlignment="1">
      <alignment horizontal="right"/>
    </xf>
    <xf numFmtId="0" fontId="8" fillId="4" borderId="0" xfId="0" applyFont="1" applyFill="1" applyProtection="1">
      <protection hidden="1"/>
    </xf>
    <xf numFmtId="0" fontId="29" fillId="0" borderId="0" xfId="0" applyFont="1" applyProtection="1">
      <protection locked="0"/>
    </xf>
    <xf numFmtId="179" fontId="12" fillId="4" borderId="0" xfId="6" applyNumberFormat="1" applyFont="1" applyFill="1" applyBorder="1" applyProtection="1">
      <protection hidden="1"/>
    </xf>
    <xf numFmtId="0" fontId="9" fillId="4" borderId="2" xfId="0" applyFont="1" applyFill="1" applyBorder="1"/>
    <xf numFmtId="0" fontId="9" fillId="0" borderId="2" xfId="0" applyFont="1" applyBorder="1"/>
    <xf numFmtId="0" fontId="6" fillId="0" borderId="0" xfId="0" applyFont="1" applyAlignment="1">
      <alignment horizontal="right"/>
    </xf>
    <xf numFmtId="0" fontId="6" fillId="0" borderId="0" xfId="0" applyFont="1" applyAlignment="1" applyProtection="1">
      <alignment horizontal="center"/>
      <protection locked="0"/>
    </xf>
    <xf numFmtId="0" fontId="12" fillId="4" borderId="1" xfId="0" applyFont="1" applyFill="1" applyBorder="1" applyAlignment="1">
      <alignment horizontal="right" vertical="center" wrapText="1"/>
    </xf>
    <xf numFmtId="0" fontId="23" fillId="4" borderId="1" xfId="0" applyFont="1" applyFill="1" applyBorder="1" applyAlignment="1">
      <alignment horizontal="right" vertical="center" wrapText="1"/>
    </xf>
    <xf numFmtId="0" fontId="23" fillId="4" borderId="1" xfId="0" applyFont="1" applyFill="1" applyBorder="1" applyAlignment="1">
      <alignment horizontal="right" vertical="center"/>
    </xf>
    <xf numFmtId="0" fontId="9" fillId="0" borderId="2" xfId="0" applyFont="1" applyBorder="1" applyAlignment="1">
      <alignment vertical="center"/>
    </xf>
    <xf numFmtId="0" fontId="13" fillId="4" borderId="2" xfId="0" applyFont="1" applyFill="1" applyBorder="1" applyAlignment="1" applyProtection="1">
      <alignment horizontal="right"/>
      <protection locked="0"/>
    </xf>
    <xf numFmtId="0" fontId="0" fillId="0" borderId="0" xfId="0" applyAlignment="1">
      <alignment horizontal="left" indent="1"/>
    </xf>
    <xf numFmtId="0" fontId="0" fillId="0" borderId="0" xfId="0" applyAlignment="1" applyProtection="1">
      <alignment horizontal="left" indent="1"/>
      <protection hidden="1"/>
    </xf>
    <xf numFmtId="2" fontId="0" fillId="0" borderId="0" xfId="0" applyNumberFormat="1"/>
    <xf numFmtId="0" fontId="0" fillId="4" borderId="1" xfId="0" quotePrefix="1" applyFill="1" applyBorder="1"/>
    <xf numFmtId="0" fontId="0" fillId="4" borderId="18" xfId="0" quotePrefix="1" applyFill="1" applyBorder="1"/>
    <xf numFmtId="0" fontId="8" fillId="4" borderId="15" xfId="0" applyFont="1" applyFill="1" applyBorder="1"/>
    <xf numFmtId="0" fontId="12" fillId="4" borderId="0" xfId="0" applyFont="1" applyFill="1" applyProtection="1">
      <protection locked="0"/>
    </xf>
    <xf numFmtId="0" fontId="12" fillId="4" borderId="0" xfId="0" applyFont="1" applyFill="1"/>
    <xf numFmtId="0" fontId="9" fillId="4" borderId="21" xfId="0" applyFont="1" applyFill="1" applyBorder="1"/>
    <xf numFmtId="0" fontId="0" fillId="0" borderId="21" xfId="0" applyBorder="1"/>
    <xf numFmtId="0" fontId="13" fillId="4" borderId="16" xfId="0" applyFont="1" applyFill="1" applyBorder="1" applyAlignment="1" applyProtection="1">
      <alignment horizontal="right"/>
      <protection hidden="1"/>
    </xf>
    <xf numFmtId="0" fontId="0" fillId="4" borderId="0" xfId="0" applyFill="1" applyAlignment="1">
      <alignment vertical="top"/>
    </xf>
    <xf numFmtId="0" fontId="0" fillId="4" borderId="1" xfId="0" applyFill="1" applyBorder="1" applyAlignment="1">
      <alignment vertical="top"/>
    </xf>
    <xf numFmtId="0" fontId="0" fillId="4" borderId="0" xfId="0" applyFill="1" applyAlignment="1">
      <alignment wrapText="1"/>
    </xf>
    <xf numFmtId="0" fontId="0" fillId="4" borderId="15" xfId="0" applyFill="1" applyBorder="1" applyProtection="1">
      <protection locked="0"/>
    </xf>
    <xf numFmtId="0" fontId="12" fillId="4" borderId="18" xfId="0" applyFont="1" applyFill="1" applyBorder="1" applyAlignment="1">
      <alignment horizontal="right"/>
    </xf>
    <xf numFmtId="0" fontId="12" fillId="4" borderId="1" xfId="0" applyFont="1" applyFill="1" applyBorder="1" applyAlignment="1">
      <alignment horizontal="right" vertical="top" wrapText="1"/>
    </xf>
    <xf numFmtId="0" fontId="12" fillId="4" borderId="0" xfId="0" applyFont="1" applyFill="1" applyAlignment="1" applyProtection="1">
      <alignment horizontal="right" vertical="top"/>
      <protection locked="0"/>
    </xf>
    <xf numFmtId="0" fontId="35" fillId="4" borderId="2" xfId="0" applyFont="1" applyFill="1" applyBorder="1" applyAlignment="1">
      <alignment vertical="top"/>
    </xf>
    <xf numFmtId="0" fontId="0" fillId="2" borderId="0" xfId="0" applyFill="1"/>
    <xf numFmtId="0" fontId="10" fillId="4" borderId="0" xfId="0" applyFont="1" applyFill="1"/>
    <xf numFmtId="0" fontId="15" fillId="4" borderId="0" xfId="0" applyFont="1" applyFill="1"/>
    <xf numFmtId="183" fontId="0" fillId="4" borderId="0" xfId="0" applyNumberFormat="1" applyFill="1"/>
    <xf numFmtId="0" fontId="0" fillId="4" borderId="22" xfId="0" applyFill="1" applyBorder="1"/>
    <xf numFmtId="0" fontId="15" fillId="4" borderId="22" xfId="0" applyFont="1" applyFill="1" applyBorder="1"/>
    <xf numFmtId="0" fontId="10" fillId="4" borderId="1" xfId="0" applyFont="1" applyFill="1" applyBorder="1"/>
    <xf numFmtId="0" fontId="6" fillId="4" borderId="0" xfId="0" applyFont="1" applyFill="1"/>
    <xf numFmtId="9" fontId="0" fillId="2" borderId="0" xfId="27" applyFont="1" applyFill="1"/>
    <xf numFmtId="0" fontId="7" fillId="0" borderId="25" xfId="0" applyFont="1" applyBorder="1"/>
    <xf numFmtId="183" fontId="8" fillId="0" borderId="0" xfId="8" applyNumberFormat="1" applyFont="1" applyBorder="1"/>
    <xf numFmtId="0" fontId="23" fillId="4" borderId="0" xfId="0" applyFont="1" applyFill="1" applyAlignment="1">
      <alignment vertical="center"/>
    </xf>
    <xf numFmtId="0" fontId="23" fillId="4" borderId="0" xfId="0" applyFont="1" applyFill="1"/>
    <xf numFmtId="0" fontId="23" fillId="4" borderId="0" xfId="0" applyFont="1" applyFill="1" applyAlignment="1" applyProtection="1">
      <alignment horizontal="left"/>
      <protection hidden="1"/>
    </xf>
    <xf numFmtId="0" fontId="10" fillId="4" borderId="0" xfId="0" applyFont="1" applyFill="1" applyAlignment="1" applyProtection="1">
      <alignment horizontal="left"/>
      <protection hidden="1"/>
    </xf>
    <xf numFmtId="183" fontId="10" fillId="4" borderId="0" xfId="8" applyNumberFormat="1" applyFont="1" applyFill="1" applyAlignment="1">
      <alignment horizontal="left"/>
    </xf>
    <xf numFmtId="0" fontId="23" fillId="4" borderId="0" xfId="0" applyFont="1" applyFill="1" applyAlignment="1">
      <alignment horizontal="left"/>
    </xf>
    <xf numFmtId="0" fontId="8" fillId="4" borderId="0" xfId="0" applyFont="1" applyFill="1" applyAlignment="1">
      <alignment horizontal="left"/>
    </xf>
    <xf numFmtId="0" fontId="10" fillId="4" borderId="0" xfId="0" applyFont="1" applyFill="1" applyAlignment="1" applyProtection="1">
      <alignment horizontal="left"/>
      <protection locked="0"/>
    </xf>
    <xf numFmtId="0" fontId="9" fillId="4" borderId="0" xfId="0" applyFont="1" applyFill="1" applyAlignment="1">
      <alignment horizontal="left"/>
    </xf>
    <xf numFmtId="0" fontId="23" fillId="4" borderId="0" xfId="0" applyFont="1" applyFill="1" applyAlignment="1">
      <alignment horizontal="left" vertical="top"/>
    </xf>
    <xf numFmtId="0" fontId="10" fillId="4" borderId="0" xfId="0" applyFont="1" applyFill="1" applyAlignment="1">
      <alignment horizontal="left" vertical="top"/>
    </xf>
    <xf numFmtId="0" fontId="6" fillId="0" borderId="15" xfId="0" applyFont="1" applyBorder="1"/>
    <xf numFmtId="0" fontId="6" fillId="0" borderId="15" xfId="0" applyFont="1" applyBorder="1" applyAlignment="1">
      <alignment horizontal="right"/>
    </xf>
    <xf numFmtId="188" fontId="10" fillId="2" borderId="0" xfId="0" applyNumberFormat="1" applyFont="1" applyFill="1"/>
    <xf numFmtId="2" fontId="10" fillId="2" borderId="0" xfId="0" applyNumberFormat="1" applyFont="1" applyFill="1" applyProtection="1">
      <protection hidden="1"/>
    </xf>
    <xf numFmtId="9" fontId="10" fillId="2" borderId="0" xfId="0" applyNumberFormat="1" applyFont="1" applyFill="1"/>
    <xf numFmtId="180" fontId="0" fillId="2" borderId="0" xfId="6" applyNumberFormat="1" applyFont="1" applyFill="1"/>
    <xf numFmtId="0" fontId="22" fillId="0" borderId="0" xfId="0" applyFont="1" applyAlignment="1">
      <alignment horizontal="left"/>
    </xf>
    <xf numFmtId="0" fontId="0" fillId="5" borderId="0" xfId="0" applyFill="1" applyProtection="1">
      <protection hidden="1"/>
    </xf>
    <xf numFmtId="0" fontId="12" fillId="0" borderId="0" xfId="0" applyFont="1" applyAlignment="1">
      <alignment horizontal="right"/>
    </xf>
    <xf numFmtId="9" fontId="8" fillId="0" borderId="0" xfId="0" applyNumberFormat="1" applyFont="1"/>
    <xf numFmtId="0" fontId="39" fillId="4" borderId="0" xfId="0" applyFont="1" applyFill="1"/>
    <xf numFmtId="0" fontId="0" fillId="5" borderId="0" xfId="0" applyFill="1" applyAlignment="1" applyProtection="1">
      <alignment horizontal="right"/>
      <protection hidden="1"/>
    </xf>
    <xf numFmtId="0" fontId="0" fillId="5" borderId="2" xfId="0" applyFill="1" applyBorder="1" applyAlignment="1" applyProtection="1">
      <alignment horizontal="right"/>
      <protection hidden="1"/>
    </xf>
    <xf numFmtId="0" fontId="10" fillId="0" borderId="24" xfId="0" applyFont="1" applyBorder="1" applyProtection="1">
      <protection hidden="1"/>
    </xf>
    <xf numFmtId="184" fontId="41" fillId="4" borderId="0" xfId="0" applyNumberFormat="1" applyFont="1" applyFill="1" applyProtection="1">
      <protection hidden="1"/>
    </xf>
    <xf numFmtId="0" fontId="41" fillId="4" borderId="15" xfId="0" applyFont="1" applyFill="1" applyBorder="1"/>
    <xf numFmtId="0" fontId="23" fillId="4" borderId="15" xfId="0" applyFont="1" applyFill="1" applyBorder="1"/>
    <xf numFmtId="0" fontId="41" fillId="4" borderId="0" xfId="0" applyFont="1" applyFill="1"/>
    <xf numFmtId="0" fontId="42" fillId="4" borderId="17" xfId="0" applyFont="1" applyFill="1" applyBorder="1"/>
    <xf numFmtId="0" fontId="0" fillId="4" borderId="0" xfId="0" applyFill="1" applyProtection="1">
      <protection hidden="1"/>
    </xf>
    <xf numFmtId="0" fontId="6" fillId="6" borderId="1" xfId="0" quotePrefix="1" applyFont="1" applyFill="1" applyBorder="1" applyAlignment="1">
      <alignment horizontal="left"/>
    </xf>
    <xf numFmtId="0" fontId="19" fillId="6" borderId="0" xfId="0" applyFont="1" applyFill="1"/>
    <xf numFmtId="0" fontId="6" fillId="6" borderId="2" xfId="0" applyFont="1" applyFill="1" applyBorder="1"/>
    <xf numFmtId="0" fontId="6" fillId="6" borderId="1" xfId="0" quotePrefix="1" applyFont="1" applyFill="1" applyBorder="1"/>
    <xf numFmtId="180" fontId="6" fillId="6" borderId="0" xfId="6" applyNumberFormat="1" applyFont="1" applyFill="1" applyBorder="1" applyProtection="1">
      <protection hidden="1"/>
    </xf>
    <xf numFmtId="0" fontId="6" fillId="6" borderId="2" xfId="0" applyFont="1" applyFill="1" applyBorder="1" applyProtection="1">
      <protection hidden="1"/>
    </xf>
    <xf numFmtId="180" fontId="0" fillId="5" borderId="0" xfId="6" applyNumberFormat="1" applyFont="1" applyFill="1" applyBorder="1" applyProtection="1">
      <protection hidden="1"/>
    </xf>
    <xf numFmtId="0" fontId="0" fillId="5" borderId="0" xfId="0" applyFill="1"/>
    <xf numFmtId="0" fontId="0" fillId="5" borderId="2" xfId="0" applyFill="1" applyBorder="1" applyProtection="1">
      <protection hidden="1"/>
    </xf>
    <xf numFmtId="49" fontId="0" fillId="5" borderId="1" xfId="0" applyNumberFormat="1" applyFill="1" applyBorder="1"/>
    <xf numFmtId="183" fontId="0" fillId="5" borderId="0" xfId="8" applyNumberFormat="1" applyFont="1" applyFill="1" applyBorder="1" applyProtection="1">
      <protection hidden="1"/>
    </xf>
    <xf numFmtId="183" fontId="0" fillId="5" borderId="0" xfId="0" applyNumberFormat="1" applyFill="1" applyAlignment="1" applyProtection="1">
      <alignment horizontal="right"/>
      <protection hidden="1"/>
    </xf>
    <xf numFmtId="0" fontId="0" fillId="5" borderId="2" xfId="0" applyFill="1" applyBorder="1"/>
    <xf numFmtId="0" fontId="6" fillId="6" borderId="1" xfId="0" quotePrefix="1" applyFont="1" applyFill="1" applyBorder="1" applyProtection="1">
      <protection hidden="1"/>
    </xf>
    <xf numFmtId="0" fontId="0" fillId="6" borderId="0" xfId="0" applyFill="1" applyProtection="1">
      <protection hidden="1"/>
    </xf>
    <xf numFmtId="0" fontId="0" fillId="6" borderId="0" xfId="0" applyFill="1"/>
    <xf numFmtId="0" fontId="0" fillId="6" borderId="2" xfId="0" applyFill="1" applyBorder="1"/>
    <xf numFmtId="0" fontId="6" fillId="6" borderId="0" xfId="0" applyFont="1" applyFill="1" applyAlignment="1" applyProtection="1">
      <alignment horizontal="right"/>
      <protection hidden="1"/>
    </xf>
    <xf numFmtId="178" fontId="0" fillId="5" borderId="0" xfId="8" applyFont="1" applyFill="1" applyBorder="1" applyProtection="1">
      <protection hidden="1"/>
    </xf>
    <xf numFmtId="1" fontId="0" fillId="5" borderId="0" xfId="0" applyNumberFormat="1" applyFill="1" applyAlignment="1" applyProtection="1">
      <alignment horizontal="right"/>
      <protection hidden="1"/>
    </xf>
    <xf numFmtId="1" fontId="0" fillId="5" borderId="2" xfId="0" applyNumberFormat="1" applyFill="1" applyBorder="1" applyAlignment="1" applyProtection="1">
      <alignment horizontal="right"/>
      <protection hidden="1"/>
    </xf>
    <xf numFmtId="0" fontId="6" fillId="6" borderId="0" xfId="0" quotePrefix="1" applyFont="1" applyFill="1"/>
    <xf numFmtId="0" fontId="15" fillId="4" borderId="0" xfId="0" applyFont="1" applyFill="1" applyProtection="1">
      <protection hidden="1"/>
    </xf>
    <xf numFmtId="180" fontId="0" fillId="4" borderId="0" xfId="6" applyNumberFormat="1" applyFont="1" applyFill="1" applyBorder="1" applyProtection="1">
      <protection hidden="1"/>
    </xf>
    <xf numFmtId="178" fontId="0" fillId="4" borderId="0" xfId="8" applyFont="1" applyFill="1" applyBorder="1" applyProtection="1">
      <protection hidden="1"/>
    </xf>
    <xf numFmtId="183" fontId="0" fillId="4" borderId="0" xfId="0" applyNumberFormat="1" applyFill="1" applyProtection="1">
      <protection hidden="1"/>
    </xf>
    <xf numFmtId="0" fontId="0" fillId="4" borderId="2" xfId="0" applyFill="1" applyBorder="1" applyProtection="1">
      <protection hidden="1"/>
    </xf>
    <xf numFmtId="0" fontId="16" fillId="4" borderId="0" xfId="0" applyFont="1" applyFill="1"/>
    <xf numFmtId="183" fontId="0" fillId="4" borderId="22" xfId="0" applyNumberFormat="1" applyFill="1" applyBorder="1"/>
    <xf numFmtId="0" fontId="0" fillId="4" borderId="15" xfId="0" applyFill="1" applyBorder="1" applyAlignment="1">
      <alignment wrapText="1"/>
    </xf>
    <xf numFmtId="0" fontId="0" fillId="4" borderId="16" xfId="0" applyFill="1" applyBorder="1" applyAlignment="1">
      <alignment wrapText="1"/>
    </xf>
    <xf numFmtId="0" fontId="0" fillId="0" borderId="22" xfId="0" applyBorder="1"/>
    <xf numFmtId="0" fontId="0" fillId="4" borderId="23" xfId="0" applyFill="1" applyBorder="1"/>
    <xf numFmtId="183" fontId="15" fillId="4" borderId="15" xfId="0" applyNumberFormat="1" applyFont="1" applyFill="1" applyBorder="1" applyProtection="1">
      <protection hidden="1"/>
    </xf>
    <xf numFmtId="183" fontId="0" fillId="4" borderId="15" xfId="0" applyNumberFormat="1" applyFill="1" applyBorder="1"/>
    <xf numFmtId="185" fontId="0" fillId="2" borderId="0" xfId="0" applyNumberFormat="1" applyFill="1" applyProtection="1">
      <protection locked="0"/>
    </xf>
    <xf numFmtId="9" fontId="0" fillId="4" borderId="22" xfId="27" applyFont="1" applyFill="1" applyBorder="1" applyProtection="1">
      <protection locked="0"/>
    </xf>
    <xf numFmtId="0" fontId="16" fillId="4" borderId="22" xfId="0" applyFont="1" applyFill="1" applyBorder="1"/>
    <xf numFmtId="0" fontId="10" fillId="4" borderId="22" xfId="0" applyFont="1" applyFill="1" applyBorder="1"/>
    <xf numFmtId="0" fontId="10" fillId="4" borderId="0" xfId="0" applyFont="1" applyFill="1" applyAlignment="1">
      <alignment horizontal="right"/>
    </xf>
    <xf numFmtId="183" fontId="0" fillId="4" borderId="0" xfId="8" applyNumberFormat="1" applyFont="1" applyFill="1" applyProtection="1">
      <protection locked="0"/>
    </xf>
    <xf numFmtId="0" fontId="15" fillId="5" borderId="0" xfId="0" applyFont="1" applyFill="1"/>
    <xf numFmtId="0" fontId="19" fillId="4" borderId="22" xfId="0" applyFont="1" applyFill="1" applyBorder="1"/>
    <xf numFmtId="0" fontId="18" fillId="8" borderId="0" xfId="0" applyFont="1" applyFill="1"/>
    <xf numFmtId="0" fontId="10" fillId="7" borderId="0" xfId="0" applyFont="1" applyFill="1"/>
    <xf numFmtId="0" fontId="0" fillId="0" borderId="0" xfId="0" applyAlignment="1" applyProtection="1">
      <alignment horizontal="right"/>
      <protection hidden="1"/>
    </xf>
    <xf numFmtId="0" fontId="0" fillId="5" borderId="0" xfId="0" applyFill="1" applyAlignment="1">
      <alignment horizontal="right"/>
    </xf>
    <xf numFmtId="0" fontId="15" fillId="0" borderId="0" xfId="0" applyFont="1"/>
    <xf numFmtId="179" fontId="0" fillId="0" borderId="0" xfId="6" applyNumberFormat="1" applyFont="1" applyProtection="1">
      <protection hidden="1"/>
    </xf>
    <xf numFmtId="0" fontId="0" fillId="0" borderId="28" xfId="0" applyBorder="1" applyProtection="1">
      <protection hidden="1"/>
    </xf>
    <xf numFmtId="0" fontId="17" fillId="4" borderId="0" xfId="10" applyFill="1" applyAlignment="1" applyProtection="1"/>
    <xf numFmtId="0" fontId="0" fillId="4" borderId="31" xfId="0" applyFill="1" applyBorder="1"/>
    <xf numFmtId="0" fontId="23" fillId="4" borderId="1" xfId="0" applyFont="1" applyFill="1" applyBorder="1" applyAlignment="1" applyProtection="1">
      <alignment horizontal="left" vertical="center" wrapText="1"/>
      <protection hidden="1"/>
    </xf>
    <xf numFmtId="0" fontId="23" fillId="4" borderId="0" xfId="0" applyFont="1" applyFill="1" applyAlignment="1" applyProtection="1">
      <alignment horizontal="left" vertical="center" wrapText="1"/>
      <protection hidden="1"/>
    </xf>
    <xf numFmtId="185" fontId="0" fillId="2" borderId="0" xfId="6" applyNumberFormat="1" applyFont="1" applyFill="1"/>
    <xf numFmtId="0" fontId="0" fillId="4" borderId="0" xfId="0" applyFill="1" applyAlignment="1">
      <alignment horizontal="left"/>
    </xf>
    <xf numFmtId="0" fontId="6" fillId="4" borderId="0" xfId="0" applyFont="1" applyFill="1" applyAlignment="1">
      <alignment horizontal="left" wrapText="1"/>
    </xf>
    <xf numFmtId="0" fontId="6" fillId="0" borderId="32" xfId="0" applyFont="1" applyBorder="1"/>
    <xf numFmtId="0" fontId="8" fillId="0" borderId="33" xfId="0" applyFont="1" applyBorder="1"/>
    <xf numFmtId="182" fontId="6" fillId="3" borderId="33" xfId="0" applyNumberFormat="1" applyFont="1" applyFill="1" applyBorder="1" applyProtection="1">
      <protection locked="0"/>
    </xf>
    <xf numFmtId="0" fontId="6" fillId="0" borderId="34" xfId="0" applyFont="1" applyBorder="1"/>
    <xf numFmtId="0" fontId="8" fillId="0" borderId="6" xfId="0" applyFont="1" applyBorder="1"/>
    <xf numFmtId="182" fontId="6" fillId="3" borderId="6" xfId="0" applyNumberFormat="1" applyFont="1" applyFill="1" applyBorder="1" applyProtection="1">
      <protection locked="0"/>
    </xf>
    <xf numFmtId="182" fontId="9" fillId="3" borderId="35" xfId="0" applyNumberFormat="1" applyFont="1" applyFill="1" applyBorder="1" applyAlignment="1" applyProtection="1">
      <alignment horizontal="left"/>
      <protection locked="0"/>
    </xf>
    <xf numFmtId="0" fontId="6" fillId="0" borderId="32" xfId="0" applyFont="1" applyBorder="1" applyAlignment="1" applyProtection="1">
      <alignment vertical="center"/>
      <protection hidden="1"/>
    </xf>
    <xf numFmtId="0" fontId="8" fillId="0" borderId="33" xfId="0" applyFont="1" applyBorder="1" applyProtection="1">
      <protection hidden="1"/>
    </xf>
    <xf numFmtId="0" fontId="9" fillId="0" borderId="36" xfId="0" applyFont="1" applyBorder="1" applyAlignment="1" applyProtection="1">
      <alignment vertical="center" wrapText="1"/>
      <protection hidden="1"/>
    </xf>
    <xf numFmtId="0" fontId="6" fillId="0" borderId="34" xfId="0" applyFont="1" applyBorder="1" applyProtection="1">
      <protection hidden="1"/>
    </xf>
    <xf numFmtId="0" fontId="8" fillId="0" borderId="6" xfId="0" applyFont="1" applyBorder="1" applyProtection="1">
      <protection hidden="1"/>
    </xf>
    <xf numFmtId="0" fontId="21" fillId="3" borderId="6" xfId="0" applyFont="1" applyFill="1" applyBorder="1" applyProtection="1">
      <protection locked="0"/>
    </xf>
    <xf numFmtId="0" fontId="9" fillId="0" borderId="20" xfId="0" applyFont="1" applyBorder="1" applyProtection="1">
      <protection hidden="1"/>
    </xf>
    <xf numFmtId="0" fontId="8" fillId="4" borderId="31" xfId="0" applyFont="1" applyFill="1" applyBorder="1" applyProtection="1">
      <protection hidden="1"/>
    </xf>
    <xf numFmtId="0" fontId="0" fillId="4" borderId="21" xfId="0" applyFill="1" applyBorder="1"/>
    <xf numFmtId="0" fontId="35" fillId="4" borderId="2" xfId="0" applyFont="1" applyFill="1" applyBorder="1" applyProtection="1">
      <protection hidden="1"/>
    </xf>
    <xf numFmtId="0" fontId="6" fillId="3" borderId="33" xfId="0" applyFont="1" applyFill="1" applyBorder="1" applyAlignment="1">
      <alignment horizontal="right" vertical="center" wrapText="1"/>
    </xf>
    <xf numFmtId="0" fontId="23" fillId="4" borderId="0" xfId="0" applyFont="1" applyFill="1" applyAlignment="1">
      <alignment horizontal="right"/>
    </xf>
    <xf numFmtId="0" fontId="13" fillId="0" borderId="2" xfId="0" applyFont="1" applyBorder="1" applyAlignment="1">
      <alignment horizontal="right"/>
    </xf>
    <xf numFmtId="0" fontId="9" fillId="0" borderId="37" xfId="0" applyFont="1" applyBorder="1" applyAlignment="1">
      <alignment vertical="center" wrapText="1"/>
    </xf>
    <xf numFmtId="0" fontId="6" fillId="4" borderId="38" xfId="0" applyFont="1" applyFill="1" applyBorder="1" applyAlignment="1">
      <alignment vertical="center" wrapText="1"/>
    </xf>
    <xf numFmtId="0" fontId="8" fillId="0" borderId="28" xfId="0" applyFont="1" applyBorder="1" applyAlignment="1">
      <alignment vertical="center"/>
    </xf>
    <xf numFmtId="0" fontId="6" fillId="3" borderId="0" xfId="0" applyFont="1" applyFill="1" applyAlignment="1">
      <alignment vertical="center"/>
    </xf>
    <xf numFmtId="0" fontId="23" fillId="4" borderId="0" xfId="0" applyFont="1" applyFill="1" applyAlignment="1">
      <alignment horizontal="left" vertical="center"/>
    </xf>
    <xf numFmtId="0" fontId="6" fillId="0" borderId="34" xfId="0" applyFont="1" applyBorder="1" applyAlignment="1" applyProtection="1">
      <alignment vertical="center" wrapText="1"/>
      <protection hidden="1"/>
    </xf>
    <xf numFmtId="0" fontId="21" fillId="3" borderId="6" xfId="0" applyFont="1" applyFill="1" applyBorder="1" applyAlignment="1" applyProtection="1">
      <alignment vertical="center"/>
      <protection locked="0"/>
    </xf>
    <xf numFmtId="0" fontId="9" fillId="0" borderId="20" xfId="0" applyFont="1" applyBorder="1" applyAlignment="1" applyProtection="1">
      <alignment vertical="center"/>
      <protection hidden="1"/>
    </xf>
    <xf numFmtId="0" fontId="0" fillId="4" borderId="0" xfId="0" quotePrefix="1" applyFill="1"/>
    <xf numFmtId="0" fontId="0" fillId="4" borderId="0" xfId="0" applyFill="1" applyProtection="1">
      <protection locked="0"/>
    </xf>
    <xf numFmtId="0" fontId="6" fillId="0" borderId="34" xfId="0" applyFont="1" applyBorder="1" applyAlignment="1">
      <alignment horizontal="right"/>
    </xf>
    <xf numFmtId="0" fontId="6" fillId="0" borderId="34" xfId="0" applyFont="1" applyBorder="1" applyAlignment="1">
      <alignment horizontal="right" vertical="center"/>
    </xf>
    <xf numFmtId="0" fontId="6" fillId="3" borderId="39" xfId="0" applyFont="1" applyFill="1" applyBorder="1" applyAlignment="1" applyProtection="1">
      <alignment horizontal="right" vertical="center"/>
      <protection locked="0"/>
    </xf>
    <xf numFmtId="0" fontId="6" fillId="0" borderId="34" xfId="0" quotePrefix="1" applyFont="1" applyBorder="1" applyAlignment="1">
      <alignment horizontal="right"/>
    </xf>
    <xf numFmtId="0" fontId="6" fillId="3" borderId="39" xfId="0" applyFont="1" applyFill="1" applyBorder="1" applyProtection="1">
      <protection locked="0"/>
    </xf>
    <xf numFmtId="0" fontId="6" fillId="3" borderId="6" xfId="27" applyNumberFormat="1" applyFont="1" applyFill="1" applyBorder="1" applyProtection="1">
      <protection locked="0"/>
    </xf>
    <xf numFmtId="3" fontId="21" fillId="4" borderId="31" xfId="6" applyNumberFormat="1" applyFont="1" applyFill="1" applyBorder="1" applyProtection="1">
      <protection locked="0"/>
    </xf>
    <xf numFmtId="0" fontId="9" fillId="4" borderId="21" xfId="0" applyFont="1" applyFill="1" applyBorder="1" applyProtection="1">
      <protection hidden="1"/>
    </xf>
    <xf numFmtId="0" fontId="6" fillId="3" borderId="6" xfId="0" applyFont="1" applyFill="1" applyBorder="1" applyAlignment="1">
      <alignment horizontal="right"/>
    </xf>
    <xf numFmtId="0" fontId="9" fillId="0" borderId="20" xfId="0" applyFont="1" applyBorder="1"/>
    <xf numFmtId="0" fontId="21" fillId="3" borderId="6" xfId="0" applyFont="1" applyFill="1" applyBorder="1" applyAlignment="1" applyProtection="1">
      <alignment horizontal="right"/>
      <protection locked="0"/>
    </xf>
    <xf numFmtId="0" fontId="6" fillId="0" borderId="32" xfId="0" applyFont="1" applyBorder="1" applyAlignment="1">
      <alignment vertical="center"/>
    </xf>
    <xf numFmtId="0" fontId="8" fillId="0" borderId="33" xfId="0" applyFont="1" applyBorder="1" applyAlignment="1">
      <alignment vertical="center"/>
    </xf>
    <xf numFmtId="0" fontId="6" fillId="3" borderId="33" xfId="0" applyFont="1" applyFill="1" applyBorder="1" applyAlignment="1" applyProtection="1">
      <alignment vertical="center"/>
      <protection locked="0"/>
    </xf>
    <xf numFmtId="0" fontId="9" fillId="0" borderId="36" xfId="0" applyFont="1" applyBorder="1" applyAlignment="1">
      <alignment vertical="center"/>
    </xf>
    <xf numFmtId="0" fontId="6" fillId="2" borderId="6" xfId="0" applyFont="1" applyFill="1" applyBorder="1" applyProtection="1">
      <protection locked="0"/>
    </xf>
    <xf numFmtId="0" fontId="6" fillId="2" borderId="6" xfId="0" applyFont="1" applyFill="1" applyBorder="1" applyAlignment="1" applyProtection="1">
      <alignment horizontal="right" vertical="center" wrapText="1"/>
      <protection locked="0"/>
    </xf>
    <xf numFmtId="0" fontId="9" fillId="0" borderId="20" xfId="0" applyFont="1" applyBorder="1" applyAlignment="1">
      <alignment vertical="center"/>
    </xf>
    <xf numFmtId="0" fontId="6" fillId="2" borderId="6" xfId="0" applyFont="1" applyFill="1" applyBorder="1" applyAlignment="1">
      <alignment horizontal="right"/>
    </xf>
    <xf numFmtId="0" fontId="0" fillId="4" borderId="0" xfId="0" applyFill="1" applyAlignment="1">
      <alignment vertical="center"/>
    </xf>
    <xf numFmtId="0" fontId="6" fillId="2" borderId="33" xfId="0" applyFont="1" applyFill="1" applyBorder="1" applyAlignment="1" applyProtection="1">
      <alignment vertical="center"/>
      <protection locked="0"/>
    </xf>
    <xf numFmtId="0" fontId="13" fillId="4" borderId="16" xfId="0" applyFont="1" applyFill="1" applyBorder="1" applyAlignment="1">
      <alignment horizontal="right" vertical="center"/>
    </xf>
    <xf numFmtId="0" fontId="36" fillId="4" borderId="17" xfId="0" applyFont="1" applyFill="1" applyBorder="1"/>
    <xf numFmtId="0" fontId="6" fillId="4" borderId="22" xfId="0" applyFont="1" applyFill="1" applyBorder="1" applyAlignment="1">
      <alignment wrapText="1"/>
    </xf>
    <xf numFmtId="183" fontId="0" fillId="0" borderId="30" xfId="0" applyNumberFormat="1" applyBorder="1"/>
    <xf numFmtId="0" fontId="10" fillId="0" borderId="27" xfId="0" applyFont="1" applyBorder="1" applyProtection="1">
      <protection hidden="1"/>
    </xf>
    <xf numFmtId="183" fontId="0" fillId="0" borderId="41" xfId="0" applyNumberFormat="1" applyBorder="1"/>
    <xf numFmtId="0" fontId="6" fillId="4" borderId="22" xfId="0" applyFont="1" applyFill="1" applyBorder="1"/>
    <xf numFmtId="0" fontId="6" fillId="0" borderId="31" xfId="0" applyFont="1" applyBorder="1"/>
    <xf numFmtId="0" fontId="6" fillId="0" borderId="30" xfId="0" applyFont="1" applyBorder="1" applyAlignment="1">
      <alignment horizontal="center"/>
    </xf>
    <xf numFmtId="0" fontId="6" fillId="6" borderId="26" xfId="0" quotePrefix="1" applyFont="1" applyFill="1" applyBorder="1"/>
    <xf numFmtId="0" fontId="6" fillId="6" borderId="25" xfId="0" quotePrefix="1" applyFont="1" applyFill="1" applyBorder="1"/>
    <xf numFmtId="0" fontId="6" fillId="5" borderId="0" xfId="0" applyFont="1" applyFill="1" applyProtection="1">
      <protection hidden="1"/>
    </xf>
    <xf numFmtId="0" fontId="6" fillId="5" borderId="0" xfId="0" applyFont="1" applyFill="1"/>
    <xf numFmtId="0" fontId="6" fillId="5" borderId="2" xfId="0" applyFont="1" applyFill="1" applyBorder="1" applyProtection="1">
      <protection hidden="1"/>
    </xf>
    <xf numFmtId="0" fontId="45" fillId="0" borderId="0" xfId="0" applyFont="1"/>
    <xf numFmtId="0" fontId="0" fillId="4" borderId="45" xfId="0" applyFill="1" applyBorder="1" applyAlignment="1">
      <alignment horizontal="center"/>
    </xf>
    <xf numFmtId="0" fontId="10" fillId="4" borderId="45" xfId="0" applyFont="1" applyFill="1" applyBorder="1" applyAlignment="1">
      <alignment horizontal="center"/>
    </xf>
    <xf numFmtId="2" fontId="12" fillId="4" borderId="0" xfId="0" applyNumberFormat="1" applyFont="1" applyFill="1"/>
    <xf numFmtId="0" fontId="46" fillId="4" borderId="2" xfId="0" applyFont="1" applyFill="1" applyBorder="1"/>
    <xf numFmtId="0" fontId="46" fillId="0" borderId="2" xfId="0" applyFont="1" applyBorder="1" applyAlignment="1">
      <alignment vertical="top"/>
    </xf>
    <xf numFmtId="0" fontId="17" fillId="4" borderId="0" xfId="10" applyFill="1" applyAlignment="1" applyProtection="1">
      <alignment vertical="top"/>
    </xf>
    <xf numFmtId="0" fontId="21" fillId="3" borderId="6" xfId="0" applyFont="1" applyFill="1" applyBorder="1" applyAlignment="1" applyProtection="1">
      <alignment horizontal="right" wrapText="1"/>
      <protection locked="0"/>
    </xf>
    <xf numFmtId="183" fontId="10" fillId="0" borderId="0" xfId="8" applyNumberFormat="1" applyFont="1" applyProtection="1">
      <protection hidden="1"/>
    </xf>
    <xf numFmtId="0" fontId="39" fillId="4" borderId="0" xfId="0" applyFont="1" applyFill="1" applyProtection="1">
      <protection locked="0" hidden="1"/>
    </xf>
    <xf numFmtId="180" fontId="6" fillId="0" borderId="0" xfId="6" applyNumberFormat="1" applyFont="1" applyBorder="1" applyProtection="1">
      <protection hidden="1"/>
    </xf>
    <xf numFmtId="180" fontId="6" fillId="0" borderId="0" xfId="6" applyNumberFormat="1" applyFont="1" applyBorder="1" applyAlignment="1" applyProtection="1">
      <alignment horizontal="right"/>
      <protection hidden="1"/>
    </xf>
    <xf numFmtId="183" fontId="6" fillId="0" borderId="0" xfId="8" applyNumberFormat="1" applyFont="1" applyBorder="1" applyProtection="1">
      <protection hidden="1"/>
    </xf>
    <xf numFmtId="183" fontId="6" fillId="0" borderId="0" xfId="0" applyNumberFormat="1" applyFont="1" applyAlignment="1" applyProtection="1">
      <alignment horizontal="right"/>
      <protection hidden="1"/>
    </xf>
    <xf numFmtId="0" fontId="6" fillId="0" borderId="2" xfId="0" applyFont="1" applyBorder="1" applyProtection="1">
      <protection hidden="1"/>
    </xf>
    <xf numFmtId="0" fontId="6" fillId="0" borderId="1" xfId="0" applyFont="1" applyBorder="1"/>
    <xf numFmtId="183" fontId="6" fillId="0" borderId="0" xfId="8" applyNumberFormat="1" applyFont="1" applyBorder="1" applyAlignment="1" applyProtection="1">
      <alignment horizontal="right"/>
      <protection hidden="1"/>
    </xf>
    <xf numFmtId="0" fontId="6" fillId="0" borderId="0" xfId="0" applyFont="1" applyAlignment="1" applyProtection="1">
      <alignment horizontal="right"/>
      <protection hidden="1"/>
    </xf>
    <xf numFmtId="0" fontId="6" fillId="0" borderId="2" xfId="0" applyFont="1" applyBorder="1" applyAlignment="1" applyProtection="1">
      <alignment horizontal="right"/>
      <protection hidden="1"/>
    </xf>
    <xf numFmtId="49" fontId="6" fillId="0" borderId="1" xfId="0" applyNumberFormat="1" applyFont="1" applyBorder="1"/>
    <xf numFmtId="1" fontId="6" fillId="0" borderId="0" xfId="0" applyNumberFormat="1" applyFont="1" applyAlignment="1">
      <alignment horizontal="right"/>
    </xf>
    <xf numFmtId="1" fontId="6" fillId="0" borderId="2" xfId="0" applyNumberFormat="1" applyFont="1" applyBorder="1" applyAlignment="1">
      <alignment horizontal="right"/>
    </xf>
    <xf numFmtId="178" fontId="6" fillId="0" borderId="0" xfId="8" applyFont="1" applyBorder="1" applyProtection="1">
      <protection hidden="1"/>
    </xf>
    <xf numFmtId="0" fontId="6" fillId="0" borderId="0" xfId="0" applyFont="1" applyProtection="1">
      <protection locked="0"/>
    </xf>
    <xf numFmtId="0" fontId="6" fillId="0" borderId="2" xfId="0" applyFont="1" applyBorder="1" applyAlignment="1">
      <alignment horizontal="right"/>
    </xf>
    <xf numFmtId="0" fontId="6" fillId="0" borderId="1" xfId="0" applyFont="1" applyBorder="1" applyProtection="1">
      <protection hidden="1"/>
    </xf>
    <xf numFmtId="183" fontId="6" fillId="0" borderId="0" xfId="8" applyNumberFormat="1" applyFont="1" applyFill="1" applyBorder="1" applyAlignment="1" applyProtection="1">
      <alignment horizontal="right"/>
      <protection hidden="1"/>
    </xf>
    <xf numFmtId="0" fontId="6" fillId="5" borderId="0" xfId="0" applyFont="1" applyFill="1" applyProtection="1">
      <protection locked="0"/>
    </xf>
    <xf numFmtId="0" fontId="6" fillId="0" borderId="2" xfId="0" applyFont="1" applyBorder="1"/>
    <xf numFmtId="0" fontId="6" fillId="0" borderId="0" xfId="6" applyNumberFormat="1" applyFont="1" applyBorder="1" applyProtection="1">
      <protection hidden="1"/>
    </xf>
    <xf numFmtId="178" fontId="6" fillId="0" borderId="0" xfId="8" applyFont="1" applyFill="1" applyBorder="1" applyProtection="1">
      <protection hidden="1"/>
    </xf>
    <xf numFmtId="1" fontId="6" fillId="0" borderId="0" xfId="0" applyNumberFormat="1" applyFont="1" applyAlignment="1" applyProtection="1">
      <alignment horizontal="right"/>
      <protection hidden="1"/>
    </xf>
    <xf numFmtId="1" fontId="6" fillId="0" borderId="2" xfId="0" applyNumberFormat="1" applyFont="1" applyBorder="1" applyAlignment="1" applyProtection="1">
      <alignment horizontal="right"/>
      <protection hidden="1"/>
    </xf>
    <xf numFmtId="178" fontId="6" fillId="0" borderId="0" xfId="8" applyFont="1" applyBorder="1" applyAlignment="1" applyProtection="1">
      <alignment horizontal="right"/>
      <protection hidden="1"/>
    </xf>
    <xf numFmtId="0" fontId="6" fillId="0" borderId="0" xfId="0" applyFont="1" applyAlignment="1" applyProtection="1">
      <alignment horizontal="left"/>
      <protection hidden="1"/>
    </xf>
    <xf numFmtId="0" fontId="6" fillId="5" borderId="28" xfId="0" applyFont="1" applyFill="1" applyBorder="1"/>
    <xf numFmtId="0" fontId="6" fillId="0" borderId="28" xfId="0" applyFont="1" applyBorder="1" applyProtection="1">
      <protection hidden="1"/>
    </xf>
    <xf numFmtId="180" fontId="6" fillId="0" borderId="0" xfId="6" applyNumberFormat="1" applyFont="1" applyBorder="1"/>
    <xf numFmtId="183" fontId="6" fillId="0" borderId="0" xfId="0" applyNumberFormat="1" applyFont="1" applyProtection="1">
      <protection hidden="1"/>
    </xf>
    <xf numFmtId="0" fontId="6" fillId="0" borderId="26" xfId="0" applyFont="1" applyBorder="1" applyProtection="1">
      <protection locked="0" hidden="1"/>
    </xf>
    <xf numFmtId="0" fontId="6" fillId="0" borderId="26" xfId="0" applyFont="1" applyBorder="1" applyAlignment="1" applyProtection="1">
      <alignment vertical="center"/>
      <protection locked="0" hidden="1"/>
    </xf>
    <xf numFmtId="0" fontId="11" fillId="5" borderId="0" xfId="0" applyFont="1" applyFill="1" applyProtection="1">
      <protection hidden="1"/>
    </xf>
    <xf numFmtId="0" fontId="6" fillId="0" borderId="0" xfId="0" quotePrefix="1" applyFont="1" applyProtection="1">
      <protection hidden="1"/>
    </xf>
    <xf numFmtId="0" fontId="6" fillId="0" borderId="26" xfId="0" applyFont="1" applyBorder="1"/>
    <xf numFmtId="189" fontId="6" fillId="0" borderId="0" xfId="8" applyNumberFormat="1" applyFont="1" applyBorder="1" applyAlignment="1" applyProtection="1">
      <alignment horizontal="right"/>
      <protection hidden="1"/>
    </xf>
    <xf numFmtId="179" fontId="6" fillId="0" borderId="0" xfId="6" applyNumberFormat="1" applyFont="1" applyBorder="1" applyProtection="1">
      <protection hidden="1"/>
    </xf>
    <xf numFmtId="0" fontId="8" fillId="4" borderId="1" xfId="0" applyFont="1" applyFill="1" applyBorder="1" applyAlignment="1">
      <alignment horizontal="left"/>
    </xf>
    <xf numFmtId="0" fontId="0" fillId="4" borderId="46" xfId="0" applyFill="1" applyBorder="1" applyAlignment="1">
      <alignment horizontal="center" vertical="center"/>
    </xf>
    <xf numFmtId="0" fontId="0" fillId="0" borderId="0" xfId="0" applyAlignment="1">
      <alignment vertical="center"/>
    </xf>
    <xf numFmtId="0" fontId="47" fillId="0" borderId="47" xfId="22" applyBorder="1">
      <alignment horizontal="right" vertical="center"/>
    </xf>
    <xf numFmtId="0" fontId="23" fillId="4" borderId="48" xfId="0" applyFont="1" applyFill="1" applyBorder="1" applyAlignment="1">
      <alignment horizontal="right"/>
    </xf>
    <xf numFmtId="0" fontId="8" fillId="4" borderId="48" xfId="0" applyFont="1" applyFill="1" applyBorder="1" applyProtection="1">
      <protection hidden="1"/>
    </xf>
    <xf numFmtId="185" fontId="12" fillId="4" borderId="48" xfId="0" applyNumberFormat="1" applyFont="1" applyFill="1" applyBorder="1" applyProtection="1">
      <protection locked="0"/>
    </xf>
    <xf numFmtId="0" fontId="35" fillId="4" borderId="48" xfId="0" applyFont="1" applyFill="1" applyBorder="1" applyProtection="1">
      <protection hidden="1"/>
    </xf>
    <xf numFmtId="0" fontId="8" fillId="4" borderId="22" xfId="0" applyFont="1" applyFill="1" applyBorder="1" applyProtection="1">
      <protection hidden="1"/>
    </xf>
    <xf numFmtId="185" fontId="12" fillId="4" borderId="22" xfId="0" applyNumberFormat="1" applyFont="1" applyFill="1" applyBorder="1" applyProtection="1">
      <protection locked="0"/>
    </xf>
    <xf numFmtId="0" fontId="35" fillId="4" borderId="23" xfId="0" applyFont="1" applyFill="1" applyBorder="1" applyProtection="1">
      <protection hidden="1"/>
    </xf>
    <xf numFmtId="0" fontId="6" fillId="4" borderId="17" xfId="0" applyFont="1" applyFill="1" applyBorder="1" applyAlignment="1">
      <alignment horizontal="left"/>
    </xf>
    <xf numFmtId="0" fontId="6" fillId="3" borderId="6" xfId="0" applyFont="1" applyFill="1" applyBorder="1" applyProtection="1">
      <protection locked="0" hidden="1"/>
    </xf>
    <xf numFmtId="0" fontId="9" fillId="0" borderId="20" xfId="0" applyFont="1" applyBorder="1" applyProtection="1">
      <protection locked="0" hidden="1"/>
    </xf>
    <xf numFmtId="185" fontId="6" fillId="3" borderId="6" xfId="0" applyNumberFormat="1" applyFont="1" applyFill="1" applyBorder="1" applyProtection="1">
      <protection locked="0" hidden="1"/>
    </xf>
    <xf numFmtId="0" fontId="12" fillId="0" borderId="0" xfId="0" applyFont="1" applyProtection="1">
      <protection locked="0" hidden="1"/>
    </xf>
    <xf numFmtId="0" fontId="6" fillId="4" borderId="0" xfId="0" applyFont="1" applyFill="1" applyProtection="1">
      <protection locked="0" hidden="1"/>
    </xf>
    <xf numFmtId="0" fontId="0" fillId="4" borderId="0" xfId="0" applyFill="1" applyProtection="1">
      <protection locked="0" hidden="1"/>
    </xf>
    <xf numFmtId="43" fontId="10" fillId="0" borderId="0" xfId="6" applyFont="1" applyProtection="1">
      <protection hidden="1"/>
    </xf>
    <xf numFmtId="0" fontId="6" fillId="4" borderId="17" xfId="0" applyFont="1" applyFill="1" applyBorder="1"/>
    <xf numFmtId="0" fontId="8" fillId="4" borderId="22" xfId="0" applyFont="1" applyFill="1" applyBorder="1"/>
    <xf numFmtId="0" fontId="9" fillId="4" borderId="23" xfId="0" applyFont="1" applyFill="1" applyBorder="1"/>
    <xf numFmtId="0" fontId="0" fillId="4" borderId="15" xfId="0" applyFill="1" applyBorder="1" applyProtection="1">
      <protection locked="0" hidden="1"/>
    </xf>
    <xf numFmtId="0" fontId="23" fillId="4" borderId="0" xfId="0" applyFont="1" applyFill="1" applyProtection="1">
      <protection locked="0" hidden="1"/>
    </xf>
    <xf numFmtId="0" fontId="17" fillId="4" borderId="0" xfId="10" applyFill="1" applyAlignment="1" applyProtection="1">
      <protection locked="0" hidden="1"/>
    </xf>
    <xf numFmtId="0" fontId="13" fillId="4" borderId="16" xfId="0" applyFont="1" applyFill="1" applyBorder="1" applyAlignment="1">
      <alignment horizontal="right"/>
    </xf>
    <xf numFmtId="0" fontId="18" fillId="9" borderId="0" xfId="0" applyFont="1" applyFill="1"/>
    <xf numFmtId="0" fontId="8" fillId="9" borderId="0" xfId="0" applyFont="1" applyFill="1"/>
    <xf numFmtId="0" fontId="0" fillId="9" borderId="0" xfId="0" applyFill="1"/>
    <xf numFmtId="0" fontId="0" fillId="7" borderId="0" xfId="0" applyFill="1"/>
    <xf numFmtId="0" fontId="10" fillId="5" borderId="1" xfId="0" quotePrefix="1" applyFont="1" applyFill="1" applyBorder="1" applyAlignment="1">
      <alignment horizontal="left"/>
    </xf>
    <xf numFmtId="0" fontId="10" fillId="5" borderId="2" xfId="0" applyFont="1" applyFill="1" applyBorder="1"/>
    <xf numFmtId="0" fontId="0" fillId="5" borderId="1" xfId="0" quotePrefix="1" applyFill="1" applyBorder="1"/>
    <xf numFmtId="0" fontId="0" fillId="5" borderId="1" xfId="0" quotePrefix="1" applyFill="1" applyBorder="1" applyProtection="1">
      <protection hidden="1"/>
    </xf>
    <xf numFmtId="0" fontId="6" fillId="5" borderId="1" xfId="0" quotePrefix="1" applyFont="1" applyFill="1" applyBorder="1"/>
    <xf numFmtId="0" fontId="6" fillId="5" borderId="1" xfId="0" quotePrefix="1" applyFont="1" applyFill="1" applyBorder="1" applyProtection="1">
      <protection hidden="1"/>
    </xf>
    <xf numFmtId="0" fontId="6" fillId="5" borderId="49" xfId="0" quotePrefix="1" applyFont="1" applyFill="1" applyBorder="1"/>
    <xf numFmtId="0" fontId="0" fillId="5" borderId="2" xfId="0" applyFill="1" applyBorder="1" applyAlignment="1">
      <alignment horizontal="right"/>
    </xf>
    <xf numFmtId="183" fontId="10" fillId="0" borderId="0" xfId="0" applyNumberFormat="1" applyFont="1"/>
    <xf numFmtId="0" fontId="5" fillId="2" borderId="0" xfId="1" applyNumberFormat="1">
      <alignment horizontal="right"/>
      <protection locked="0"/>
    </xf>
    <xf numFmtId="188" fontId="0" fillId="0" borderId="0" xfId="27" applyNumberFormat="1" applyFont="1"/>
    <xf numFmtId="179" fontId="0" fillId="0" borderId="0" xfId="0" applyNumberFormat="1" applyProtection="1">
      <protection hidden="1"/>
    </xf>
    <xf numFmtId="188" fontId="10" fillId="2" borderId="0" xfId="27" applyNumberFormat="1" applyFont="1" applyFill="1"/>
    <xf numFmtId="3" fontId="12" fillId="0" borderId="0" xfId="0" applyNumberFormat="1" applyFont="1" applyProtection="1">
      <protection hidden="1"/>
    </xf>
    <xf numFmtId="43" fontId="0" fillId="0" borderId="0" xfId="6" applyFont="1" applyAlignment="1"/>
    <xf numFmtId="180" fontId="5" fillId="0" borderId="0" xfId="6" applyNumberFormat="1"/>
    <xf numFmtId="1" fontId="6" fillId="0" borderId="0" xfId="0" applyNumberFormat="1" applyFont="1" applyProtection="1">
      <protection hidden="1"/>
    </xf>
    <xf numFmtId="183" fontId="6" fillId="0" borderId="0" xfId="8" applyNumberFormat="1" applyFont="1" applyBorder="1" applyAlignment="1">
      <alignment horizontal="right"/>
    </xf>
    <xf numFmtId="0" fontId="50" fillId="0" borderId="34" xfId="18" applyBorder="1">
      <alignment vertical="center"/>
    </xf>
    <xf numFmtId="0" fontId="8" fillId="0" borderId="48" xfId="0" applyFont="1" applyBorder="1"/>
    <xf numFmtId="180" fontId="6" fillId="0" borderId="0" xfId="6" applyNumberFormat="1" applyFont="1" applyBorder="1" applyAlignment="1">
      <alignment horizontal="right"/>
    </xf>
    <xf numFmtId="0" fontId="8" fillId="0" borderId="7" xfId="0" applyFont="1" applyBorder="1" applyAlignment="1">
      <alignment vertical="top" wrapText="1"/>
    </xf>
    <xf numFmtId="0" fontId="8" fillId="0" borderId="0" xfId="0" applyFont="1" applyAlignment="1">
      <alignment wrapText="1"/>
    </xf>
    <xf numFmtId="0" fontId="5" fillId="2" borderId="0" xfId="0" applyFont="1" applyFill="1"/>
    <xf numFmtId="0" fontId="5" fillId="2" borderId="11" xfId="0" applyFont="1" applyFill="1" applyBorder="1"/>
    <xf numFmtId="179" fontId="10" fillId="0" borderId="0" xfId="6" applyNumberFormat="1" applyFont="1" applyFill="1" applyAlignment="1" applyProtection="1">
      <alignment horizontal="right"/>
      <protection hidden="1"/>
    </xf>
    <xf numFmtId="179" fontId="10" fillId="0" borderId="0" xfId="6" applyNumberFormat="1" applyFont="1"/>
    <xf numFmtId="0" fontId="8" fillId="0" borderId="7" xfId="0" applyFont="1" applyBorder="1" applyAlignment="1">
      <alignment vertical="top"/>
    </xf>
    <xf numFmtId="0" fontId="5" fillId="0" borderId="0" xfId="0" applyFont="1"/>
    <xf numFmtId="0" fontId="10" fillId="4" borderId="23" xfId="0" applyFont="1" applyFill="1" applyBorder="1"/>
    <xf numFmtId="9" fontId="10" fillId="2" borderId="6" xfId="27" applyFont="1" applyFill="1" applyBorder="1"/>
    <xf numFmtId="0" fontId="10" fillId="4" borderId="2" xfId="0" applyFont="1" applyFill="1" applyBorder="1"/>
    <xf numFmtId="9" fontId="10" fillId="2" borderId="6" xfId="27" applyFont="1" applyFill="1" applyBorder="1" applyAlignment="1">
      <alignment horizontal="right"/>
    </xf>
    <xf numFmtId="0" fontId="10" fillId="2" borderId="6" xfId="27" applyNumberFormat="1" applyFont="1" applyFill="1" applyBorder="1" applyAlignment="1">
      <alignment horizontal="right"/>
    </xf>
    <xf numFmtId="0" fontId="5" fillId="4" borderId="1" xfId="0" applyFont="1" applyFill="1" applyBorder="1"/>
    <xf numFmtId="0" fontId="5" fillId="4" borderId="0" xfId="0" applyFont="1" applyFill="1"/>
    <xf numFmtId="0" fontId="5" fillId="4" borderId="2" xfId="0" applyFont="1" applyFill="1" applyBorder="1"/>
    <xf numFmtId="0" fontId="5" fillId="4" borderId="51" xfId="0" applyFont="1" applyFill="1" applyBorder="1" applyAlignment="1">
      <alignment horizontal="center"/>
    </xf>
    <xf numFmtId="0" fontId="5" fillId="4" borderId="0" xfId="0" applyFont="1" applyFill="1" applyAlignment="1">
      <alignment horizontal="center"/>
    </xf>
    <xf numFmtId="0" fontId="6" fillId="6" borderId="1" xfId="0" applyFont="1" applyFill="1" applyBorder="1"/>
    <xf numFmtId="183" fontId="6" fillId="0" borderId="42" xfId="0" applyNumberFormat="1" applyFont="1" applyBorder="1" applyProtection="1">
      <protection hidden="1"/>
    </xf>
    <xf numFmtId="0" fontId="8" fillId="4" borderId="31" xfId="0" applyFont="1" applyFill="1" applyBorder="1"/>
    <xf numFmtId="0" fontId="46" fillId="4" borderId="21" xfId="0" applyFont="1" applyFill="1" applyBorder="1" applyAlignment="1">
      <alignment vertical="top"/>
    </xf>
    <xf numFmtId="0" fontId="46" fillId="4" borderId="37" xfId="0" applyFont="1" applyFill="1" applyBorder="1" applyAlignment="1">
      <alignment vertical="top"/>
    </xf>
    <xf numFmtId="0" fontId="23" fillId="4" borderId="49" xfId="18" applyFont="1" applyFill="1" applyBorder="1" applyAlignment="1">
      <alignment horizontal="right" vertical="top"/>
    </xf>
    <xf numFmtId="0" fontId="8" fillId="4" borderId="28" xfId="0" applyFont="1" applyFill="1" applyBorder="1" applyAlignment="1">
      <alignment vertical="top"/>
    </xf>
    <xf numFmtId="0" fontId="12" fillId="4" borderId="31" xfId="0" applyFont="1" applyFill="1" applyBorder="1" applyAlignment="1" applyProtection="1">
      <alignment horizontal="right" vertical="top" wrapText="1"/>
      <protection locked="0"/>
    </xf>
    <xf numFmtId="0" fontId="12" fillId="4" borderId="28" xfId="0" applyFont="1" applyFill="1" applyBorder="1" applyAlignment="1" applyProtection="1">
      <alignment horizontal="right" vertical="top" wrapText="1"/>
      <protection locked="0"/>
    </xf>
    <xf numFmtId="179" fontId="5" fillId="2" borderId="0" xfId="6" applyNumberFormat="1" applyFont="1" applyFill="1"/>
    <xf numFmtId="0" fontId="6" fillId="4" borderId="32" xfId="0" applyFont="1" applyFill="1" applyBorder="1"/>
    <xf numFmtId="0" fontId="8" fillId="4" borderId="33" xfId="0" applyFont="1" applyFill="1" applyBorder="1"/>
    <xf numFmtId="0" fontId="6" fillId="2" borderId="33" xfId="0" applyFont="1" applyFill="1" applyBorder="1" applyAlignment="1">
      <alignment horizontal="right"/>
    </xf>
    <xf numFmtId="0" fontId="5" fillId="0" borderId="0" xfId="0" applyFont="1" applyAlignment="1">
      <alignment horizontal="left"/>
    </xf>
    <xf numFmtId="0" fontId="6" fillId="4" borderId="34" xfId="0" applyFont="1" applyFill="1" applyBorder="1" applyAlignment="1">
      <alignment horizontal="left" indent="1"/>
    </xf>
    <xf numFmtId="0" fontId="9" fillId="4" borderId="20" xfId="0" applyFont="1" applyFill="1" applyBorder="1"/>
    <xf numFmtId="0" fontId="8" fillId="0" borderId="6" xfId="0" applyFont="1" applyBorder="1" applyAlignment="1">
      <alignment vertical="center"/>
    </xf>
    <xf numFmtId="181" fontId="21" fillId="3" borderId="6" xfId="0" applyNumberFormat="1" applyFont="1" applyFill="1" applyBorder="1" applyAlignment="1" applyProtection="1">
      <alignment horizontal="right" vertical="center" wrapText="1"/>
      <protection locked="0"/>
    </xf>
    <xf numFmtId="0" fontId="9" fillId="4" borderId="20" xfId="0" applyFont="1" applyFill="1" applyBorder="1" applyAlignment="1">
      <alignment vertical="center"/>
    </xf>
    <xf numFmtId="0" fontId="6" fillId="4" borderId="34" xfId="0" applyFont="1" applyFill="1" applyBorder="1" applyAlignment="1">
      <alignment horizontal="left" vertical="center" indent="1"/>
    </xf>
    <xf numFmtId="0" fontId="6" fillId="0" borderId="0" xfId="0" applyFont="1" applyAlignment="1">
      <alignment horizontal="center"/>
    </xf>
    <xf numFmtId="0" fontId="43" fillId="0" borderId="52" xfId="0" applyFont="1" applyBorder="1"/>
    <xf numFmtId="183" fontId="43" fillId="0" borderId="41" xfId="8" applyNumberFormat="1" applyFont="1" applyBorder="1" applyProtection="1">
      <protection locked="0"/>
    </xf>
    <xf numFmtId="0" fontId="42" fillId="4" borderId="53" xfId="0" applyFont="1" applyFill="1" applyBorder="1"/>
    <xf numFmtId="0" fontId="13" fillId="4" borderId="0" xfId="0" applyFont="1" applyFill="1" applyAlignment="1">
      <alignment horizontal="right" wrapText="1"/>
    </xf>
    <xf numFmtId="0" fontId="10" fillId="0" borderId="6" xfId="0" applyFont="1" applyBorder="1"/>
    <xf numFmtId="183" fontId="0" fillId="0" borderId="6" xfId="8" applyNumberFormat="1" applyFont="1" applyBorder="1" applyProtection="1">
      <protection locked="0"/>
    </xf>
    <xf numFmtId="0" fontId="40" fillId="0" borderId="44" xfId="0" applyFont="1" applyBorder="1"/>
    <xf numFmtId="183" fontId="40" fillId="0" borderId="44" xfId="0" applyNumberFormat="1" applyFont="1" applyBorder="1"/>
    <xf numFmtId="0" fontId="10" fillId="0" borderId="40" xfId="0" applyFont="1" applyBorder="1"/>
    <xf numFmtId="183" fontId="5" fillId="0" borderId="40" xfId="0" applyNumberFormat="1" applyFont="1" applyBorder="1"/>
    <xf numFmtId="0" fontId="6" fillId="0" borderId="28" xfId="0" applyFont="1" applyBorder="1"/>
    <xf numFmtId="180" fontId="6" fillId="0" borderId="28" xfId="6" applyNumberFormat="1" applyFont="1" applyBorder="1" applyAlignment="1" applyProtection="1">
      <alignment horizontal="right"/>
      <protection hidden="1"/>
    </xf>
    <xf numFmtId="178" fontId="6" fillId="0" borderId="28" xfId="8" applyFont="1" applyBorder="1" applyAlignment="1" applyProtection="1">
      <alignment horizontal="right"/>
      <protection hidden="1"/>
    </xf>
    <xf numFmtId="183" fontId="6" fillId="0" borderId="28" xfId="0" applyNumberFormat="1" applyFont="1" applyBorder="1" applyAlignment="1" applyProtection="1">
      <alignment horizontal="right"/>
      <protection hidden="1"/>
    </xf>
    <xf numFmtId="0" fontId="6" fillId="0" borderId="28" xfId="0" applyFont="1" applyBorder="1" applyAlignment="1" applyProtection="1">
      <alignment horizontal="right"/>
      <protection hidden="1"/>
    </xf>
    <xf numFmtId="183" fontId="40" fillId="0" borderId="41" xfId="8" applyNumberFormat="1" applyFont="1" applyBorder="1"/>
    <xf numFmtId="0" fontId="6" fillId="4" borderId="38" xfId="0" applyFont="1" applyFill="1" applyBorder="1"/>
    <xf numFmtId="0" fontId="8" fillId="4" borderId="43" xfId="0" applyFont="1" applyFill="1" applyBorder="1"/>
    <xf numFmtId="0" fontId="6" fillId="2" borderId="43" xfId="0" applyFont="1" applyFill="1" applyBorder="1" applyAlignment="1">
      <alignment horizontal="right"/>
    </xf>
    <xf numFmtId="0" fontId="9" fillId="0" borderId="35" xfId="0" applyFont="1" applyBorder="1" applyAlignment="1">
      <alignment vertical="center"/>
    </xf>
    <xf numFmtId="0" fontId="8" fillId="4" borderId="50" xfId="0" applyFont="1" applyFill="1" applyBorder="1"/>
    <xf numFmtId="0" fontId="17" fillId="0" borderId="0" xfId="10" applyAlignment="1" applyProtection="1"/>
    <xf numFmtId="0" fontId="6" fillId="0" borderId="0" xfId="24" applyFont="1"/>
    <xf numFmtId="0" fontId="8" fillId="0" borderId="0" xfId="24" applyFont="1"/>
    <xf numFmtId="0" fontId="12" fillId="0" borderId="0" xfId="24" applyFont="1"/>
    <xf numFmtId="0" fontId="7" fillId="0" borderId="0" xfId="24" applyFont="1"/>
    <xf numFmtId="180" fontId="0" fillId="0" borderId="0" xfId="7" applyNumberFormat="1" applyFont="1"/>
    <xf numFmtId="0" fontId="20" fillId="0" borderId="0" xfId="24" applyFont="1"/>
    <xf numFmtId="0" fontId="11" fillId="0" borderId="0" xfId="24" applyFont="1"/>
    <xf numFmtId="0" fontId="10" fillId="0" borderId="0" xfId="0" applyFont="1" applyAlignment="1">
      <alignment horizontal="left" indent="1"/>
    </xf>
    <xf numFmtId="3" fontId="0" fillId="0" borderId="0" xfId="0" quotePrefix="1" applyNumberFormat="1"/>
    <xf numFmtId="49" fontId="6" fillId="6" borderId="1" xfId="0" applyNumberFormat="1" applyFont="1" applyFill="1" applyBorder="1"/>
    <xf numFmtId="49" fontId="6" fillId="6" borderId="0" xfId="0" applyNumberFormat="1" applyFont="1" applyFill="1"/>
    <xf numFmtId="0" fontId="6" fillId="6" borderId="2" xfId="0" quotePrefix="1" applyFont="1" applyFill="1" applyBorder="1"/>
    <xf numFmtId="49" fontId="0" fillId="5" borderId="0" xfId="0" applyNumberFormat="1" applyFill="1"/>
    <xf numFmtId="49" fontId="6" fillId="0" borderId="0" xfId="0" applyNumberFormat="1" applyFont="1"/>
    <xf numFmtId="180" fontId="6" fillId="0" borderId="0" xfId="7" applyNumberFormat="1" applyFont="1" applyBorder="1" applyAlignment="1">
      <alignment horizontal="right"/>
    </xf>
    <xf numFmtId="0" fontId="6" fillId="0" borderId="0" xfId="0" applyFont="1" applyAlignment="1">
      <alignment horizontal="left"/>
    </xf>
    <xf numFmtId="178" fontId="6" fillId="0" borderId="0" xfId="9" applyFont="1" applyBorder="1" applyAlignment="1">
      <alignment horizontal="right"/>
    </xf>
    <xf numFmtId="183" fontId="6" fillId="0" borderId="0" xfId="0" applyNumberFormat="1" applyFont="1" applyAlignment="1">
      <alignment horizontal="right"/>
    </xf>
    <xf numFmtId="183" fontId="6" fillId="0" borderId="0" xfId="9" applyNumberFormat="1" applyFont="1" applyBorder="1" applyAlignment="1">
      <alignment horizontal="right"/>
    </xf>
    <xf numFmtId="185" fontId="6" fillId="0" borderId="0" xfId="0" applyNumberFormat="1" applyFont="1" applyAlignment="1">
      <alignment horizontal="right"/>
    </xf>
    <xf numFmtId="0" fontId="6" fillId="0" borderId="26" xfId="8" applyNumberFormat="1" applyFont="1" applyBorder="1" applyProtection="1">
      <protection hidden="1"/>
    </xf>
    <xf numFmtId="180" fontId="0" fillId="0" borderId="0" xfId="6" applyNumberFormat="1" applyFont="1" applyFill="1"/>
    <xf numFmtId="0" fontId="6" fillId="0" borderId="37" xfId="0" applyFont="1" applyBorder="1" applyProtection="1">
      <protection hidden="1"/>
    </xf>
    <xf numFmtId="0" fontId="53" fillId="0" borderId="0" xfId="0" applyFont="1"/>
    <xf numFmtId="0" fontId="10" fillId="0" borderId="0" xfId="6" applyNumberFormat="1" applyFont="1" applyFill="1" applyAlignment="1" applyProtection="1">
      <alignment horizontal="right"/>
      <protection hidden="1"/>
    </xf>
    <xf numFmtId="0" fontId="7" fillId="0" borderId="0" xfId="0" applyFont="1" applyProtection="1">
      <protection hidden="1"/>
    </xf>
    <xf numFmtId="41" fontId="10" fillId="0" borderId="0" xfId="6" applyNumberFormat="1" applyFont="1" applyFill="1" applyAlignment="1" applyProtection="1">
      <alignment horizontal="right"/>
      <protection hidden="1"/>
    </xf>
    <xf numFmtId="0" fontId="8" fillId="0" borderId="0" xfId="28" applyFont="1">
      <alignment vertical="center"/>
    </xf>
    <xf numFmtId="0" fontId="10" fillId="0" borderId="0" xfId="0" quotePrefix="1" applyFont="1"/>
    <xf numFmtId="187" fontId="10" fillId="0" borderId="0" xfId="7" applyNumberFormat="1" applyFont="1"/>
    <xf numFmtId="0" fontId="0" fillId="5" borderId="1" xfId="0" applyFill="1" applyBorder="1" applyAlignment="1">
      <alignment horizontal="left"/>
    </xf>
    <xf numFmtId="180" fontId="0" fillId="5" borderId="0" xfId="0" applyNumberFormat="1" applyFill="1"/>
    <xf numFmtId="180" fontId="0" fillId="5" borderId="0" xfId="7" applyNumberFormat="1" applyFont="1" applyFill="1" applyBorder="1" applyAlignment="1">
      <alignment horizontal="right"/>
    </xf>
    <xf numFmtId="180" fontId="6" fillId="0" borderId="0" xfId="0" applyNumberFormat="1" applyFont="1" applyAlignment="1">
      <alignment horizontal="right"/>
    </xf>
    <xf numFmtId="178" fontId="6" fillId="0" borderId="0" xfId="9" applyFont="1" applyAlignment="1">
      <alignment horizontal="right"/>
    </xf>
    <xf numFmtId="180" fontId="0" fillId="5" borderId="0" xfId="0" applyNumberFormat="1" applyFill="1" applyAlignment="1">
      <alignment horizontal="right"/>
    </xf>
    <xf numFmtId="0" fontId="0" fillId="5" borderId="1" xfId="0" quotePrefix="1" applyFill="1" applyBorder="1" applyAlignment="1">
      <alignment horizontal="left"/>
    </xf>
    <xf numFmtId="0" fontId="0" fillId="5" borderId="1" xfId="0" quotePrefix="1" applyFill="1" applyBorder="1" applyAlignment="1" applyProtection="1">
      <alignment horizontal="left"/>
      <protection hidden="1"/>
    </xf>
    <xf numFmtId="180" fontId="0" fillId="5" borderId="0" xfId="0" applyNumberFormat="1" applyFill="1" applyProtection="1">
      <protection hidden="1"/>
    </xf>
    <xf numFmtId="186" fontId="0" fillId="5" borderId="0" xfId="7" applyNumberFormat="1" applyFont="1" applyFill="1" applyAlignment="1">
      <alignment horizontal="right"/>
    </xf>
    <xf numFmtId="180" fontId="0" fillId="5" borderId="0" xfId="7" applyNumberFormat="1" applyFont="1" applyFill="1" applyAlignment="1">
      <alignment horizontal="right"/>
    </xf>
    <xf numFmtId="183" fontId="0" fillId="5" borderId="0" xfId="9" applyNumberFormat="1" applyFont="1" applyFill="1" applyAlignment="1">
      <alignment horizontal="right"/>
    </xf>
    <xf numFmtId="183" fontId="0" fillId="5" borderId="0" xfId="0" applyNumberFormat="1" applyFill="1" applyAlignment="1">
      <alignment horizontal="right"/>
    </xf>
    <xf numFmtId="0" fontId="6" fillId="5" borderId="1" xfId="0" applyFont="1" applyFill="1" applyBorder="1" applyAlignment="1">
      <alignment horizontal="left"/>
    </xf>
    <xf numFmtId="180" fontId="6" fillId="0" borderId="0" xfId="7" applyNumberFormat="1" applyFont="1" applyBorder="1" applyProtection="1">
      <protection hidden="1"/>
    </xf>
    <xf numFmtId="180" fontId="6" fillId="0" borderId="0" xfId="7" applyNumberFormat="1" applyFont="1" applyBorder="1" applyAlignment="1" applyProtection="1">
      <alignment horizontal="right"/>
      <protection hidden="1"/>
    </xf>
    <xf numFmtId="183" fontId="6" fillId="0" borderId="0" xfId="9" applyNumberFormat="1" applyFont="1" applyBorder="1" applyAlignment="1" applyProtection="1">
      <alignment horizontal="right"/>
      <protection hidden="1"/>
    </xf>
    <xf numFmtId="178" fontId="6" fillId="0" borderId="0" xfId="9" applyFont="1" applyBorder="1" applyAlignment="1" applyProtection="1">
      <alignment horizontal="right"/>
      <protection hidden="1"/>
    </xf>
    <xf numFmtId="43" fontId="6" fillId="0" borderId="0" xfId="6" applyFont="1" applyBorder="1" applyProtection="1">
      <protection hidden="1"/>
    </xf>
    <xf numFmtId="180" fontId="5" fillId="0" borderId="0" xfId="6" applyNumberFormat="1" applyFont="1" applyFill="1"/>
    <xf numFmtId="3" fontId="6" fillId="0" borderId="0" xfId="0" applyNumberFormat="1" applyFont="1"/>
    <xf numFmtId="3" fontId="6" fillId="0" borderId="0" xfId="0" applyNumberFormat="1" applyFont="1" applyAlignment="1">
      <alignment horizontal="right"/>
    </xf>
    <xf numFmtId="0" fontId="5" fillId="0" borderId="0" xfId="0" applyFont="1" applyProtection="1">
      <protection hidden="1"/>
    </xf>
    <xf numFmtId="0" fontId="7" fillId="0" borderId="8" xfId="0" applyFont="1" applyBorder="1" applyAlignment="1">
      <alignment horizontal="left"/>
    </xf>
    <xf numFmtId="0" fontId="7" fillId="0" borderId="9" xfId="0" applyFont="1" applyBorder="1" applyAlignment="1">
      <alignment horizontal="right"/>
    </xf>
    <xf numFmtId="0" fontId="5" fillId="0" borderId="0" xfId="0" applyFont="1" applyAlignment="1">
      <alignment horizontal="right"/>
    </xf>
    <xf numFmtId="0" fontId="5" fillId="2" borderId="0" xfId="0" applyFont="1" applyFill="1" applyProtection="1">
      <protection locked="0"/>
    </xf>
    <xf numFmtId="9" fontId="5" fillId="3" borderId="0" xfId="0" applyNumberFormat="1" applyFont="1" applyFill="1"/>
    <xf numFmtId="0" fontId="5" fillId="3" borderId="0" xfId="0" applyFont="1" applyFill="1"/>
    <xf numFmtId="0" fontId="5" fillId="2" borderId="0" xfId="0" applyFont="1" applyFill="1" applyAlignment="1">
      <alignment horizontal="right"/>
    </xf>
    <xf numFmtId="0" fontId="5" fillId="2" borderId="0" xfId="0" applyFont="1" applyFill="1" applyAlignment="1" applyProtection="1">
      <alignment horizontal="right"/>
      <protection hidden="1"/>
    </xf>
    <xf numFmtId="0" fontId="5" fillId="0" borderId="1" xfId="0" applyFont="1" applyBorder="1"/>
    <xf numFmtId="0" fontId="5" fillId="2" borderId="0" xfId="0" applyFont="1" applyFill="1" applyProtection="1">
      <protection hidden="1"/>
    </xf>
    <xf numFmtId="0" fontId="5" fillId="2" borderId="0" xfId="0" applyFont="1" applyFill="1" applyProtection="1">
      <protection locked="0" hidden="1"/>
    </xf>
    <xf numFmtId="0" fontId="5" fillId="0" borderId="0" xfId="0" applyFont="1" applyProtection="1">
      <protection locked="0" hidden="1"/>
    </xf>
    <xf numFmtId="9" fontId="5" fillId="2" borderId="0" xfId="27" applyFont="1" applyFill="1"/>
    <xf numFmtId="180" fontId="5" fillId="2" borderId="0" xfId="6" applyNumberFormat="1" applyFont="1" applyFill="1"/>
    <xf numFmtId="9" fontId="5" fillId="3" borderId="0" xfId="0" applyNumberFormat="1" applyFont="1" applyFill="1" applyAlignment="1">
      <alignment horizontal="right"/>
    </xf>
    <xf numFmtId="9" fontId="5" fillId="0" borderId="0" xfId="0" applyNumberFormat="1" applyFont="1" applyAlignment="1">
      <alignment horizontal="right"/>
    </xf>
    <xf numFmtId="9" fontId="5" fillId="3" borderId="0" xfId="27" applyFont="1" applyFill="1"/>
    <xf numFmtId="0" fontId="5" fillId="0" borderId="7" xfId="0" applyFont="1" applyBorder="1"/>
    <xf numFmtId="0" fontId="5" fillId="0" borderId="11" xfId="0" applyFont="1" applyBorder="1"/>
    <xf numFmtId="0" fontId="5" fillId="0" borderId="12" xfId="0" applyFont="1" applyBorder="1"/>
    <xf numFmtId="0" fontId="5" fillId="2" borderId="13" xfId="0" applyFont="1" applyFill="1" applyBorder="1"/>
    <xf numFmtId="0" fontId="5" fillId="2" borderId="13" xfId="0" applyFont="1" applyFill="1" applyBorder="1" applyAlignment="1">
      <alignment horizontal="right"/>
    </xf>
    <xf numFmtId="0" fontId="5" fillId="0" borderId="14" xfId="0" applyFont="1" applyBorder="1"/>
    <xf numFmtId="0" fontId="5" fillId="0" borderId="0" xfId="0" quotePrefix="1" applyFont="1"/>
    <xf numFmtId="0" fontId="8" fillId="0" borderId="0" xfId="28" applyFont="1" applyBorder="1">
      <alignment vertical="center"/>
    </xf>
    <xf numFmtId="0" fontId="5" fillId="2" borderId="14" xfId="0" applyFont="1" applyFill="1" applyBorder="1"/>
    <xf numFmtId="0" fontId="5" fillId="2" borderId="0" xfId="6" applyNumberFormat="1" applyFont="1" applyFill="1"/>
    <xf numFmtId="0" fontId="5" fillId="2" borderId="0" xfId="9" applyNumberFormat="1" applyFont="1" applyFill="1"/>
    <xf numFmtId="1" fontId="5" fillId="0" borderId="0" xfId="0" applyNumberFormat="1" applyFont="1"/>
    <xf numFmtId="0" fontId="5" fillId="0" borderId="15" xfId="0" applyFont="1" applyBorder="1" applyAlignment="1">
      <alignment wrapText="1"/>
    </xf>
    <xf numFmtId="0" fontId="5" fillId="0" borderId="15" xfId="0" applyFont="1" applyBorder="1" applyAlignment="1">
      <alignment horizontal="center" wrapText="1"/>
    </xf>
    <xf numFmtId="0" fontId="5" fillId="0" borderId="18" xfId="0" applyFont="1" applyBorder="1" applyAlignment="1">
      <alignment wrapText="1"/>
    </xf>
    <xf numFmtId="0" fontId="5" fillId="0" borderId="16" xfId="0" applyFont="1" applyBorder="1" applyAlignment="1">
      <alignment wrapText="1"/>
    </xf>
    <xf numFmtId="0" fontId="5" fillId="0" borderId="16" xfId="0" applyFont="1" applyBorder="1"/>
    <xf numFmtId="0" fontId="5" fillId="0" borderId="18" xfId="0" applyFont="1" applyBorder="1" applyAlignment="1">
      <alignment horizontal="center" wrapText="1"/>
    </xf>
    <xf numFmtId="0" fontId="5" fillId="0" borderId="0" xfId="0" applyFont="1" applyAlignment="1">
      <alignment wrapText="1"/>
    </xf>
    <xf numFmtId="0" fontId="5" fillId="0" borderId="1" xfId="0" applyFont="1" applyBorder="1" applyAlignment="1">
      <alignment horizontal="right"/>
    </xf>
    <xf numFmtId="1" fontId="5" fillId="0" borderId="0" xfId="0" applyNumberFormat="1" applyFont="1" applyAlignment="1">
      <alignment horizontal="right"/>
    </xf>
    <xf numFmtId="0" fontId="5" fillId="0" borderId="0" xfId="0" quotePrefix="1" applyFont="1" applyAlignment="1">
      <alignment horizontal="right"/>
    </xf>
    <xf numFmtId="0" fontId="5" fillId="0" borderId="2" xfId="0" quotePrefix="1" applyFont="1" applyBorder="1" applyAlignment="1">
      <alignment horizontal="right"/>
    </xf>
    <xf numFmtId="0" fontId="5" fillId="0" borderId="2" xfId="0" applyFont="1" applyBorder="1" applyAlignment="1">
      <alignment horizontal="right"/>
    </xf>
    <xf numFmtId="0" fontId="5" fillId="0" borderId="2" xfId="0" applyFont="1" applyBorder="1"/>
    <xf numFmtId="0" fontId="5" fillId="0" borderId="15" xfId="0" applyFont="1" applyBorder="1" applyAlignment="1">
      <alignment horizontal="right"/>
    </xf>
    <xf numFmtId="0" fontId="5" fillId="0" borderId="15" xfId="0" applyFont="1" applyBorder="1"/>
    <xf numFmtId="0" fontId="5" fillId="0" borderId="16" xfId="0" applyFont="1" applyBorder="1" applyAlignment="1">
      <alignment horizontal="right"/>
    </xf>
    <xf numFmtId="0" fontId="5" fillId="0" borderId="15" xfId="0" quotePrefix="1" applyFont="1" applyBorder="1" applyAlignment="1">
      <alignment horizontal="right"/>
    </xf>
    <xf numFmtId="0" fontId="5" fillId="0" borderId="16" xfId="0" quotePrefix="1" applyFont="1" applyBorder="1" applyAlignment="1">
      <alignment horizontal="right"/>
    </xf>
    <xf numFmtId="0" fontId="5" fillId="0" borderId="15" xfId="0" applyFont="1" applyBorder="1" applyAlignment="1">
      <alignment horizontal="left"/>
    </xf>
    <xf numFmtId="0" fontId="0" fillId="0" borderId="0" xfId="0" applyAlignment="1">
      <alignment wrapText="1"/>
    </xf>
    <xf numFmtId="0" fontId="58" fillId="0" borderId="0" xfId="0" applyFont="1"/>
    <xf numFmtId="0" fontId="26" fillId="0" borderId="0" xfId="0" applyFont="1" applyAlignment="1">
      <alignment vertical="top"/>
    </xf>
    <xf numFmtId="0" fontId="6" fillId="0" borderId="0" xfId="0" applyFont="1" applyAlignment="1">
      <alignment vertical="top"/>
    </xf>
    <xf numFmtId="0" fontId="7" fillId="0" borderId="0" xfId="0" applyFont="1" applyAlignment="1" applyProtection="1">
      <alignment horizontal="left" indent="1"/>
      <protection hidden="1"/>
    </xf>
    <xf numFmtId="0" fontId="7" fillId="0" borderId="0" xfId="0" applyFont="1" applyAlignment="1">
      <alignment horizontal="left" indent="1"/>
    </xf>
    <xf numFmtId="0" fontId="5" fillId="0" borderId="0" xfId="0" applyFont="1" applyAlignment="1">
      <alignment horizontal="left" indent="1"/>
    </xf>
    <xf numFmtId="0" fontId="6" fillId="0" borderId="0" xfId="0" applyFont="1" applyAlignment="1" applyProtection="1">
      <alignment horizontal="left" indent="1"/>
      <protection hidden="1"/>
    </xf>
    <xf numFmtId="180" fontId="5" fillId="0" borderId="0" xfId="6" applyNumberFormat="1" applyFont="1" applyProtection="1">
      <protection hidden="1"/>
    </xf>
    <xf numFmtId="180" fontId="5" fillId="0" borderId="0" xfId="6" applyNumberFormat="1" applyFont="1"/>
    <xf numFmtId="0" fontId="5" fillId="0" borderId="0" xfId="6" applyNumberFormat="1" applyFont="1" applyProtection="1">
      <protection hidden="1"/>
    </xf>
    <xf numFmtId="43" fontId="5" fillId="0" borderId="0" xfId="6" applyFont="1" applyProtection="1">
      <protection hidden="1"/>
    </xf>
    <xf numFmtId="0" fontId="5" fillId="0" borderId="0" xfId="0" applyFont="1" applyAlignment="1" applyProtection="1">
      <alignment horizontal="left" indent="1"/>
      <protection hidden="1"/>
    </xf>
    <xf numFmtId="185" fontId="5" fillId="0" borderId="0" xfId="0" applyNumberFormat="1" applyFont="1" applyProtection="1">
      <protection hidden="1"/>
    </xf>
    <xf numFmtId="1" fontId="5" fillId="0" borderId="0" xfId="0" applyNumberFormat="1" applyFont="1" applyProtection="1">
      <protection hidden="1"/>
    </xf>
    <xf numFmtId="0" fontId="5" fillId="0" borderId="0" xfId="0" applyFont="1" applyProtection="1">
      <protection locked="0"/>
    </xf>
    <xf numFmtId="185" fontId="5" fillId="0" borderId="0" xfId="6" applyNumberFormat="1" applyFont="1" applyProtection="1">
      <protection hidden="1"/>
    </xf>
    <xf numFmtId="2" fontId="5" fillId="0" borderId="0" xfId="0" applyNumberFormat="1" applyFont="1" applyProtection="1">
      <protection hidden="1"/>
    </xf>
    <xf numFmtId="0" fontId="5" fillId="0" borderId="0" xfId="0" quotePrefix="1" applyFont="1" applyAlignment="1" applyProtection="1">
      <alignment horizontal="left" indent="1"/>
      <protection hidden="1"/>
    </xf>
    <xf numFmtId="0" fontId="5" fillId="0" borderId="0" xfId="0" applyFont="1" applyAlignment="1">
      <alignment horizontal="left" indent="2"/>
    </xf>
    <xf numFmtId="0" fontId="5" fillId="0" borderId="0" xfId="0" applyFont="1" applyAlignment="1" applyProtection="1">
      <alignment horizontal="left" indent="2"/>
      <protection hidden="1"/>
    </xf>
    <xf numFmtId="2" fontId="5" fillId="0" borderId="0" xfId="0" applyNumberFormat="1" applyFont="1"/>
    <xf numFmtId="41" fontId="5" fillId="0" borderId="0" xfId="6" applyNumberFormat="1" applyFont="1" applyProtection="1">
      <protection hidden="1"/>
    </xf>
    <xf numFmtId="180" fontId="5" fillId="0" borderId="0" xfId="6" applyNumberFormat="1" applyFont="1" applyFill="1" applyAlignment="1" applyProtection="1">
      <alignment horizontal="right"/>
      <protection hidden="1"/>
    </xf>
    <xf numFmtId="179" fontId="5" fillId="0" borderId="0" xfId="6" applyNumberFormat="1" applyFont="1" applyFill="1" applyAlignment="1" applyProtection="1">
      <alignment horizontal="right"/>
      <protection hidden="1"/>
    </xf>
    <xf numFmtId="178" fontId="5" fillId="0" borderId="0" xfId="8" applyFont="1"/>
    <xf numFmtId="179" fontId="5" fillId="0" borderId="0" xfId="0" applyNumberFormat="1" applyFont="1" applyProtection="1">
      <protection hidden="1"/>
    </xf>
    <xf numFmtId="0" fontId="5" fillId="0" borderId="0" xfId="6" applyNumberFormat="1" applyFont="1"/>
    <xf numFmtId="183" fontId="5" fillId="0" borderId="0" xfId="8" applyNumberFormat="1" applyFont="1"/>
    <xf numFmtId="2" fontId="5" fillId="0" borderId="0" xfId="0" applyNumberFormat="1" applyFont="1" applyAlignment="1" applyProtection="1">
      <alignment horizontal="right"/>
      <protection hidden="1"/>
    </xf>
    <xf numFmtId="183" fontId="5" fillId="0" borderId="0" xfId="0" applyNumberFormat="1" applyFont="1"/>
    <xf numFmtId="183" fontId="5" fillId="0" borderId="0" xfId="8" applyNumberFormat="1" applyFont="1" applyProtection="1">
      <protection hidden="1"/>
    </xf>
    <xf numFmtId="43" fontId="5" fillId="0" borderId="0" xfId="6" applyFont="1"/>
    <xf numFmtId="185" fontId="5" fillId="0" borderId="0" xfId="0" applyNumberFormat="1" applyFont="1"/>
    <xf numFmtId="43" fontId="5" fillId="0" borderId="0" xfId="6" applyFont="1" applyFill="1" applyProtection="1">
      <protection hidden="1"/>
    </xf>
    <xf numFmtId="180" fontId="5" fillId="0" borderId="0" xfId="0" applyNumberFormat="1" applyFont="1"/>
    <xf numFmtId="0" fontId="5" fillId="0" borderId="0" xfId="6" applyNumberFormat="1" applyFont="1" applyFill="1" applyProtection="1">
      <protection locked="0"/>
    </xf>
    <xf numFmtId="180" fontId="5" fillId="0" borderId="0" xfId="6" applyNumberFormat="1" applyFont="1" applyAlignment="1" applyProtection="1">
      <alignment horizontal="right"/>
      <protection hidden="1"/>
    </xf>
    <xf numFmtId="182" fontId="5" fillId="0" borderId="0" xfId="0" applyNumberFormat="1" applyFont="1" applyProtection="1">
      <protection hidden="1"/>
    </xf>
    <xf numFmtId="0" fontId="0" fillId="0" borderId="0" xfId="0" applyAlignment="1">
      <alignment horizontal="left" wrapText="1" indent="1"/>
    </xf>
    <xf numFmtId="0" fontId="44" fillId="0" borderId="0" xfId="0" applyFont="1" applyAlignment="1">
      <alignment horizontal="left" indent="1"/>
    </xf>
    <xf numFmtId="0" fontId="6" fillId="0" borderId="0" xfId="0" applyFont="1" applyAlignment="1">
      <alignment horizontal="left" indent="1"/>
    </xf>
    <xf numFmtId="0" fontId="10" fillId="0" borderId="0" xfId="0" applyFont="1" applyAlignment="1">
      <alignment horizontal="left" indent="2"/>
    </xf>
    <xf numFmtId="0" fontId="5" fillId="0" borderId="0" xfId="24" applyFont="1"/>
    <xf numFmtId="3" fontId="5" fillId="0" borderId="0" xfId="24" applyNumberFormat="1" applyFont="1"/>
    <xf numFmtId="180" fontId="5" fillId="0" borderId="0" xfId="7" applyNumberFormat="1" applyFont="1" applyFill="1" applyProtection="1">
      <protection hidden="1"/>
    </xf>
    <xf numFmtId="180" fontId="5" fillId="0" borderId="0" xfId="6" applyNumberFormat="1" applyFont="1" applyFill="1" applyProtection="1">
      <protection hidden="1"/>
    </xf>
    <xf numFmtId="185" fontId="5" fillId="0" borderId="0" xfId="24" applyNumberFormat="1" applyFont="1"/>
    <xf numFmtId="179" fontId="5" fillId="0" borderId="0" xfId="7" applyNumberFormat="1" applyFont="1" applyFill="1" applyProtection="1">
      <protection hidden="1"/>
    </xf>
    <xf numFmtId="180" fontId="5" fillId="0" borderId="0" xfId="7" applyNumberFormat="1" applyFont="1" applyFill="1"/>
    <xf numFmtId="0" fontId="5" fillId="0" borderId="0" xfId="7" applyNumberFormat="1" applyFont="1" applyFill="1" applyProtection="1">
      <protection hidden="1"/>
    </xf>
    <xf numFmtId="3" fontId="5" fillId="0" borderId="0" xfId="7" applyNumberFormat="1" applyFont="1" applyFill="1" applyProtection="1">
      <protection hidden="1"/>
    </xf>
    <xf numFmtId="3" fontId="5" fillId="0" borderId="0" xfId="7" applyNumberFormat="1" applyFont="1" applyFill="1"/>
    <xf numFmtId="190" fontId="5" fillId="0" borderId="0" xfId="7" applyNumberFormat="1" applyFont="1" applyFill="1"/>
    <xf numFmtId="1" fontId="5" fillId="0" borderId="0" xfId="7" applyNumberFormat="1" applyFont="1" applyFill="1"/>
    <xf numFmtId="183" fontId="5" fillId="0" borderId="0" xfId="9" applyNumberFormat="1" applyFont="1" applyFill="1"/>
    <xf numFmtId="43" fontId="5" fillId="0" borderId="0" xfId="7" applyFont="1" applyFill="1"/>
    <xf numFmtId="178" fontId="5" fillId="0" borderId="0" xfId="9" applyFont="1" applyFill="1" applyAlignment="1" applyProtection="1">
      <alignment horizontal="right"/>
      <protection hidden="1"/>
    </xf>
    <xf numFmtId="0" fontId="5" fillId="0" borderId="0" xfId="24" applyFont="1" applyProtection="1">
      <protection hidden="1"/>
    </xf>
    <xf numFmtId="183" fontId="5" fillId="0" borderId="0" xfId="9" applyNumberFormat="1" applyFont="1" applyFill="1" applyProtection="1">
      <protection hidden="1"/>
    </xf>
    <xf numFmtId="183" fontId="5" fillId="0" borderId="0" xfId="24" applyNumberFormat="1" applyFont="1"/>
    <xf numFmtId="178" fontId="5" fillId="0" borderId="0" xfId="9" applyFont="1" applyFill="1" applyProtection="1">
      <protection hidden="1"/>
    </xf>
    <xf numFmtId="0" fontId="5" fillId="0" borderId="0" xfId="24" quotePrefix="1" applyFont="1" applyProtection="1">
      <protection hidden="1"/>
    </xf>
    <xf numFmtId="190" fontId="5" fillId="0" borderId="0" xfId="24" applyNumberFormat="1" applyFont="1"/>
    <xf numFmtId="0" fontId="5" fillId="4" borderId="22" xfId="0" applyFont="1" applyFill="1" applyBorder="1"/>
    <xf numFmtId="0" fontId="38" fillId="4" borderId="54" xfId="0" applyFont="1" applyFill="1" applyBorder="1"/>
    <xf numFmtId="0" fontId="10" fillId="4" borderId="55" xfId="0" applyFont="1" applyFill="1" applyBorder="1"/>
    <xf numFmtId="0" fontId="0" fillId="4" borderId="55" xfId="0" applyFill="1" applyBorder="1"/>
    <xf numFmtId="0" fontId="0" fillId="4" borderId="56" xfId="0" applyFill="1" applyBorder="1"/>
    <xf numFmtId="0" fontId="10" fillId="4" borderId="56" xfId="0" applyFont="1" applyFill="1" applyBorder="1"/>
    <xf numFmtId="0" fontId="0" fillId="10" borderId="0" xfId="0" applyFill="1"/>
    <xf numFmtId="0" fontId="26" fillId="10" borderId="0" xfId="0" applyFont="1" applyFill="1"/>
    <xf numFmtId="0" fontId="10" fillId="10" borderId="0" xfId="0" applyFont="1" applyFill="1"/>
    <xf numFmtId="0" fontId="15" fillId="10" borderId="0" xfId="0" applyFont="1" applyFill="1"/>
    <xf numFmtId="0" fontId="0" fillId="10" borderId="2" xfId="0" applyFill="1" applyBorder="1"/>
    <xf numFmtId="183" fontId="5" fillId="10" borderId="0" xfId="8" applyNumberFormat="1" applyFont="1" applyFill="1" applyBorder="1" applyProtection="1">
      <protection hidden="1"/>
    </xf>
    <xf numFmtId="0" fontId="17" fillId="10" borderId="0" xfId="10" applyFill="1" applyBorder="1" applyAlignment="1" applyProtection="1"/>
    <xf numFmtId="0" fontId="0" fillId="10" borderId="0" xfId="0" applyFill="1" applyAlignment="1">
      <alignment horizontal="right"/>
    </xf>
    <xf numFmtId="0" fontId="6" fillId="10" borderId="0" xfId="0" applyFont="1" applyFill="1"/>
    <xf numFmtId="183" fontId="10" fillId="10" borderId="0" xfId="8" applyNumberFormat="1" applyFont="1" applyFill="1" applyBorder="1" applyProtection="1">
      <protection hidden="1"/>
    </xf>
    <xf numFmtId="178" fontId="10" fillId="10" borderId="0" xfId="8" applyFont="1" applyFill="1" applyBorder="1" applyProtection="1">
      <protection hidden="1"/>
    </xf>
    <xf numFmtId="0" fontId="10" fillId="10" borderId="15" xfId="0" applyFont="1" applyFill="1" applyBorder="1"/>
    <xf numFmtId="0" fontId="5" fillId="10" borderId="0" xfId="0" applyFont="1" applyFill="1"/>
    <xf numFmtId="183" fontId="5" fillId="10" borderId="15" xfId="8" applyNumberFormat="1" applyFont="1" applyFill="1" applyBorder="1" applyProtection="1">
      <protection hidden="1"/>
    </xf>
    <xf numFmtId="0" fontId="5" fillId="10" borderId="0" xfId="0" applyFont="1" applyFill="1" applyAlignment="1">
      <alignment horizontal="left"/>
    </xf>
    <xf numFmtId="0" fontId="5" fillId="10" borderId="15" xfId="0" applyFont="1" applyFill="1" applyBorder="1" applyAlignment="1">
      <alignment horizontal="left"/>
    </xf>
    <xf numFmtId="0" fontId="15" fillId="4" borderId="55" xfId="0" applyFont="1" applyFill="1" applyBorder="1"/>
    <xf numFmtId="0" fontId="0" fillId="4" borderId="57" xfId="0" applyFill="1" applyBorder="1"/>
    <xf numFmtId="0" fontId="10" fillId="10" borderId="2" xfId="0" applyFont="1" applyFill="1" applyBorder="1"/>
    <xf numFmtId="0" fontId="10" fillId="10" borderId="16" xfId="0" applyFont="1" applyFill="1" applyBorder="1"/>
    <xf numFmtId="0" fontId="36" fillId="4" borderId="56" xfId="0" applyFont="1" applyFill="1" applyBorder="1"/>
    <xf numFmtId="0" fontId="7" fillId="10" borderId="0" xfId="0" applyFont="1" applyFill="1"/>
    <xf numFmtId="0" fontId="5" fillId="10" borderId="0" xfId="0" applyFont="1" applyFill="1" applyAlignment="1">
      <alignment horizontal="center" vertical="center" wrapText="1"/>
    </xf>
    <xf numFmtId="0" fontId="5" fillId="0" borderId="0" xfId="0" applyFont="1" applyAlignment="1">
      <alignment horizontal="center"/>
    </xf>
    <xf numFmtId="0" fontId="26" fillId="4" borderId="1" xfId="0" applyFont="1" applyFill="1" applyBorder="1" applyProtection="1">
      <protection hidden="1"/>
    </xf>
    <xf numFmtId="0" fontId="6" fillId="4" borderId="0" xfId="0" applyFont="1" applyFill="1" applyAlignment="1" applyProtection="1">
      <alignment horizontal="right"/>
      <protection hidden="1"/>
    </xf>
    <xf numFmtId="0" fontId="6" fillId="4" borderId="0" xfId="0" applyFont="1" applyFill="1" applyAlignment="1">
      <alignment horizontal="right"/>
    </xf>
    <xf numFmtId="0" fontId="40" fillId="4" borderId="56" xfId="0" quotePrefix="1" applyFont="1" applyFill="1" applyBorder="1"/>
    <xf numFmtId="184" fontId="23" fillId="4" borderId="0" xfId="0" applyNumberFormat="1" applyFont="1" applyFill="1" applyProtection="1">
      <protection hidden="1"/>
    </xf>
    <xf numFmtId="0" fontId="5" fillId="5" borderId="0" xfId="0" applyFont="1" applyFill="1" applyProtection="1">
      <protection hidden="1"/>
    </xf>
    <xf numFmtId="0" fontId="5" fillId="5" borderId="0" xfId="0" applyFont="1" applyFill="1"/>
    <xf numFmtId="0" fontId="5" fillId="6" borderId="0" xfId="0" applyFont="1" applyFill="1"/>
    <xf numFmtId="0" fontId="5" fillId="5" borderId="0" xfId="0" applyFont="1" applyFill="1" applyAlignment="1">
      <alignment horizontal="left"/>
    </xf>
    <xf numFmtId="0" fontId="5" fillId="4" borderId="15" xfId="0" applyFont="1" applyFill="1" applyBorder="1"/>
    <xf numFmtId="0" fontId="5" fillId="4" borderId="15" xfId="0" applyFont="1" applyFill="1" applyBorder="1" applyAlignment="1">
      <alignment wrapText="1"/>
    </xf>
    <xf numFmtId="184" fontId="6" fillId="4" borderId="0" xfId="0" applyNumberFormat="1" applyFont="1" applyFill="1" applyProtection="1">
      <protection hidden="1"/>
    </xf>
    <xf numFmtId="0" fontId="40" fillId="0" borderId="65" xfId="0" applyFont="1" applyBorder="1"/>
    <xf numFmtId="183" fontId="40" fillId="0" borderId="65" xfId="27" applyNumberFormat="1" applyFont="1" applyBorder="1" applyProtection="1">
      <protection locked="0"/>
    </xf>
    <xf numFmtId="0" fontId="23" fillId="4" borderId="0" xfId="0" applyFont="1" applyFill="1" applyProtection="1">
      <protection hidden="1"/>
    </xf>
    <xf numFmtId="0" fontId="42" fillId="4" borderId="56" xfId="0" applyFont="1" applyFill="1" applyBorder="1"/>
    <xf numFmtId="9" fontId="6" fillId="4" borderId="0" xfId="27" applyFont="1" applyFill="1" applyBorder="1" applyProtection="1">
      <protection locked="0"/>
    </xf>
    <xf numFmtId="183" fontId="0" fillId="10" borderId="22" xfId="8" applyNumberFormat="1" applyFont="1" applyFill="1" applyBorder="1"/>
    <xf numFmtId="185" fontId="6" fillId="4" borderId="0" xfId="0" applyNumberFormat="1" applyFont="1" applyFill="1" applyAlignment="1" applyProtection="1">
      <alignment horizontal="right"/>
      <protection locked="0"/>
    </xf>
    <xf numFmtId="0" fontId="6" fillId="10" borderId="0" xfId="8" applyNumberFormat="1" applyFont="1" applyFill="1" applyBorder="1" applyAlignment="1">
      <alignment horizontal="right"/>
    </xf>
    <xf numFmtId="185" fontId="0" fillId="10" borderId="0" xfId="0" applyNumberFormat="1" applyFill="1" applyProtection="1">
      <protection locked="0"/>
    </xf>
    <xf numFmtId="0" fontId="62" fillId="0" borderId="0" xfId="0" applyFont="1"/>
    <xf numFmtId="183" fontId="62" fillId="4" borderId="0" xfId="27" applyNumberFormat="1" applyFont="1" applyFill="1" applyBorder="1" applyProtection="1">
      <protection locked="0"/>
    </xf>
    <xf numFmtId="9" fontId="5" fillId="0" borderId="0" xfId="27" applyFont="1" applyProtection="1">
      <protection locked="0"/>
    </xf>
    <xf numFmtId="0" fontId="5" fillId="4" borderId="48" xfId="0" applyFont="1" applyFill="1" applyBorder="1"/>
    <xf numFmtId="183" fontId="5" fillId="4" borderId="0" xfId="0" applyNumberFormat="1" applyFont="1" applyFill="1"/>
    <xf numFmtId="183" fontId="43" fillId="4" borderId="41" xfId="0" applyNumberFormat="1" applyFont="1" applyFill="1" applyBorder="1" applyProtection="1">
      <protection locked="0"/>
    </xf>
    <xf numFmtId="0" fontId="15" fillId="10" borderId="15" xfId="0" applyFont="1" applyFill="1" applyBorder="1"/>
    <xf numFmtId="0" fontId="0" fillId="10" borderId="15" xfId="0" applyFill="1" applyBorder="1"/>
    <xf numFmtId="0" fontId="43" fillId="4" borderId="27" xfId="0" applyFont="1" applyFill="1" applyBorder="1" applyAlignment="1">
      <alignment horizontal="right"/>
    </xf>
    <xf numFmtId="0" fontId="6" fillId="6" borderId="15" xfId="0" applyFont="1" applyFill="1" applyBorder="1"/>
    <xf numFmtId="9" fontId="6" fillId="6" borderId="15" xfId="27" applyFont="1" applyFill="1" applyBorder="1"/>
    <xf numFmtId="0" fontId="6" fillId="6" borderId="15" xfId="0" applyFont="1" applyFill="1" applyBorder="1" applyAlignment="1">
      <alignment horizontal="right"/>
    </xf>
    <xf numFmtId="183" fontId="6" fillId="0" borderId="41" xfId="0" applyNumberFormat="1" applyFont="1" applyBorder="1" applyProtection="1">
      <protection hidden="1"/>
    </xf>
    <xf numFmtId="0" fontId="6" fillId="0" borderId="44" xfId="0" applyFont="1" applyBorder="1" applyProtection="1">
      <protection locked="0" hidden="1"/>
    </xf>
    <xf numFmtId="0" fontId="23" fillId="10" borderId="67" xfId="0" applyFont="1" applyFill="1" applyBorder="1"/>
    <xf numFmtId="0" fontId="5" fillId="4" borderId="0" xfId="0" quotePrefix="1" applyFont="1" applyFill="1"/>
    <xf numFmtId="0" fontId="5" fillId="4" borderId="15" xfId="0" quotePrefix="1" applyFont="1" applyFill="1" applyBorder="1"/>
    <xf numFmtId="0" fontId="6" fillId="10" borderId="28" xfId="27" applyNumberFormat="1" applyFont="1" applyFill="1" applyBorder="1" applyAlignment="1">
      <alignment horizontal="right"/>
    </xf>
    <xf numFmtId="0" fontId="6" fillId="4" borderId="28" xfId="0" applyFont="1" applyFill="1" applyBorder="1" applyAlignment="1">
      <alignment horizontal="left"/>
    </xf>
    <xf numFmtId="0" fontId="0" fillId="10" borderId="0" xfId="0" applyFill="1" applyProtection="1">
      <protection hidden="1"/>
    </xf>
    <xf numFmtId="0" fontId="0" fillId="10" borderId="0" xfId="0" applyFill="1" applyAlignment="1">
      <alignment wrapText="1"/>
    </xf>
    <xf numFmtId="183" fontId="0" fillId="10" borderId="0" xfId="0" applyNumberFormat="1" applyFill="1"/>
    <xf numFmtId="9" fontId="0" fillId="0" borderId="0" xfId="0" applyNumberFormat="1"/>
    <xf numFmtId="183" fontId="0" fillId="0" borderId="0" xfId="8" applyNumberFormat="1" applyFont="1" applyFill="1" applyBorder="1" applyProtection="1">
      <protection locked="0"/>
    </xf>
    <xf numFmtId="0" fontId="44" fillId="0" borderId="0" xfId="0" applyFont="1"/>
    <xf numFmtId="0" fontId="6" fillId="10" borderId="15" xfId="0" applyFont="1" applyFill="1" applyBorder="1"/>
    <xf numFmtId="0" fontId="6" fillId="10" borderId="15" xfId="0" applyFont="1" applyFill="1" applyBorder="1" applyAlignment="1">
      <alignment horizontal="right"/>
    </xf>
    <xf numFmtId="0" fontId="5" fillId="10" borderId="16" xfId="0" applyFont="1" applyFill="1" applyBorder="1"/>
    <xf numFmtId="0" fontId="63" fillId="4" borderId="17" xfId="0" applyFont="1" applyFill="1" applyBorder="1"/>
    <xf numFmtId="0" fontId="64" fillId="0" borderId="27" xfId="0" applyFont="1" applyBorder="1"/>
    <xf numFmtId="0" fontId="0" fillId="10" borderId="68" xfId="0" applyFill="1" applyBorder="1"/>
    <xf numFmtId="0" fontId="13" fillId="4" borderId="22" xfId="0" applyFont="1" applyFill="1" applyBorder="1" applyAlignment="1">
      <alignment horizontal="left"/>
    </xf>
    <xf numFmtId="0" fontId="8" fillId="0" borderId="69" xfId="0" applyFont="1" applyBorder="1"/>
    <xf numFmtId="0" fontId="8" fillId="0" borderId="70" xfId="0" applyFont="1" applyBorder="1"/>
    <xf numFmtId="0" fontId="8" fillId="0" borderId="48" xfId="0" applyFont="1" applyBorder="1" applyProtection="1">
      <protection hidden="1"/>
    </xf>
    <xf numFmtId="0" fontId="8" fillId="0" borderId="70" xfId="0" applyFont="1" applyBorder="1" applyProtection="1">
      <protection hidden="1"/>
    </xf>
    <xf numFmtId="0" fontId="8" fillId="0" borderId="69" xfId="0" applyFont="1" applyBorder="1" applyProtection="1">
      <protection hidden="1"/>
    </xf>
    <xf numFmtId="0" fontId="8" fillId="0" borderId="48" xfId="0" applyFont="1" applyBorder="1" applyAlignment="1">
      <alignment horizontal="center"/>
    </xf>
    <xf numFmtId="0" fontId="65" fillId="4" borderId="0" xfId="0" applyFont="1" applyFill="1" applyAlignment="1">
      <alignment horizontal="left"/>
    </xf>
    <xf numFmtId="179" fontId="6" fillId="0" borderId="0" xfId="6" applyNumberFormat="1" applyFont="1" applyBorder="1" applyAlignment="1" applyProtection="1">
      <alignment horizontal="right"/>
      <protection hidden="1"/>
    </xf>
    <xf numFmtId="0" fontId="23" fillId="4" borderId="0" xfId="0" applyFont="1" applyFill="1" applyAlignment="1">
      <alignment wrapText="1"/>
    </xf>
    <xf numFmtId="0" fontId="6" fillId="0" borderId="31" xfId="0" applyFont="1" applyBorder="1" applyAlignment="1">
      <alignment horizontal="center"/>
    </xf>
    <xf numFmtId="0" fontId="5" fillId="0" borderId="0" xfId="0" applyFont="1" applyAlignment="1" applyProtection="1">
      <alignment horizontal="right"/>
      <protection hidden="1"/>
    </xf>
    <xf numFmtId="9" fontId="5" fillId="0" borderId="26" xfId="27" applyFont="1" applyBorder="1" applyProtection="1">
      <protection locked="0"/>
    </xf>
    <xf numFmtId="9" fontId="5" fillId="0" borderId="65" xfId="27" applyFont="1" applyBorder="1" applyProtection="1">
      <protection locked="0"/>
    </xf>
    <xf numFmtId="0" fontId="5" fillId="4" borderId="24" xfId="0" applyFont="1" applyFill="1" applyBorder="1"/>
    <xf numFmtId="0" fontId="5" fillId="5" borderId="25" xfId="0" applyFont="1" applyFill="1" applyBorder="1"/>
    <xf numFmtId="0" fontId="8" fillId="5" borderId="25" xfId="0" applyFont="1" applyFill="1" applyBorder="1"/>
    <xf numFmtId="0" fontId="5" fillId="5" borderId="26" xfId="0" applyFont="1" applyFill="1" applyBorder="1"/>
    <xf numFmtId="0" fontId="5" fillId="5" borderId="25" xfId="0" applyFont="1" applyFill="1" applyBorder="1" applyProtection="1">
      <protection hidden="1"/>
    </xf>
    <xf numFmtId="0" fontId="12" fillId="4" borderId="23" xfId="0" applyFont="1" applyFill="1" applyBorder="1" applyAlignment="1">
      <alignment vertical="center"/>
    </xf>
    <xf numFmtId="0" fontId="12" fillId="4" borderId="2" xfId="0" applyFont="1" applyFill="1" applyBorder="1" applyAlignment="1">
      <alignment vertical="center"/>
    </xf>
    <xf numFmtId="0" fontId="12" fillId="4" borderId="16" xfId="0" applyFont="1" applyFill="1" applyBorder="1" applyAlignment="1">
      <alignment vertical="center"/>
    </xf>
    <xf numFmtId="0" fontId="12" fillId="4" borderId="67" xfId="0" applyFont="1" applyFill="1" applyBorder="1" applyAlignment="1" applyProtection="1">
      <alignment horizontal="right" vertical="center"/>
      <protection locked="0"/>
    </xf>
    <xf numFmtId="0" fontId="35" fillId="4" borderId="71" xfId="0" applyFont="1" applyFill="1" applyBorder="1" applyAlignment="1">
      <alignment vertical="center"/>
    </xf>
    <xf numFmtId="0" fontId="12" fillId="4" borderId="28" xfId="0" applyFont="1" applyFill="1" applyBorder="1" applyAlignment="1" applyProtection="1">
      <alignment horizontal="right" vertical="center"/>
      <protection locked="0"/>
    </xf>
    <xf numFmtId="0" fontId="35" fillId="4" borderId="37" xfId="0" applyFont="1" applyFill="1" applyBorder="1" applyAlignment="1">
      <alignment vertical="center"/>
    </xf>
    <xf numFmtId="0" fontId="12" fillId="4" borderId="72" xfId="0" applyFont="1" applyFill="1" applyBorder="1" applyAlignment="1">
      <alignment horizontal="right" vertical="center" wrapText="1"/>
    </xf>
    <xf numFmtId="0" fontId="23" fillId="4" borderId="49" xfId="0" applyFont="1" applyFill="1" applyBorder="1" applyAlignment="1">
      <alignment horizontal="right" vertical="center" wrapText="1"/>
    </xf>
    <xf numFmtId="9" fontId="5" fillId="0" borderId="0" xfId="27" applyFont="1" applyFill="1"/>
    <xf numFmtId="0" fontId="5" fillId="0" borderId="25" xfId="0" applyFont="1" applyBorder="1"/>
    <xf numFmtId="9" fontId="5" fillId="0" borderId="0" xfId="27" applyFont="1"/>
    <xf numFmtId="185" fontId="5" fillId="2" borderId="0" xfId="0" applyNumberFormat="1" applyFont="1" applyFill="1"/>
    <xf numFmtId="9" fontId="5" fillId="2" borderId="26" xfId="27" applyFont="1" applyFill="1" applyBorder="1" applyProtection="1">
      <protection locked="0"/>
    </xf>
    <xf numFmtId="183" fontId="5" fillId="0" borderId="0" xfId="8" applyNumberFormat="1" applyFont="1" applyBorder="1"/>
    <xf numFmtId="9" fontId="5" fillId="2" borderId="0" xfId="27" applyFont="1" applyFill="1" applyBorder="1" applyProtection="1">
      <protection locked="0"/>
    </xf>
    <xf numFmtId="10" fontId="5" fillId="2" borderId="0" xfId="1" applyNumberFormat="1" applyBorder="1">
      <alignment horizontal="right"/>
      <protection locked="0"/>
    </xf>
    <xf numFmtId="0" fontId="5" fillId="2" borderId="0" xfId="1" applyNumberFormat="1" applyBorder="1">
      <alignment horizontal="right"/>
      <protection locked="0"/>
    </xf>
    <xf numFmtId="0" fontId="7" fillId="0" borderId="0" xfId="0" applyFont="1" applyAlignment="1">
      <alignment horizontal="center"/>
    </xf>
    <xf numFmtId="0" fontId="7" fillId="0" borderId="11" xfId="0" applyFont="1" applyBorder="1" applyAlignment="1">
      <alignment horizontal="center"/>
    </xf>
    <xf numFmtId="0" fontId="7" fillId="0" borderId="11" xfId="0" applyFont="1" applyBorder="1"/>
    <xf numFmtId="0" fontId="5" fillId="0" borderId="7" xfId="0" applyFont="1" applyBorder="1" applyAlignment="1">
      <alignment vertical="top" wrapText="1"/>
    </xf>
    <xf numFmtId="0" fontId="5" fillId="0" borderId="7" xfId="0" applyFont="1" applyBorder="1" applyAlignment="1">
      <alignment vertical="top"/>
    </xf>
    <xf numFmtId="0" fontId="5" fillId="0" borderId="12" xfId="0" applyFont="1" applyBorder="1" applyAlignment="1">
      <alignment vertical="top" wrapText="1"/>
    </xf>
    <xf numFmtId="0" fontId="5" fillId="0" borderId="13" xfId="0" applyFont="1" applyBorder="1" applyAlignment="1">
      <alignment wrapText="1"/>
    </xf>
    <xf numFmtId="0" fontId="5" fillId="0" borderId="0" xfId="0" applyFont="1" applyAlignment="1">
      <alignment vertical="top" wrapText="1"/>
    </xf>
    <xf numFmtId="183" fontId="5" fillId="4" borderId="74" xfId="8" applyNumberFormat="1" applyFont="1" applyFill="1" applyBorder="1" applyProtection="1">
      <protection locked="0"/>
    </xf>
    <xf numFmtId="183" fontId="5" fillId="4" borderId="26" xfId="8" applyNumberFormat="1" applyFont="1" applyFill="1" applyBorder="1" applyProtection="1">
      <protection locked="0"/>
    </xf>
    <xf numFmtId="0" fontId="5" fillId="4" borderId="26" xfId="0" applyFont="1" applyFill="1" applyBorder="1"/>
    <xf numFmtId="0" fontId="5" fillId="4" borderId="29" xfId="0" applyFont="1" applyFill="1" applyBorder="1"/>
    <xf numFmtId="0" fontId="10" fillId="0" borderId="75" xfId="0" applyFont="1" applyBorder="1"/>
    <xf numFmtId="183" fontId="0" fillId="0" borderId="75" xfId="8" applyNumberFormat="1" applyFont="1" applyBorder="1"/>
    <xf numFmtId="183" fontId="5" fillId="0" borderId="75" xfId="0" applyNumberFormat="1" applyFont="1" applyBorder="1"/>
    <xf numFmtId="183" fontId="0" fillId="4" borderId="75" xfId="8" applyNumberFormat="1" applyFont="1" applyFill="1" applyBorder="1" applyProtection="1">
      <protection locked="0"/>
    </xf>
    <xf numFmtId="183" fontId="0" fillId="0" borderId="75" xfId="8" applyNumberFormat="1" applyFont="1" applyBorder="1" applyProtection="1">
      <protection locked="0"/>
    </xf>
    <xf numFmtId="0" fontId="10" fillId="0" borderId="75" xfId="0" applyFont="1" applyBorder="1" applyProtection="1">
      <protection hidden="1"/>
    </xf>
    <xf numFmtId="0" fontId="10" fillId="0" borderId="73" xfId="0" applyFont="1" applyBorder="1"/>
    <xf numFmtId="183" fontId="0" fillId="0" borderId="73" xfId="8" applyNumberFormat="1" applyFont="1" applyBorder="1" applyProtection="1"/>
    <xf numFmtId="9" fontId="5" fillId="0" borderId="76" xfId="27" applyFont="1" applyBorder="1" applyProtection="1">
      <protection locked="0"/>
    </xf>
    <xf numFmtId="188" fontId="5" fillId="0" borderId="77" xfId="27" applyNumberFormat="1" applyFont="1" applyBorder="1" applyProtection="1"/>
    <xf numFmtId="9" fontId="5" fillId="0" borderId="78" xfId="27" applyFont="1" applyBorder="1" applyProtection="1">
      <protection locked="0"/>
    </xf>
    <xf numFmtId="9" fontId="5" fillId="0" borderId="76" xfId="27" applyFont="1" applyBorder="1"/>
    <xf numFmtId="9" fontId="5" fillId="0" borderId="77" xfId="27" applyFont="1" applyBorder="1" applyProtection="1">
      <protection locked="0"/>
    </xf>
    <xf numFmtId="9" fontId="5" fillId="0" borderId="77" xfId="27" applyFont="1" applyFill="1" applyBorder="1" applyProtection="1">
      <protection locked="0"/>
    </xf>
    <xf numFmtId="0" fontId="10" fillId="0" borderId="80" xfId="0" applyFont="1" applyBorder="1"/>
    <xf numFmtId="183" fontId="0" fillId="0" borderId="80" xfId="8" applyNumberFormat="1" applyFont="1" applyBorder="1" applyProtection="1">
      <protection locked="0"/>
    </xf>
    <xf numFmtId="0" fontId="10" fillId="0" borderId="79" xfId="0" applyFont="1" applyBorder="1"/>
    <xf numFmtId="183" fontId="0" fillId="0" borderId="79" xfId="27" applyNumberFormat="1" applyFont="1" applyBorder="1" applyProtection="1">
      <protection locked="0"/>
    </xf>
    <xf numFmtId="0" fontId="5" fillId="4" borderId="80" xfId="0" applyFont="1" applyFill="1" applyBorder="1"/>
    <xf numFmtId="179" fontId="5" fillId="4" borderId="80" xfId="6" applyNumberFormat="1" applyFont="1" applyFill="1" applyBorder="1" applyAlignment="1">
      <alignment horizontal="right"/>
    </xf>
    <xf numFmtId="179" fontId="5" fillId="0" borderId="80" xfId="6" applyNumberFormat="1" applyFont="1" applyFill="1" applyBorder="1" applyAlignment="1">
      <alignment horizontal="right"/>
    </xf>
    <xf numFmtId="0" fontId="10" fillId="4" borderId="80" xfId="0" applyFont="1" applyFill="1" applyBorder="1" applyAlignment="1">
      <alignment horizontal="left"/>
    </xf>
    <xf numFmtId="177" fontId="10" fillId="4" borderId="80" xfId="0" applyNumberFormat="1" applyFont="1" applyFill="1" applyBorder="1"/>
    <xf numFmtId="0" fontId="10" fillId="4" borderId="81" xfId="0" applyFont="1" applyFill="1" applyBorder="1" applyAlignment="1">
      <alignment horizontal="left"/>
    </xf>
    <xf numFmtId="176" fontId="10" fillId="4" borderId="81" xfId="0" applyNumberFormat="1" applyFont="1" applyFill="1" applyBorder="1"/>
    <xf numFmtId="182" fontId="5" fillId="0" borderId="0" xfId="0" applyNumberFormat="1" applyFont="1"/>
    <xf numFmtId="191" fontId="5" fillId="0" borderId="0" xfId="0" applyNumberFormat="1" applyFont="1"/>
    <xf numFmtId="4" fontId="5" fillId="0" borderId="0" xfId="0" applyNumberFormat="1" applyFont="1"/>
    <xf numFmtId="3" fontId="5" fillId="0" borderId="0" xfId="0" applyNumberFormat="1" applyFont="1"/>
    <xf numFmtId="2" fontId="5" fillId="0" borderId="0" xfId="0" applyNumberFormat="1" applyFont="1" applyAlignment="1">
      <alignment horizontal="right"/>
    </xf>
    <xf numFmtId="0" fontId="5" fillId="0" borderId="0" xfId="0" quotePrefix="1" applyFont="1" applyAlignment="1">
      <alignment horizontal="left"/>
    </xf>
    <xf numFmtId="180" fontId="5" fillId="0" borderId="0" xfId="6" applyNumberFormat="1" applyFont="1" applyAlignment="1">
      <alignment horizontal="right"/>
    </xf>
    <xf numFmtId="0" fontId="6" fillId="0" borderId="15" xfId="0" applyFont="1" applyBorder="1" applyAlignment="1">
      <alignment horizontal="center" wrapText="1"/>
    </xf>
    <xf numFmtId="0" fontId="6" fillId="0" borderId="15" xfId="0" applyFont="1" applyBorder="1" applyAlignment="1">
      <alignment horizontal="left" wrapText="1"/>
    </xf>
    <xf numFmtId="0" fontId="6" fillId="0" borderId="15" xfId="0" applyFont="1" applyBorder="1" applyAlignment="1">
      <alignment horizontal="left"/>
    </xf>
    <xf numFmtId="0" fontId="0" fillId="11" borderId="0" xfId="0" applyFill="1"/>
    <xf numFmtId="180" fontId="0" fillId="11" borderId="0" xfId="6" applyNumberFormat="1" applyFont="1" applyFill="1"/>
    <xf numFmtId="0" fontId="5" fillId="11" borderId="0" xfId="25" applyFill="1"/>
    <xf numFmtId="0" fontId="10" fillId="11" borderId="0" xfId="0" applyFont="1" applyFill="1"/>
    <xf numFmtId="0" fontId="0" fillId="10" borderId="0" xfId="0" applyFill="1" applyAlignment="1">
      <alignment vertical="center"/>
    </xf>
    <xf numFmtId="0" fontId="5" fillId="0" borderId="15" xfId="0" applyFont="1" applyBorder="1" applyAlignment="1">
      <alignment horizontal="center"/>
    </xf>
    <xf numFmtId="0" fontId="5" fillId="0" borderId="55" xfId="0" applyFont="1" applyBorder="1" applyAlignment="1">
      <alignment horizontal="right"/>
    </xf>
    <xf numFmtId="0" fontId="5" fillId="0" borderId="56" xfId="0" applyFont="1" applyBorder="1" applyAlignment="1">
      <alignment horizontal="right"/>
    </xf>
    <xf numFmtId="0" fontId="0" fillId="10" borderId="82" xfId="0" applyFill="1" applyBorder="1"/>
    <xf numFmtId="0" fontId="0" fillId="10" borderId="17" xfId="0" applyFill="1" applyBorder="1"/>
    <xf numFmtId="0" fontId="10" fillId="10" borderId="22" xfId="0" applyFont="1" applyFill="1" applyBorder="1"/>
    <xf numFmtId="0" fontId="0" fillId="10" borderId="22" xfId="0" applyFill="1" applyBorder="1" applyAlignment="1">
      <alignment horizontal="left"/>
    </xf>
    <xf numFmtId="0" fontId="15" fillId="10" borderId="22" xfId="0" applyFont="1" applyFill="1" applyBorder="1"/>
    <xf numFmtId="0" fontId="0" fillId="10" borderId="23" xfId="0" applyFill="1" applyBorder="1"/>
    <xf numFmtId="0" fontId="0" fillId="10" borderId="83" xfId="0" applyFill="1" applyBorder="1"/>
    <xf numFmtId="0" fontId="68" fillId="0" borderId="0" xfId="0" applyFont="1" applyAlignment="1">
      <alignment horizontal="left" indent="1"/>
    </xf>
    <xf numFmtId="0" fontId="55" fillId="0" borderId="0" xfId="0" applyFont="1"/>
    <xf numFmtId="0" fontId="55" fillId="0" borderId="0" xfId="0" applyFont="1" applyAlignment="1">
      <alignment horizontal="left" indent="1"/>
    </xf>
    <xf numFmtId="180" fontId="55" fillId="0" borderId="0" xfId="6" applyNumberFormat="1" applyFont="1"/>
    <xf numFmtId="0" fontId="69" fillId="0" borderId="0" xfId="0" applyFont="1"/>
    <xf numFmtId="0" fontId="0" fillId="12" borderId="0" xfId="0" applyFill="1"/>
    <xf numFmtId="0" fontId="65" fillId="4" borderId="0" xfId="0" applyFont="1" applyFill="1" applyAlignment="1" applyProtection="1">
      <alignment horizontal="left"/>
      <protection hidden="1"/>
    </xf>
    <xf numFmtId="0" fontId="5" fillId="11" borderId="0" xfId="0" applyFont="1" applyFill="1"/>
    <xf numFmtId="0" fontId="5" fillId="0" borderId="75" xfId="0" applyFont="1" applyBorder="1"/>
    <xf numFmtId="0" fontId="0" fillId="13" borderId="0" xfId="0" applyFill="1"/>
    <xf numFmtId="0" fontId="5" fillId="4" borderId="0" xfId="0" applyFont="1" applyFill="1" applyAlignment="1">
      <alignment horizontal="left" wrapText="1"/>
    </xf>
    <xf numFmtId="0" fontId="23" fillId="4" borderId="0" xfId="0" quotePrefix="1" applyFont="1" applyFill="1" applyAlignment="1">
      <alignment vertical="center" wrapText="1"/>
    </xf>
    <xf numFmtId="0" fontId="70" fillId="4" borderId="2" xfId="0" applyFont="1" applyFill="1" applyBorder="1" applyAlignment="1">
      <alignment horizontal="left"/>
    </xf>
    <xf numFmtId="0" fontId="5" fillId="4" borderId="82" xfId="0" applyFont="1" applyFill="1" applyBorder="1"/>
    <xf numFmtId="0" fontId="6" fillId="4" borderId="85" xfId="0" applyFont="1" applyFill="1" applyBorder="1"/>
    <xf numFmtId="176" fontId="6" fillId="4" borderId="85" xfId="0" applyNumberFormat="1" applyFont="1" applyFill="1" applyBorder="1"/>
    <xf numFmtId="0" fontId="6" fillId="4" borderId="81" xfId="0" applyFont="1" applyFill="1" applyBorder="1"/>
    <xf numFmtId="176" fontId="6" fillId="4" borderId="81" xfId="0" applyNumberFormat="1" applyFont="1" applyFill="1" applyBorder="1"/>
    <xf numFmtId="0" fontId="43" fillId="4" borderId="84" xfId="0" applyFont="1" applyFill="1" applyBorder="1"/>
    <xf numFmtId="176" fontId="51" fillId="4" borderId="84" xfId="0" applyNumberFormat="1" applyFont="1" applyFill="1" applyBorder="1"/>
    <xf numFmtId="183" fontId="0" fillId="4" borderId="0" xfId="8" applyNumberFormat="1" applyFont="1" applyFill="1" applyBorder="1" applyProtection="1">
      <protection hidden="1"/>
    </xf>
    <xf numFmtId="0" fontId="0" fillId="0" borderId="45" xfId="0" applyBorder="1" applyAlignment="1">
      <alignment horizontal="center"/>
    </xf>
    <xf numFmtId="0" fontId="50" fillId="4" borderId="86" xfId="18" applyFill="1" applyBorder="1">
      <alignment vertical="center"/>
    </xf>
    <xf numFmtId="0" fontId="8" fillId="4" borderId="87" xfId="0" applyFont="1" applyFill="1" applyBorder="1"/>
    <xf numFmtId="0" fontId="6" fillId="13" borderId="87" xfId="0" applyFont="1" applyFill="1" applyBorder="1" applyAlignment="1">
      <alignment horizontal="right"/>
    </xf>
    <xf numFmtId="0" fontId="9" fillId="4" borderId="88" xfId="0" applyFont="1" applyFill="1" applyBorder="1" applyAlignment="1">
      <alignment vertical="center"/>
    </xf>
    <xf numFmtId="0" fontId="50" fillId="4" borderId="34" xfId="18" applyFill="1" applyBorder="1">
      <alignment vertical="center"/>
    </xf>
    <xf numFmtId="0" fontId="8" fillId="4" borderId="80" xfId="0" applyFont="1" applyFill="1" applyBorder="1"/>
    <xf numFmtId="0" fontId="5" fillId="0" borderId="0" xfId="29" applyFont="1"/>
    <xf numFmtId="0" fontId="8" fillId="0" borderId="0" xfId="29" applyFont="1"/>
    <xf numFmtId="0" fontId="21" fillId="3" borderId="6" xfId="6" applyNumberFormat="1" applyFont="1" applyFill="1" applyBorder="1" applyProtection="1">
      <protection locked="0"/>
    </xf>
    <xf numFmtId="0" fontId="71" fillId="4" borderId="0" xfId="0" applyFont="1" applyFill="1" applyAlignment="1" applyProtection="1">
      <alignment horizontal="left" vertical="center" wrapText="1"/>
      <protection hidden="1"/>
    </xf>
    <xf numFmtId="0" fontId="8" fillId="0" borderId="49" xfId="0" applyFont="1" applyBorder="1"/>
    <xf numFmtId="0" fontId="10" fillId="0" borderId="28" xfId="0" applyFont="1" applyBorder="1"/>
    <xf numFmtId="0" fontId="10" fillId="0" borderId="37" xfId="0" applyFont="1" applyBorder="1"/>
    <xf numFmtId="0" fontId="0" fillId="10" borderId="0" xfId="0" applyFill="1" applyAlignment="1">
      <alignment vertical="center" wrapText="1"/>
    </xf>
    <xf numFmtId="0" fontId="17" fillId="10" borderId="82" xfId="10" quotePrefix="1" applyFill="1" applyBorder="1" applyAlignment="1" applyProtection="1">
      <alignment vertical="center" wrapText="1"/>
      <protection hidden="1"/>
    </xf>
    <xf numFmtId="0" fontId="54" fillId="0" borderId="0" xfId="32" applyNumberFormat="1" applyFont="1"/>
    <xf numFmtId="180" fontId="55" fillId="0" borderId="0" xfId="32" applyNumberFormat="1" applyFont="1"/>
    <xf numFmtId="0" fontId="55" fillId="0" borderId="0" xfId="32" applyNumberFormat="1" applyFont="1" applyAlignment="1">
      <alignment horizontal="left" indent="1"/>
    </xf>
    <xf numFmtId="180" fontId="55" fillId="14" borderId="22" xfId="32" applyNumberFormat="1" applyFont="1" applyFill="1" applyBorder="1"/>
    <xf numFmtId="180" fontId="55" fillId="14" borderId="0" xfId="32" applyNumberFormat="1" applyFont="1" applyFill="1"/>
    <xf numFmtId="180" fontId="54" fillId="0" borderId="83" xfId="32" applyNumberFormat="1" applyFont="1" applyFill="1" applyBorder="1" applyAlignment="1">
      <alignment horizontal="center" vertical="center" wrapText="1"/>
    </xf>
    <xf numFmtId="180" fontId="54" fillId="0" borderId="15" xfId="32" applyNumberFormat="1" applyFont="1" applyFill="1" applyBorder="1" applyAlignment="1">
      <alignment horizontal="center" vertical="center"/>
    </xf>
    <xf numFmtId="180" fontId="54" fillId="0" borderId="16" xfId="32" applyNumberFormat="1" applyFont="1" applyFill="1" applyBorder="1" applyAlignment="1">
      <alignment horizontal="center" vertical="center"/>
    </xf>
    <xf numFmtId="180" fontId="54" fillId="0" borderId="15" xfId="32" applyNumberFormat="1" applyFont="1" applyFill="1" applyBorder="1" applyAlignment="1">
      <alignment horizontal="center" vertical="center" wrapText="1"/>
    </xf>
    <xf numFmtId="180" fontId="55" fillId="14" borderId="15" xfId="32" applyNumberFormat="1" applyFont="1" applyFill="1" applyBorder="1"/>
    <xf numFmtId="0" fontId="55" fillId="0" borderId="16" xfId="32" applyNumberFormat="1" applyFont="1" applyBorder="1"/>
    <xf numFmtId="192" fontId="55" fillId="0" borderId="15" xfId="32" applyNumberFormat="1" applyFont="1" applyBorder="1" applyAlignment="1">
      <alignment horizontal="center"/>
    </xf>
    <xf numFmtId="2" fontId="55" fillId="0" borderId="16" xfId="32" applyNumberFormat="1" applyFont="1" applyBorder="1" applyAlignment="1">
      <alignment horizontal="center"/>
    </xf>
    <xf numFmtId="192" fontId="55" fillId="0" borderId="83" xfId="32" applyNumberFormat="1" applyFont="1" applyBorder="1" applyAlignment="1">
      <alignment horizontal="center"/>
    </xf>
    <xf numFmtId="192" fontId="55" fillId="0" borderId="16" xfId="32" applyNumberFormat="1" applyFont="1" applyBorder="1" applyAlignment="1">
      <alignment horizontal="center"/>
    </xf>
    <xf numFmtId="0" fontId="55" fillId="0" borderId="15" xfId="32" applyNumberFormat="1" applyFont="1" applyBorder="1"/>
    <xf numFmtId="180" fontId="55" fillId="0" borderId="15" xfId="32" applyNumberFormat="1" applyFont="1" applyBorder="1"/>
    <xf numFmtId="0" fontId="55" fillId="0" borderId="2" xfId="32" applyNumberFormat="1" applyFont="1" applyBorder="1"/>
    <xf numFmtId="192" fontId="55" fillId="0" borderId="0" xfId="32" applyNumberFormat="1" applyFont="1" applyAlignment="1">
      <alignment horizontal="center"/>
    </xf>
    <xf numFmtId="193" fontId="55" fillId="0" borderId="0" xfId="32" applyNumberFormat="1" applyFont="1" applyAlignment="1">
      <alignment horizontal="center"/>
    </xf>
    <xf numFmtId="2" fontId="55" fillId="0" borderId="2" xfId="32" applyNumberFormat="1" applyFont="1" applyBorder="1" applyAlignment="1">
      <alignment horizontal="center"/>
    </xf>
    <xf numFmtId="192" fontId="55" fillId="0" borderId="82" xfId="32" applyNumberFormat="1" applyFont="1" applyBorder="1" applyAlignment="1">
      <alignment horizontal="center"/>
    </xf>
    <xf numFmtId="192" fontId="55" fillId="0" borderId="0" xfId="32" applyNumberFormat="1" applyFont="1" applyBorder="1" applyAlignment="1">
      <alignment horizontal="center"/>
    </xf>
    <xf numFmtId="192" fontId="55" fillId="0" borderId="2" xfId="32" applyNumberFormat="1" applyFont="1" applyBorder="1" applyAlignment="1">
      <alignment horizontal="center"/>
    </xf>
    <xf numFmtId="0" fontId="55" fillId="0" borderId="0" xfId="32" applyNumberFormat="1" applyFont="1"/>
    <xf numFmtId="193" fontId="55" fillId="0" borderId="15" xfId="32" applyNumberFormat="1" applyFont="1" applyBorder="1" applyAlignment="1">
      <alignment horizontal="center"/>
    </xf>
    <xf numFmtId="0" fontId="55" fillId="0" borderId="70" xfId="32" applyNumberFormat="1" applyFont="1" applyBorder="1"/>
    <xf numFmtId="192" fontId="55" fillId="0" borderId="48" xfId="32" applyNumberFormat="1" applyFont="1" applyBorder="1" applyAlignment="1">
      <alignment horizontal="center"/>
    </xf>
    <xf numFmtId="194" fontId="55" fillId="0" borderId="48" xfId="32" applyNumberFormat="1" applyFont="1" applyBorder="1" applyAlignment="1">
      <alignment horizontal="center"/>
    </xf>
    <xf numFmtId="2" fontId="55" fillId="0" borderId="70" xfId="32" applyNumberFormat="1" applyFont="1" applyBorder="1" applyAlignment="1">
      <alignment horizontal="center"/>
    </xf>
    <xf numFmtId="192" fontId="55" fillId="0" borderId="69" xfId="32" applyNumberFormat="1" applyFont="1" applyBorder="1" applyAlignment="1">
      <alignment horizontal="center"/>
    </xf>
    <xf numFmtId="192" fontId="55" fillId="0" borderId="70" xfId="32" applyNumberFormat="1" applyFont="1" applyBorder="1" applyAlignment="1">
      <alignment horizontal="center"/>
    </xf>
    <xf numFmtId="0" fontId="55" fillId="0" borderId="48" xfId="32" applyNumberFormat="1" applyFont="1" applyBorder="1"/>
    <xf numFmtId="180" fontId="55" fillId="0" borderId="48" xfId="32" applyNumberFormat="1" applyFont="1" applyBorder="1"/>
    <xf numFmtId="0" fontId="55" fillId="0" borderId="23" xfId="32" applyNumberFormat="1" applyFont="1" applyBorder="1"/>
    <xf numFmtId="192" fontId="55" fillId="0" borderId="22" xfId="32" applyNumberFormat="1" applyFont="1" applyBorder="1" applyAlignment="1">
      <alignment horizontal="center"/>
    </xf>
    <xf numFmtId="185" fontId="55" fillId="0" borderId="23" xfId="32" applyNumberFormat="1" applyFont="1" applyBorder="1" applyAlignment="1">
      <alignment horizontal="center"/>
    </xf>
    <xf numFmtId="192" fontId="55" fillId="0" borderId="17" xfId="32" applyNumberFormat="1" applyFont="1" applyBorder="1" applyAlignment="1">
      <alignment horizontal="center"/>
    </xf>
    <xf numFmtId="192" fontId="55" fillId="0" borderId="23" xfId="32" applyNumberFormat="1" applyFont="1" applyBorder="1" applyAlignment="1">
      <alignment horizontal="center"/>
    </xf>
    <xf numFmtId="0" fontId="55" fillId="0" borderId="17" xfId="32" applyNumberFormat="1" applyFont="1" applyBorder="1" applyAlignment="1">
      <alignment horizontal="center"/>
    </xf>
    <xf numFmtId="0" fontId="55" fillId="0" borderId="22" xfId="32" applyNumberFormat="1" applyFont="1" applyBorder="1"/>
    <xf numFmtId="180" fontId="55" fillId="0" borderId="22" xfId="32" applyNumberFormat="1" applyFont="1" applyBorder="1"/>
    <xf numFmtId="185" fontId="55" fillId="0" borderId="16" xfId="32" applyNumberFormat="1" applyFont="1" applyBorder="1" applyAlignment="1">
      <alignment horizontal="center"/>
    </xf>
    <xf numFmtId="0" fontId="55" fillId="0" borderId="83" xfId="32" applyNumberFormat="1" applyFont="1" applyBorder="1" applyAlignment="1">
      <alignment horizontal="center"/>
    </xf>
    <xf numFmtId="2" fontId="55" fillId="0" borderId="0" xfId="32" applyNumberFormat="1" applyFont="1" applyBorder="1" applyAlignment="1">
      <alignment horizontal="center"/>
    </xf>
    <xf numFmtId="9" fontId="5" fillId="2" borderId="0" xfId="0" applyNumberFormat="1" applyFont="1" applyFill="1"/>
    <xf numFmtId="9" fontId="0" fillId="13" borderId="0" xfId="27" applyFont="1" applyFill="1" applyAlignment="1">
      <alignment horizontal="right"/>
    </xf>
    <xf numFmtId="0" fontId="0" fillId="13" borderId="0" xfId="0" applyFill="1" applyAlignment="1">
      <alignment horizontal="right"/>
    </xf>
    <xf numFmtId="0" fontId="0" fillId="2" borderId="0" xfId="0" applyFill="1" applyAlignment="1">
      <alignment horizontal="right"/>
    </xf>
    <xf numFmtId="0" fontId="5" fillId="5" borderId="0" xfId="0" applyFont="1" applyFill="1" applyProtection="1">
      <protection locked="0"/>
    </xf>
    <xf numFmtId="0" fontId="5" fillId="5" borderId="1" xfId="0" quotePrefix="1" applyFont="1" applyFill="1" applyBorder="1" applyAlignment="1" applyProtection="1">
      <alignment horizontal="left"/>
      <protection hidden="1"/>
    </xf>
    <xf numFmtId="183" fontId="6" fillId="0" borderId="0" xfId="8" quotePrefix="1" applyNumberFormat="1" applyFont="1" applyBorder="1" applyAlignment="1" applyProtection="1">
      <alignment horizontal="right"/>
      <protection hidden="1"/>
    </xf>
    <xf numFmtId="183" fontId="6" fillId="0" borderId="0" xfId="0" quotePrefix="1" applyNumberFormat="1" applyFont="1" applyAlignment="1" applyProtection="1">
      <alignment horizontal="right"/>
      <protection hidden="1"/>
    </xf>
    <xf numFmtId="0" fontId="6" fillId="0" borderId="0" xfId="0" quotePrefix="1" applyFont="1" applyAlignment="1" applyProtection="1">
      <alignment horizontal="right"/>
      <protection hidden="1"/>
    </xf>
    <xf numFmtId="0" fontId="5" fillId="13" borderId="0" xfId="7" applyNumberFormat="1" applyFont="1" applyFill="1"/>
    <xf numFmtId="0" fontId="5" fillId="18" borderId="0" xfId="0" applyFont="1" applyFill="1"/>
    <xf numFmtId="0" fontId="12" fillId="10" borderId="1" xfId="0" quotePrefix="1" applyFont="1" applyFill="1" applyBorder="1" applyAlignment="1" applyProtection="1">
      <alignment vertical="center"/>
      <protection hidden="1"/>
    </xf>
    <xf numFmtId="183" fontId="23" fillId="4" borderId="15" xfId="0" applyNumberFormat="1" applyFont="1" applyFill="1" applyBorder="1"/>
    <xf numFmtId="9" fontId="0" fillId="0" borderId="0" xfId="27" applyFont="1"/>
    <xf numFmtId="0" fontId="65" fillId="4" borderId="0" xfId="0" applyFont="1" applyFill="1"/>
    <xf numFmtId="0" fontId="65" fillId="4" borderId="0" xfId="0" quotePrefix="1" applyFont="1" applyFill="1"/>
    <xf numFmtId="0" fontId="17" fillId="4" borderId="5" xfId="10" quotePrefix="1" applyFill="1" applyBorder="1" applyAlignment="1" applyProtection="1">
      <alignment horizontal="center"/>
    </xf>
    <xf numFmtId="0" fontId="42" fillId="4" borderId="0" xfId="0" applyFont="1" applyFill="1"/>
    <xf numFmtId="0" fontId="5" fillId="4" borderId="0" xfId="0" applyFont="1" applyFill="1" applyAlignment="1">
      <alignment horizontal="right"/>
    </xf>
    <xf numFmtId="0" fontId="72" fillId="4" borderId="0" xfId="0" applyFont="1" applyFill="1"/>
    <xf numFmtId="0" fontId="49" fillId="0" borderId="0" xfId="28">
      <alignment vertical="center"/>
    </xf>
    <xf numFmtId="0" fontId="5" fillId="0" borderId="82" xfId="0" applyFont="1" applyBorder="1" applyAlignment="1">
      <alignment horizontal="right"/>
    </xf>
    <xf numFmtId="0" fontId="5" fillId="0" borderId="83" xfId="0" applyFont="1" applyBorder="1"/>
    <xf numFmtId="0" fontId="5" fillId="0" borderId="83" xfId="0" applyFont="1" applyBorder="1" applyAlignment="1">
      <alignment horizontal="right"/>
    </xf>
    <xf numFmtId="0" fontId="5" fillId="13" borderId="0" xfId="0" applyFont="1" applyFill="1" applyAlignment="1">
      <alignment horizontal="left"/>
    </xf>
    <xf numFmtId="185" fontId="0" fillId="10" borderId="0" xfId="0" applyNumberFormat="1" applyFill="1"/>
    <xf numFmtId="185" fontId="0" fillId="10" borderId="0" xfId="0" applyNumberFormat="1" applyFill="1" applyAlignment="1">
      <alignment horizontal="right"/>
    </xf>
    <xf numFmtId="0" fontId="5" fillId="4" borderId="0" xfId="0" applyFont="1" applyFill="1" applyAlignment="1">
      <alignment wrapText="1"/>
    </xf>
    <xf numFmtId="0" fontId="54" fillId="0" borderId="0" xfId="0" applyFont="1"/>
    <xf numFmtId="0" fontId="5" fillId="12" borderId="0" xfId="0" applyFont="1" applyFill="1"/>
    <xf numFmtId="0" fontId="0" fillId="12" borderId="0" xfId="0" quotePrefix="1" applyFill="1"/>
    <xf numFmtId="0" fontId="6" fillId="4" borderId="0" xfId="0" applyFont="1" applyFill="1" applyAlignment="1">
      <alignment horizontal="center"/>
    </xf>
    <xf numFmtId="0" fontId="6" fillId="4" borderId="0" xfId="0" applyFont="1" applyFill="1" applyAlignment="1" applyProtection="1">
      <alignment horizontal="right"/>
      <protection locked="0"/>
    </xf>
    <xf numFmtId="0" fontId="6" fillId="4" borderId="0" xfId="0" applyFont="1" applyFill="1" applyProtection="1">
      <protection locked="0"/>
    </xf>
    <xf numFmtId="0" fontId="6" fillId="4" borderId="22" xfId="0" applyFont="1" applyFill="1" applyBorder="1" applyProtection="1">
      <protection locked="0"/>
    </xf>
    <xf numFmtId="0" fontId="5" fillId="0" borderId="0" xfId="9" applyNumberFormat="1" applyFont="1" applyAlignment="1">
      <alignment horizontal="right"/>
    </xf>
    <xf numFmtId="0" fontId="5" fillId="0" borderId="0" xfId="27" applyNumberFormat="1" applyFont="1" applyFill="1"/>
    <xf numFmtId="0" fontId="5" fillId="4" borderId="18" xfId="0" applyFont="1" applyFill="1" applyBorder="1"/>
    <xf numFmtId="0" fontId="73" fillId="0" borderId="0" xfId="0" applyFont="1" applyAlignment="1">
      <alignment horizontal="left"/>
    </xf>
    <xf numFmtId="0" fontId="23" fillId="4" borderId="25" xfId="0" applyFont="1" applyFill="1" applyBorder="1" applyAlignment="1">
      <alignment wrapText="1"/>
    </xf>
    <xf numFmtId="0" fontId="23" fillId="4" borderId="2" xfId="0" applyFont="1" applyFill="1" applyBorder="1" applyAlignment="1">
      <alignment wrapText="1"/>
    </xf>
    <xf numFmtId="0" fontId="6" fillId="0" borderId="55" xfId="0" applyFont="1" applyBorder="1"/>
    <xf numFmtId="3" fontId="6" fillId="0" borderId="55" xfId="0" applyNumberFormat="1" applyFont="1" applyBorder="1"/>
    <xf numFmtId="0" fontId="6" fillId="10" borderId="0" xfId="24" applyFont="1" applyFill="1" applyAlignment="1">
      <alignment horizontal="center" vertical="center"/>
    </xf>
    <xf numFmtId="0" fontId="80" fillId="10" borderId="0" xfId="24" applyFont="1" applyFill="1" applyAlignment="1">
      <alignment horizontal="left" vertical="center"/>
    </xf>
    <xf numFmtId="0" fontId="10" fillId="10" borderId="0" xfId="24" applyFill="1" applyAlignment="1">
      <alignment vertical="center"/>
    </xf>
    <xf numFmtId="0" fontId="10" fillId="10" borderId="0" xfId="24" applyFill="1" applyAlignment="1">
      <alignment vertical="center" wrapText="1"/>
    </xf>
    <xf numFmtId="0" fontId="17" fillId="10" borderId="0" xfId="31" applyFill="1" applyAlignment="1" applyProtection="1">
      <alignment vertical="center"/>
    </xf>
    <xf numFmtId="0" fontId="10" fillId="10" borderId="0" xfId="24" applyFill="1"/>
    <xf numFmtId="49" fontId="5" fillId="10" borderId="15" xfId="24" applyNumberFormat="1" applyFont="1" applyFill="1" applyBorder="1" applyAlignment="1">
      <alignment horizontal="center" vertical="center"/>
    </xf>
    <xf numFmtId="0" fontId="5" fillId="10" borderId="0" xfId="24" applyFont="1" applyFill="1" applyAlignment="1">
      <alignment horizontal="left" vertical="center" indent="2"/>
    </xf>
    <xf numFmtId="0" fontId="8" fillId="0" borderId="15" xfId="0" applyFont="1" applyBorder="1" applyAlignment="1">
      <alignment horizontal="left"/>
    </xf>
    <xf numFmtId="4" fontId="0" fillId="0" borderId="0" xfId="0" applyNumberFormat="1"/>
    <xf numFmtId="0" fontId="8" fillId="0" borderId="55" xfId="0" applyFont="1" applyBorder="1"/>
    <xf numFmtId="0" fontId="0" fillId="0" borderId="55" xfId="0" applyBorder="1"/>
    <xf numFmtId="1" fontId="0" fillId="0" borderId="55" xfId="0" applyNumberFormat="1" applyBorder="1"/>
    <xf numFmtId="0" fontId="0" fillId="0" borderId="48" xfId="0" applyBorder="1"/>
    <xf numFmtId="4" fontId="0" fillId="0" borderId="48" xfId="0" applyNumberFormat="1" applyBorder="1"/>
    <xf numFmtId="0" fontId="0" fillId="0" borderId="48" xfId="0" applyBorder="1" applyAlignment="1">
      <alignment horizontal="right"/>
    </xf>
    <xf numFmtId="0" fontId="5" fillId="0" borderId="48" xfId="0" applyFont="1" applyBorder="1"/>
    <xf numFmtId="4" fontId="0" fillId="0" borderId="55" xfId="0" applyNumberFormat="1" applyBorder="1"/>
    <xf numFmtId="0" fontId="0" fillId="0" borderId="55" xfId="0" applyBorder="1" applyAlignment="1">
      <alignment horizontal="right"/>
    </xf>
    <xf numFmtId="4" fontId="0" fillId="0" borderId="15" xfId="0" applyNumberFormat="1" applyBorder="1"/>
    <xf numFmtId="0" fontId="0" fillId="0" borderId="15" xfId="0" applyBorder="1" applyAlignment="1">
      <alignment horizontal="right"/>
    </xf>
    <xf numFmtId="0" fontId="5" fillId="0" borderId="55" xfId="0" applyFont="1" applyBorder="1"/>
    <xf numFmtId="1" fontId="5" fillId="0" borderId="15" xfId="0" applyNumberFormat="1" applyFont="1" applyBorder="1" applyAlignment="1">
      <alignment horizontal="center"/>
    </xf>
    <xf numFmtId="0" fontId="6" fillId="0" borderId="69" xfId="0" applyFont="1" applyBorder="1"/>
    <xf numFmtId="0" fontId="0" fillId="0" borderId="70" xfId="0" applyBorder="1"/>
    <xf numFmtId="0" fontId="74" fillId="0" borderId="0" xfId="0" applyFont="1"/>
    <xf numFmtId="4" fontId="5" fillId="0" borderId="0" xfId="8" applyNumberFormat="1" applyFont="1" applyFill="1"/>
    <xf numFmtId="0" fontId="8" fillId="0" borderId="55" xfId="0" applyFont="1" applyBorder="1" applyAlignment="1">
      <alignment horizontal="left"/>
    </xf>
    <xf numFmtId="195" fontId="75" fillId="0" borderId="55" xfId="0" applyNumberFormat="1" applyFont="1" applyBorder="1"/>
    <xf numFmtId="0" fontId="76" fillId="0" borderId="0" xfId="0" applyFont="1"/>
    <xf numFmtId="0" fontId="77" fillId="0" borderId="0" xfId="0" applyFont="1"/>
    <xf numFmtId="0" fontId="78" fillId="0" borderId="0" xfId="0" applyFont="1"/>
    <xf numFmtId="0" fontId="8" fillId="0" borderId="15" xfId="0" applyFont="1" applyBorder="1" applyAlignment="1">
      <alignment horizontal="center"/>
    </xf>
    <xf numFmtId="0" fontId="11" fillId="0" borderId="48" xfId="0" applyFont="1" applyBorder="1" applyAlignment="1">
      <alignment horizontal="left"/>
    </xf>
    <xf numFmtId="0" fontId="26" fillId="0" borderId="48" xfId="0" applyFont="1" applyBorder="1"/>
    <xf numFmtId="0" fontId="12" fillId="0" borderId="48" xfId="0" applyFont="1" applyBorder="1"/>
    <xf numFmtId="0" fontId="11" fillId="0" borderId="48" xfId="0" applyFont="1" applyBorder="1"/>
    <xf numFmtId="3" fontId="0" fillId="0" borderId="15" xfId="0" applyNumberFormat="1" applyBorder="1"/>
    <xf numFmtId="183" fontId="5" fillId="0" borderId="0" xfId="8" applyNumberFormat="1" applyFill="1"/>
    <xf numFmtId="188" fontId="0" fillId="0" borderId="0" xfId="27" applyNumberFormat="1" applyFont="1" applyFill="1"/>
    <xf numFmtId="0" fontId="79" fillId="0" borderId="0" xfId="0" applyFont="1"/>
    <xf numFmtId="179" fontId="0" fillId="0" borderId="0" xfId="6" applyNumberFormat="1" applyFont="1" applyFill="1"/>
    <xf numFmtId="10" fontId="0" fillId="0" borderId="0" xfId="0" applyNumberFormat="1"/>
    <xf numFmtId="9" fontId="55" fillId="0" borderId="0" xfId="0" applyNumberFormat="1" applyFont="1"/>
    <xf numFmtId="43" fontId="0" fillId="0" borderId="0" xfId="6" applyFont="1" applyFill="1"/>
    <xf numFmtId="10" fontId="0" fillId="0" borderId="0" xfId="27" applyNumberFormat="1" applyFont="1" applyFill="1"/>
    <xf numFmtId="0" fontId="5" fillId="0" borderId="0" xfId="10" applyFont="1" applyFill="1" applyAlignment="1" applyProtection="1"/>
    <xf numFmtId="0" fontId="0" fillId="0" borderId="0" xfId="0" applyAlignment="1">
      <alignment horizontal="center" wrapText="1"/>
    </xf>
    <xf numFmtId="0" fontId="0" fillId="0" borderId="0" xfId="0" applyAlignment="1">
      <alignment horizontal="center"/>
    </xf>
    <xf numFmtId="185" fontId="0" fillId="0" borderId="0" xfId="0" applyNumberFormat="1" applyAlignment="1">
      <alignment horizontal="center"/>
    </xf>
    <xf numFmtId="1" fontId="0" fillId="0" borderId="0" xfId="0" applyNumberFormat="1" applyAlignment="1">
      <alignment horizontal="center"/>
    </xf>
    <xf numFmtId="10" fontId="6" fillId="0" borderId="0" xfId="0" applyNumberFormat="1" applyFont="1"/>
    <xf numFmtId="10" fontId="7" fillId="0" borderId="0" xfId="0" applyNumberFormat="1" applyFont="1"/>
    <xf numFmtId="181" fontId="7" fillId="0" borderId="0" xfId="0" applyNumberFormat="1" applyFont="1"/>
    <xf numFmtId="1" fontId="0" fillId="0" borderId="0" xfId="6" applyNumberFormat="1" applyFont="1" applyFill="1"/>
    <xf numFmtId="10" fontId="5" fillId="0" borderId="0" xfId="0" applyNumberFormat="1" applyFont="1"/>
    <xf numFmtId="181" fontId="5" fillId="0" borderId="0" xfId="0" applyNumberFormat="1" applyFont="1"/>
    <xf numFmtId="22" fontId="0" fillId="0" borderId="0" xfId="0" applyNumberFormat="1"/>
    <xf numFmtId="183" fontId="10" fillId="10" borderId="15" xfId="8" applyNumberFormat="1" applyFont="1" applyFill="1" applyBorder="1" applyProtection="1">
      <protection hidden="1"/>
    </xf>
    <xf numFmtId="0" fontId="5" fillId="4" borderId="5" xfId="0" applyFont="1" applyFill="1" applyBorder="1"/>
    <xf numFmtId="0" fontId="6" fillId="20" borderId="1" xfId="0" quotePrefix="1" applyFont="1" applyFill="1" applyBorder="1"/>
    <xf numFmtId="0" fontId="6" fillId="20" borderId="0" xfId="0" applyFont="1" applyFill="1" applyProtection="1">
      <protection hidden="1"/>
    </xf>
    <xf numFmtId="180" fontId="6" fillId="20" borderId="0" xfId="6" applyNumberFormat="1" applyFont="1" applyFill="1" applyBorder="1" applyProtection="1">
      <protection hidden="1"/>
    </xf>
    <xf numFmtId="0" fontId="6" fillId="20" borderId="0" xfId="0" applyFont="1" applyFill="1" applyAlignment="1" applyProtection="1">
      <alignment horizontal="right"/>
      <protection hidden="1"/>
    </xf>
    <xf numFmtId="178" fontId="6" fillId="20" borderId="0" xfId="8" applyFont="1" applyFill="1" applyBorder="1" applyProtection="1">
      <protection hidden="1"/>
    </xf>
    <xf numFmtId="183" fontId="6" fillId="20" borderId="0" xfId="0" applyNumberFormat="1" applyFont="1" applyFill="1" applyAlignment="1" applyProtection="1">
      <alignment horizontal="right"/>
      <protection hidden="1"/>
    </xf>
    <xf numFmtId="0" fontId="6" fillId="20" borderId="0" xfId="0" quotePrefix="1" applyFont="1" applyFill="1"/>
    <xf numFmtId="0" fontId="6" fillId="20" borderId="0" xfId="0" applyFont="1" applyFill="1"/>
    <xf numFmtId="180" fontId="6" fillId="20" borderId="0" xfId="6" applyNumberFormat="1" applyFont="1" applyFill="1" applyBorder="1"/>
    <xf numFmtId="183" fontId="6" fillId="20" borderId="0" xfId="0" applyNumberFormat="1" applyFont="1" applyFill="1" applyProtection="1">
      <protection hidden="1"/>
    </xf>
    <xf numFmtId="0" fontId="6" fillId="20" borderId="0" xfId="0" applyFont="1" applyFill="1" applyAlignment="1">
      <alignment vertical="center"/>
    </xf>
    <xf numFmtId="180" fontId="6" fillId="20" borderId="0" xfId="6" applyNumberFormat="1" applyFont="1" applyFill="1" applyBorder="1" applyAlignment="1">
      <alignment vertical="center"/>
    </xf>
    <xf numFmtId="0" fontId="6" fillId="20" borderId="0" xfId="0" applyFont="1" applyFill="1" applyAlignment="1" applyProtection="1">
      <alignment vertical="center"/>
      <protection hidden="1"/>
    </xf>
    <xf numFmtId="178" fontId="6" fillId="20" borderId="0" xfId="8" applyFont="1" applyFill="1" applyBorder="1" applyAlignment="1" applyProtection="1">
      <alignment vertical="center"/>
      <protection hidden="1"/>
    </xf>
    <xf numFmtId="183" fontId="6" fillId="20" borderId="0" xfId="0" applyNumberFormat="1" applyFont="1" applyFill="1" applyAlignment="1" applyProtection="1">
      <alignment vertical="center"/>
      <protection hidden="1"/>
    </xf>
    <xf numFmtId="0" fontId="0" fillId="20" borderId="55" xfId="0" applyFill="1" applyBorder="1"/>
    <xf numFmtId="0" fontId="0" fillId="20" borderId="15" xfId="0" applyFill="1" applyBorder="1"/>
    <xf numFmtId="177" fontId="0" fillId="20" borderId="15" xfId="0" applyNumberFormat="1" applyFill="1" applyBorder="1"/>
    <xf numFmtId="2" fontId="0" fillId="20" borderId="0" xfId="0" applyNumberFormat="1" applyFill="1" applyAlignment="1">
      <alignment horizontal="center" vertical="center"/>
    </xf>
    <xf numFmtId="0" fontId="0" fillId="20" borderId="0" xfId="0" applyFill="1"/>
    <xf numFmtId="0" fontId="8" fillId="20" borderId="0" xfId="0" applyFont="1" applyFill="1"/>
    <xf numFmtId="0" fontId="5" fillId="20" borderId="0" xfId="0" applyFont="1" applyFill="1"/>
    <xf numFmtId="0" fontId="5" fillId="20" borderId="0" xfId="0" quotePrefix="1" applyFont="1" applyFill="1"/>
    <xf numFmtId="178" fontId="0" fillId="20" borderId="0" xfId="0" applyNumberFormat="1" applyFill="1"/>
    <xf numFmtId="0" fontId="0" fillId="20" borderId="0" xfId="0" quotePrefix="1" applyFill="1"/>
    <xf numFmtId="0" fontId="0" fillId="21" borderId="0" xfId="0" applyFill="1"/>
    <xf numFmtId="4" fontId="0" fillId="20" borderId="0" xfId="0" applyNumberFormat="1" applyFill="1"/>
    <xf numFmtId="0" fontId="23" fillId="4" borderId="1" xfId="0" quotePrefix="1" applyFont="1" applyFill="1" applyBorder="1" applyAlignment="1" applyProtection="1">
      <alignment horizontal="left" vertical="center" wrapText="1"/>
      <protection hidden="1"/>
    </xf>
    <xf numFmtId="0" fontId="0" fillId="0" borderId="0" xfId="0" applyAlignment="1">
      <alignment wrapText="1"/>
    </xf>
    <xf numFmtId="0" fontId="58" fillId="4" borderId="17" xfId="0" applyFont="1" applyFill="1" applyBorder="1" applyAlignment="1">
      <alignment horizontal="center" vertical="center" wrapText="1"/>
    </xf>
    <xf numFmtId="0" fontId="58" fillId="4" borderId="23" xfId="0" applyFont="1" applyFill="1" applyBorder="1" applyAlignment="1">
      <alignment horizontal="center" vertical="center" wrapText="1"/>
    </xf>
    <xf numFmtId="0" fontId="58" fillId="4" borderId="18" xfId="0" applyFont="1" applyFill="1" applyBorder="1" applyAlignment="1">
      <alignment horizontal="center" vertical="center" wrapText="1"/>
    </xf>
    <xf numFmtId="0" fontId="58" fillId="4" borderId="16" xfId="0" applyFont="1" applyFill="1" applyBorder="1" applyAlignment="1">
      <alignment horizontal="center" vertical="center" wrapText="1"/>
    </xf>
    <xf numFmtId="0" fontId="39" fillId="4" borderId="1" xfId="0" applyFont="1" applyFill="1" applyBorder="1" applyAlignment="1">
      <alignment vertical="center"/>
    </xf>
    <xf numFmtId="0" fontId="23" fillId="0" borderId="1" xfId="0" applyFont="1" applyBorder="1" applyAlignment="1">
      <alignment wrapText="1"/>
    </xf>
    <xf numFmtId="0" fontId="23" fillId="10" borderId="82" xfId="0" quotePrefix="1" applyFont="1" applyFill="1" applyBorder="1" applyAlignment="1" applyProtection="1">
      <alignment horizontal="left" vertical="center" wrapText="1"/>
      <protection hidden="1"/>
    </xf>
    <xf numFmtId="0" fontId="23" fillId="10" borderId="0" xfId="0" quotePrefix="1" applyFont="1" applyFill="1" applyAlignment="1" applyProtection="1">
      <alignment horizontal="left" vertical="center" wrapText="1"/>
      <protection hidden="1"/>
    </xf>
    <xf numFmtId="0" fontId="23" fillId="10" borderId="82" xfId="0" applyFont="1" applyFill="1" applyBorder="1" applyAlignment="1" applyProtection="1">
      <alignment horizontal="left" vertical="center" wrapText="1"/>
      <protection hidden="1"/>
    </xf>
    <xf numFmtId="0" fontId="23" fillId="10" borderId="0" xfId="0" applyFont="1" applyFill="1" applyAlignment="1" applyProtection="1">
      <alignment horizontal="left" vertical="center" wrapText="1"/>
      <protection hidden="1"/>
    </xf>
    <xf numFmtId="0" fontId="5" fillId="0" borderId="0" xfId="0" applyFont="1" applyAlignment="1">
      <alignment horizontal="center"/>
    </xf>
    <xf numFmtId="0" fontId="6" fillId="0" borderId="67" xfId="0" applyFont="1" applyBorder="1" applyAlignment="1">
      <alignment horizontal="center"/>
    </xf>
    <xf numFmtId="0" fontId="5" fillId="0" borderId="0" xfId="0" applyFont="1" applyAlignment="1">
      <alignment horizontal="center" vertical="center" wrapText="1"/>
    </xf>
    <xf numFmtId="0" fontId="6" fillId="4" borderId="59" xfId="0" applyFont="1" applyFill="1" applyBorder="1" applyAlignment="1">
      <alignment horizontal="center"/>
    </xf>
    <xf numFmtId="0" fontId="6" fillId="4" borderId="62" xfId="0" applyFont="1" applyFill="1" applyBorder="1" applyAlignment="1">
      <alignment horizontal="center"/>
    </xf>
    <xf numFmtId="0" fontId="6" fillId="4" borderId="65" xfId="0" applyFont="1" applyFill="1" applyBorder="1" applyAlignment="1">
      <alignment horizontal="center"/>
    </xf>
    <xf numFmtId="0" fontId="6" fillId="4" borderId="60" xfId="0" applyFont="1" applyFill="1" applyBorder="1" applyAlignment="1">
      <alignment horizontal="center"/>
    </xf>
    <xf numFmtId="0" fontId="6" fillId="4" borderId="63" xfId="0" applyFont="1" applyFill="1" applyBorder="1" applyAlignment="1">
      <alignment horizontal="center"/>
    </xf>
    <xf numFmtId="0" fontId="6" fillId="4" borderId="66" xfId="0" applyFont="1" applyFill="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23" fillId="4" borderId="25" xfId="0" applyFont="1" applyFill="1" applyBorder="1" applyAlignment="1">
      <alignment horizontal="left" wrapText="1"/>
    </xf>
    <xf numFmtId="0" fontId="23" fillId="4" borderId="0" xfId="0" applyFont="1" applyFill="1" applyAlignment="1">
      <alignment horizontal="left" wrapText="1"/>
    </xf>
    <xf numFmtId="0" fontId="23" fillId="4" borderId="2" xfId="0" applyFont="1" applyFill="1" applyBorder="1" applyAlignment="1">
      <alignment horizontal="left" wrapText="1"/>
    </xf>
    <xf numFmtId="0" fontId="23" fillId="4" borderId="0" xfId="0" applyFont="1" applyFill="1" applyAlignment="1">
      <alignment wrapText="1"/>
    </xf>
    <xf numFmtId="0" fontId="5" fillId="4" borderId="0" xfId="0" applyFont="1" applyFill="1" applyAlignment="1">
      <alignment wrapText="1"/>
    </xf>
    <xf numFmtId="0" fontId="5" fillId="4" borderId="2" xfId="0" applyFont="1" applyFill="1" applyBorder="1" applyAlignment="1">
      <alignment wrapText="1"/>
    </xf>
    <xf numFmtId="0" fontId="6" fillId="0" borderId="31" xfId="0" applyFont="1" applyBorder="1" applyAlignment="1">
      <alignment horizontal="center"/>
    </xf>
    <xf numFmtId="0" fontId="6" fillId="4" borderId="58" xfId="0" applyFont="1" applyFill="1" applyBorder="1" applyAlignment="1">
      <alignment horizontal="center"/>
    </xf>
    <xf numFmtId="0" fontId="6" fillId="4" borderId="61" xfId="0" applyFont="1" applyFill="1" applyBorder="1" applyAlignment="1">
      <alignment horizontal="center"/>
    </xf>
    <xf numFmtId="0" fontId="6" fillId="4" borderId="64" xfId="0" applyFont="1" applyFill="1" applyBorder="1" applyAlignment="1">
      <alignment horizontal="center"/>
    </xf>
    <xf numFmtId="0" fontId="6" fillId="4" borderId="59" xfId="0" applyFont="1" applyFill="1" applyBorder="1" applyAlignment="1">
      <alignment horizontal="center" wrapText="1"/>
    </xf>
    <xf numFmtId="0" fontId="6" fillId="4" borderId="62" xfId="0" applyFont="1" applyFill="1" applyBorder="1" applyAlignment="1">
      <alignment horizontal="center" wrapText="1"/>
    </xf>
    <xf numFmtId="0" fontId="6" fillId="4" borderId="65" xfId="0" applyFont="1" applyFill="1" applyBorder="1" applyAlignment="1">
      <alignment horizontal="center" wrapText="1"/>
    </xf>
    <xf numFmtId="0" fontId="7" fillId="0" borderId="9" xfId="0" applyFont="1" applyBorder="1" applyAlignment="1">
      <alignment horizontal="center"/>
    </xf>
    <xf numFmtId="0" fontId="7" fillId="0" borderId="10" xfId="0" applyFont="1" applyBorder="1" applyAlignment="1">
      <alignment horizontal="center"/>
    </xf>
    <xf numFmtId="0" fontId="7" fillId="0" borderId="8" xfId="0" applyFont="1" applyBorder="1" applyAlignment="1">
      <alignment wrapText="1"/>
    </xf>
    <xf numFmtId="0" fontId="7" fillId="0" borderId="7" xfId="0" applyFont="1" applyBorder="1" applyAlignment="1">
      <alignment wrapText="1"/>
    </xf>
    <xf numFmtId="0" fontId="7" fillId="0" borderId="9" xfId="0" applyFont="1" applyBorder="1"/>
    <xf numFmtId="0" fontId="7" fillId="0" borderId="0" xfId="0" applyFont="1"/>
    <xf numFmtId="3" fontId="5" fillId="0" borderId="0" xfId="24" applyNumberFormat="1" applyFont="1" applyAlignment="1">
      <alignment horizontal="center"/>
    </xf>
    <xf numFmtId="180" fontId="54" fillId="0" borderId="82" xfId="32" applyNumberFormat="1" applyFont="1" applyFill="1" applyBorder="1" applyAlignment="1">
      <alignment horizontal="center"/>
    </xf>
    <xf numFmtId="180" fontId="54" fillId="0" borderId="0" xfId="32" applyNumberFormat="1" applyFont="1" applyFill="1" applyBorder="1" applyAlignment="1">
      <alignment horizontal="center"/>
    </xf>
    <xf numFmtId="180" fontId="54" fillId="0" borderId="2" xfId="32" applyNumberFormat="1" applyFont="1" applyFill="1" applyBorder="1" applyAlignment="1">
      <alignment horizontal="center"/>
    </xf>
    <xf numFmtId="0" fontId="54" fillId="16" borderId="69" xfId="32" applyNumberFormat="1" applyFont="1" applyFill="1" applyBorder="1" applyAlignment="1">
      <alignment horizontal="left"/>
    </xf>
    <xf numFmtId="0" fontId="54" fillId="16" borderId="48" xfId="32" applyNumberFormat="1" applyFont="1" applyFill="1" applyBorder="1" applyAlignment="1">
      <alignment horizontal="left"/>
    </xf>
    <xf numFmtId="0" fontId="54" fillId="17" borderId="69" xfId="32" applyNumberFormat="1" applyFont="1" applyFill="1" applyBorder="1" applyAlignment="1">
      <alignment horizontal="left"/>
    </xf>
    <xf numFmtId="0" fontId="54" fillId="17" borderId="48" xfId="32" applyNumberFormat="1" applyFont="1" applyFill="1" applyBorder="1" applyAlignment="1">
      <alignment horizontal="left"/>
    </xf>
    <xf numFmtId="0" fontId="54" fillId="17" borderId="70" xfId="32" applyNumberFormat="1" applyFont="1" applyFill="1" applyBorder="1" applyAlignment="1">
      <alignment horizontal="left"/>
    </xf>
    <xf numFmtId="180" fontId="54" fillId="14" borderId="17" xfId="32" applyNumberFormat="1" applyFont="1" applyFill="1" applyBorder="1" applyAlignment="1">
      <alignment horizontal="left" vertical="center"/>
    </xf>
    <xf numFmtId="180" fontId="54" fillId="14" borderId="82" xfId="32" applyNumberFormat="1" applyFont="1" applyFill="1" applyBorder="1" applyAlignment="1">
      <alignment horizontal="left" vertical="center"/>
    </xf>
    <xf numFmtId="0" fontId="54" fillId="15" borderId="69" xfId="32" applyNumberFormat="1" applyFont="1" applyFill="1" applyBorder="1" applyAlignment="1">
      <alignment horizontal="left"/>
    </xf>
    <xf numFmtId="0" fontId="54" fillId="15" borderId="48" xfId="32" applyNumberFormat="1" applyFont="1" applyFill="1" applyBorder="1" applyAlignment="1">
      <alignment horizontal="left"/>
    </xf>
    <xf numFmtId="0" fontId="54" fillId="15" borderId="70" xfId="32" applyNumberFormat="1" applyFont="1" applyFill="1" applyBorder="1" applyAlignment="1">
      <alignment horizontal="left"/>
    </xf>
    <xf numFmtId="180" fontId="54" fillId="19" borderId="69" xfId="32" applyNumberFormat="1" applyFont="1" applyFill="1" applyBorder="1" applyAlignment="1">
      <alignment horizontal="center" vertical="center" wrapText="1"/>
    </xf>
    <xf numFmtId="180" fontId="54" fillId="19" borderId="48" xfId="32" applyNumberFormat="1" applyFont="1" applyFill="1" applyBorder="1" applyAlignment="1">
      <alignment horizontal="center" vertical="center" wrapText="1"/>
    </xf>
    <xf numFmtId="180" fontId="54" fillId="19" borderId="70" xfId="32" applyNumberFormat="1" applyFont="1" applyFill="1" applyBorder="1" applyAlignment="1">
      <alignment horizontal="center" vertical="center" wrapText="1"/>
    </xf>
    <xf numFmtId="180" fontId="54" fillId="14" borderId="23" xfId="32" applyNumberFormat="1" applyFont="1" applyFill="1" applyBorder="1" applyAlignment="1">
      <alignment horizontal="center" vertical="center"/>
    </xf>
    <xf numFmtId="180" fontId="54" fillId="14" borderId="2" xfId="32" applyNumberFormat="1" applyFont="1" applyFill="1" applyBorder="1" applyAlignment="1">
      <alignment horizontal="center" vertical="center"/>
    </xf>
    <xf numFmtId="180" fontId="54" fillId="14" borderId="89" xfId="32" applyNumberFormat="1" applyFont="1" applyFill="1" applyBorder="1" applyAlignment="1">
      <alignment horizontal="center" vertical="center" wrapText="1"/>
    </xf>
    <xf numFmtId="0" fontId="6" fillId="0" borderId="0" xfId="0" applyFont="1" applyAlignment="1">
      <alignment horizontal="center" wrapText="1"/>
    </xf>
    <xf numFmtId="0" fontId="6" fillId="0" borderId="15" xfId="0" applyFont="1" applyBorder="1" applyAlignment="1">
      <alignment horizontal="center" wrapText="1"/>
    </xf>
    <xf numFmtId="0" fontId="6" fillId="0" borderId="0" xfId="0" applyFont="1" applyAlignment="1">
      <alignment horizontal="center"/>
    </xf>
    <xf numFmtId="0" fontId="5" fillId="0" borderId="0" xfId="0" applyFont="1" applyAlignment="1">
      <alignment horizontal="left" wrapText="1"/>
    </xf>
    <xf numFmtId="0" fontId="18" fillId="5" borderId="22" xfId="0" applyFont="1" applyFill="1" applyBorder="1" applyAlignment="1">
      <alignment horizontal="center"/>
    </xf>
    <xf numFmtId="0" fontId="18" fillId="5" borderId="23" xfId="0" applyFont="1" applyFill="1" applyBorder="1" applyAlignment="1">
      <alignment horizontal="center"/>
    </xf>
    <xf numFmtId="185" fontId="18" fillId="5" borderId="17" xfId="0" applyNumberFormat="1" applyFont="1" applyFill="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18" fillId="5" borderId="17" xfId="0" applyFont="1" applyFill="1" applyBorder="1" applyAlignment="1">
      <alignment horizontal="center"/>
    </xf>
  </cellXfs>
  <cellStyles count="34">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urrency 2" xfId="9" xr:uid="{00000000-0005-0000-0000-000009000000}"/>
    <cellStyle name="Hyperlink 2" xfId="31" xr:uid="{00000000-0005-0000-0000-00000B000000}"/>
    <cellStyle name="Input Design Information" xfId="11" xr:uid="{00000000-0005-0000-0000-00000C000000}"/>
    <cellStyle name="Input Design Information Units" xfId="12" xr:uid="{00000000-0005-0000-0000-00000D000000}"/>
    <cellStyle name="Input Guidance" xfId="13" xr:uid="{00000000-0005-0000-0000-00000E000000}"/>
    <cellStyle name="Input Guidance Hyperlink" xfId="14" xr:uid="{00000000-0005-0000-0000-00000F000000}"/>
    <cellStyle name="Input Guidance_CDA in progress" xfId="15" xr:uid="{00000000-0005-0000-0000-000010000000}"/>
    <cellStyle name="Input Header" xfId="16" xr:uid="{00000000-0005-0000-0000-000011000000}"/>
    <cellStyle name="Input Instruction" xfId="17" xr:uid="{00000000-0005-0000-0000-000012000000}"/>
    <cellStyle name="Input Manual Name" xfId="18" xr:uid="{00000000-0005-0000-0000-000013000000}"/>
    <cellStyle name="Input Optional Entry" xfId="19" xr:uid="{00000000-0005-0000-0000-000014000000}"/>
    <cellStyle name="Input Required Entry" xfId="20" xr:uid="{00000000-0005-0000-0000-000015000000}"/>
    <cellStyle name="Input Units" xfId="21" xr:uid="{00000000-0005-0000-0000-000016000000}"/>
    <cellStyle name="Input Warning" xfId="22" xr:uid="{00000000-0005-0000-0000-000017000000}"/>
    <cellStyle name="Main CDA" xfId="23" xr:uid="{00000000-0005-0000-0000-000018000000}"/>
    <cellStyle name="Normal 2" xfId="24" xr:uid="{00000000-0005-0000-0000-00001A000000}"/>
    <cellStyle name="Normal 3" xfId="29" xr:uid="{00000000-0005-0000-0000-00001B000000}"/>
    <cellStyle name="Normal 4" xfId="30" xr:uid="{00000000-0005-0000-0000-00001C000000}"/>
    <cellStyle name="Normal 5" xfId="33" xr:uid="{6C570C01-46F3-4A5E-97C0-B800AF66E299}"/>
    <cellStyle name="Normal_henry" xfId="25" xr:uid="{00000000-0005-0000-0000-00001D000000}"/>
    <cellStyle name="Normal_Yard Piping" xfId="26" xr:uid="{00000000-0005-0000-0000-00001E000000}"/>
    <cellStyle name="Range Name" xfId="28" xr:uid="{00000000-0005-0000-0000-000020000000}"/>
    <cellStyle name="百分比" xfId="27" builtinId="5"/>
    <cellStyle name="常规" xfId="0" builtinId="0"/>
    <cellStyle name="超链接" xfId="10" builtinId="8"/>
    <cellStyle name="货币" xfId="8" builtinId="4"/>
    <cellStyle name="千位分隔" xfId="6" builtinId="3"/>
  </cellStyles>
  <dxfs count="139">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lor rgb="FF008000"/>
      </font>
    </dxf>
    <dxf>
      <font>
        <b val="0"/>
        <i val="0"/>
        <condense val="0"/>
        <extend val="0"/>
        <color indexed="17"/>
      </font>
    </dxf>
    <dxf>
      <font>
        <condense val="0"/>
        <extend val="0"/>
        <color indexed="17"/>
      </font>
    </dxf>
    <dxf>
      <font>
        <b/>
        <i/>
        <condense val="0"/>
        <extend val="0"/>
        <color indexed="23"/>
      </font>
    </dxf>
    <dxf>
      <font>
        <b/>
        <i/>
        <condense val="0"/>
        <extend val="0"/>
        <color indexed="55"/>
      </font>
      <fill>
        <patternFill>
          <bgColor indexed="22"/>
        </patternFill>
      </fill>
    </dxf>
    <dxf>
      <font>
        <b/>
        <i/>
        <condense val="0"/>
        <extend val="0"/>
        <color indexed="55"/>
      </font>
    </dxf>
    <dxf>
      <font>
        <condense val="0"/>
        <extend val="0"/>
        <color indexed="55"/>
      </font>
    </dxf>
    <dxf>
      <font>
        <condense val="0"/>
        <extend val="0"/>
        <color indexed="55"/>
      </font>
      <fill>
        <patternFill>
          <bgColor indexed="22"/>
        </patternFill>
      </fill>
    </dxf>
    <dxf>
      <font>
        <condense val="0"/>
        <extend val="0"/>
        <color indexed="55"/>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b/>
        <i val="0"/>
        <condense val="0"/>
        <extend val="0"/>
        <color indexed="17"/>
      </font>
    </dxf>
    <dxf>
      <font>
        <b/>
        <i val="0"/>
        <condense val="0"/>
        <extend val="0"/>
        <color indexed="17"/>
      </font>
    </dxf>
    <dxf>
      <font>
        <b/>
        <i val="0"/>
        <color rgb="FFFF0000"/>
      </font>
    </dxf>
    <dxf>
      <font>
        <condense val="0"/>
        <extend val="0"/>
        <color indexed="17"/>
      </font>
    </dxf>
    <dxf>
      <font>
        <b/>
        <i/>
        <condense val="0"/>
        <extend val="0"/>
        <color indexed="55"/>
      </font>
    </dxf>
    <dxf>
      <font>
        <b/>
        <i val="0"/>
        <condense val="0"/>
        <extend val="0"/>
        <color indexed="17"/>
      </font>
    </dxf>
    <dxf>
      <font>
        <b/>
        <i/>
        <condense val="0"/>
        <extend val="0"/>
        <color indexed="23"/>
      </font>
      <fill>
        <patternFill>
          <bgColor indexed="22"/>
        </patternFill>
      </fill>
    </dxf>
    <dxf>
      <font>
        <b/>
        <i/>
        <condense val="0"/>
        <extend val="0"/>
        <color indexed="23"/>
      </font>
      <fill>
        <patternFill patternType="none">
          <bgColor indexed="65"/>
        </patternFill>
      </fill>
    </dxf>
    <dxf>
      <font>
        <b/>
        <i/>
        <condense val="0"/>
        <extend val="0"/>
        <color indexed="23"/>
      </font>
      <fill>
        <patternFill>
          <bgColor indexed="22"/>
        </patternFill>
      </fill>
    </dxf>
    <dxf>
      <font>
        <b/>
        <i/>
        <condense val="0"/>
        <extend val="0"/>
        <color indexed="23"/>
      </font>
      <fill>
        <patternFill patternType="none">
          <bgColor indexed="65"/>
        </patternFill>
      </fill>
    </dxf>
    <dxf>
      <font>
        <condense val="0"/>
        <extend val="0"/>
        <color indexed="17"/>
      </font>
    </dxf>
    <dxf>
      <font>
        <b/>
        <i/>
        <condense val="0"/>
        <extend val="0"/>
        <color indexed="23"/>
      </font>
    </dxf>
    <dxf>
      <font>
        <b/>
        <i/>
        <condense val="0"/>
        <extend val="0"/>
        <color indexed="23"/>
      </font>
      <fill>
        <patternFill>
          <bgColor indexed="22"/>
        </patternFill>
      </fill>
    </dxf>
    <dxf>
      <font>
        <condense val="0"/>
        <extend val="0"/>
        <color indexed="17"/>
      </font>
    </dxf>
    <dxf>
      <font>
        <b/>
        <i/>
        <condense val="0"/>
        <extend val="0"/>
        <color indexed="23"/>
      </font>
      <fill>
        <patternFill>
          <bgColor indexed="22"/>
        </patternFill>
      </fill>
    </dxf>
    <dxf>
      <font>
        <b/>
        <i val="0"/>
        <condense val="0"/>
        <extend val="0"/>
        <color indexed="17"/>
      </font>
    </dxf>
    <dxf>
      <font>
        <b/>
        <i/>
        <condense val="0"/>
        <extend val="0"/>
        <color indexed="23"/>
      </font>
    </dxf>
    <dxf>
      <font>
        <b/>
        <i/>
        <color theme="0" tint="-0.34998626667073579"/>
        <name val="Cambria"/>
        <scheme val="none"/>
      </font>
      <fill>
        <patternFill>
          <bgColor theme="0" tint="-0.34998626667073579"/>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condense val="0"/>
        <extend val="0"/>
        <color indexed="23"/>
      </font>
      <fill>
        <patternFill patternType="none">
          <bgColor indexed="65"/>
        </patternFill>
      </fill>
    </dxf>
    <dxf>
      <font>
        <condense val="0"/>
        <extend val="0"/>
        <color indexed="10"/>
      </font>
    </dxf>
  </dxfs>
  <tableStyles count="0" defaultTableStyle="TableStyleMedium9" defaultPivotStyle="PivotStyleLight16"/>
  <colors>
    <mruColors>
      <color rgb="FF008000"/>
      <color rgb="FF00CCFF"/>
      <color rgb="FFFFCC00"/>
      <color rgb="FF993366"/>
      <color rgb="FFC0C0C0"/>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design_type" fmlaRange="'Lookup Tables'!$B$16:$B$17" noThreeD="1" sel="1" val="0"/>
</file>

<file path=xl/ctrlProps/ctrlProp2.xml><?xml version="1.0" encoding="utf-8"?>
<formControlPr xmlns="http://schemas.microsoft.com/office/spreadsheetml/2009/9/main" objectType="Drop" dropLines="22" dropStyle="combo" dx="16" fmlaLink="contam_type" fmlaRange="contam_list" noThreeD="1" sel="2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6</xdr:row>
          <xdr:rowOff>12700</xdr:rowOff>
        </xdr:from>
        <xdr:to>
          <xdr:col>6</xdr:col>
          <xdr:colOff>2311400</xdr:colOff>
          <xdr:row>7</xdr:row>
          <xdr:rowOff>12700</xdr:rowOff>
        </xdr:to>
        <xdr:sp macro="" textlink="">
          <xdr:nvSpPr>
            <xdr:cNvPr id="7402" name="ddResinChoice" descr="Select Design Type" hidden="1">
              <a:extLst>
                <a:ext uri="{63B3BB69-23CF-44E3-9099-C40C66FF867C}">
                  <a14:compatExt spid="_x0000_s7402"/>
                </a:ext>
                <a:ext uri="{FF2B5EF4-FFF2-40B4-BE49-F238E27FC236}">
                  <a16:creationId xmlns:a16="http://schemas.microsoft.com/office/drawing/2014/main" id="{00000000-0008-0000-0200-0000E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38100</xdr:rowOff>
        </xdr:from>
        <xdr:to>
          <xdr:col>6</xdr:col>
          <xdr:colOff>2311400</xdr:colOff>
          <xdr:row>4</xdr:row>
          <xdr:rowOff>76200</xdr:rowOff>
        </xdr:to>
        <xdr:sp macro="" textlink="">
          <xdr:nvSpPr>
            <xdr:cNvPr id="7405" name="Drop Down 237" descr="Select Target Contaminant" hidden="1">
              <a:extLst>
                <a:ext uri="{63B3BB69-23CF-44E3-9099-C40C66FF867C}">
                  <a14:compatExt spid="_x0000_s7405"/>
                </a:ext>
                <a:ext uri="{FF2B5EF4-FFF2-40B4-BE49-F238E27FC236}">
                  <a16:creationId xmlns:a16="http://schemas.microsoft.com/office/drawing/2014/main" id="{00000000-0008-0000-0200-0000E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xdr:colOff>
          <xdr:row>20</xdr:row>
          <xdr:rowOff>165100</xdr:rowOff>
        </xdr:from>
        <xdr:to>
          <xdr:col>8</xdr:col>
          <xdr:colOff>0</xdr:colOff>
          <xdr:row>25</xdr:row>
          <xdr:rowOff>12700</xdr:rowOff>
        </xdr:to>
        <xdr:sp macro="" textlink="">
          <xdr:nvSpPr>
            <xdr:cNvPr id="7450" name="cmdCompSelect" hidden="1">
              <a:extLst>
                <a:ext uri="{63B3BB69-23CF-44E3-9099-C40C66FF867C}">
                  <a14:compatExt spid="_x0000_s7450"/>
                </a:ext>
                <a:ext uri="{FF2B5EF4-FFF2-40B4-BE49-F238E27FC236}">
                  <a16:creationId xmlns:a16="http://schemas.microsoft.com/office/drawing/2014/main" id="{00000000-0008-0000-0200-00001A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xdr:colOff>
          <xdr:row>56</xdr:row>
          <xdr:rowOff>38100</xdr:rowOff>
        </xdr:from>
        <xdr:to>
          <xdr:col>4</xdr:col>
          <xdr:colOff>1701800</xdr:colOff>
          <xdr:row>59</xdr:row>
          <xdr:rowOff>139700</xdr:rowOff>
        </xdr:to>
        <xdr:sp macro="" textlink="">
          <xdr:nvSpPr>
            <xdr:cNvPr id="7451" name="cmdAutosize" hidden="1">
              <a:extLst>
                <a:ext uri="{63B3BB69-23CF-44E3-9099-C40C66FF867C}">
                  <a14:compatExt spid="_x0000_s7451"/>
                </a:ext>
                <a:ext uri="{FF2B5EF4-FFF2-40B4-BE49-F238E27FC236}">
                  <a16:creationId xmlns:a16="http://schemas.microsoft.com/office/drawing/2014/main" id="{00000000-0008-0000-0200-00001B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Pressure Vessels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8</xdr:row>
          <xdr:rowOff>25400</xdr:rowOff>
        </xdr:from>
        <xdr:to>
          <xdr:col>6</xdr:col>
          <xdr:colOff>2044700</xdr:colOff>
          <xdr:row>9</xdr:row>
          <xdr:rowOff>12700</xdr:rowOff>
        </xdr:to>
        <xdr:sp macro="" textlink="">
          <xdr:nvSpPr>
            <xdr:cNvPr id="7452" name="CommandButton1" hidden="1">
              <a:extLst>
                <a:ext uri="{63B3BB69-23CF-44E3-9099-C40C66FF867C}">
                  <a14:compatExt spid="_x0000_s7452"/>
                </a:ext>
                <a:ext uri="{FF2B5EF4-FFF2-40B4-BE49-F238E27FC236}">
                  <a16:creationId xmlns:a16="http://schemas.microsoft.com/office/drawing/2014/main" id="{00000000-0008-0000-0200-00001C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9</xdr:row>
          <xdr:rowOff>25400</xdr:rowOff>
        </xdr:from>
        <xdr:to>
          <xdr:col>6</xdr:col>
          <xdr:colOff>2044700</xdr:colOff>
          <xdr:row>10</xdr:row>
          <xdr:rowOff>12700</xdr:rowOff>
        </xdr:to>
        <xdr:sp macro="" textlink="">
          <xdr:nvSpPr>
            <xdr:cNvPr id="7453" name="CommandButton2" hidden="1">
              <a:extLst>
                <a:ext uri="{63B3BB69-23CF-44E3-9099-C40C66FF867C}">
                  <a14:compatExt spid="_x0000_s7453"/>
                </a:ext>
                <a:ext uri="{FF2B5EF4-FFF2-40B4-BE49-F238E27FC236}">
                  <a16:creationId xmlns:a16="http://schemas.microsoft.com/office/drawing/2014/main" id="{00000000-0008-0000-0200-00001D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10</xdr:row>
          <xdr:rowOff>25400</xdr:rowOff>
        </xdr:from>
        <xdr:to>
          <xdr:col>6</xdr:col>
          <xdr:colOff>2044700</xdr:colOff>
          <xdr:row>11</xdr:row>
          <xdr:rowOff>12700</xdr:rowOff>
        </xdr:to>
        <xdr:sp macro="" textlink="">
          <xdr:nvSpPr>
            <xdr:cNvPr id="7454" name="CommandButton3" hidden="1">
              <a:extLst>
                <a:ext uri="{63B3BB69-23CF-44E3-9099-C40C66FF867C}">
                  <a14:compatExt spid="_x0000_s7454"/>
                </a:ext>
                <a:ext uri="{FF2B5EF4-FFF2-40B4-BE49-F238E27FC236}">
                  <a16:creationId xmlns:a16="http://schemas.microsoft.com/office/drawing/2014/main" id="{00000000-0008-0000-0200-00001E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11</xdr:row>
          <xdr:rowOff>25400</xdr:rowOff>
        </xdr:from>
        <xdr:to>
          <xdr:col>6</xdr:col>
          <xdr:colOff>2044700</xdr:colOff>
          <xdr:row>12</xdr:row>
          <xdr:rowOff>12700</xdr:rowOff>
        </xdr:to>
        <xdr:sp macro="" textlink="">
          <xdr:nvSpPr>
            <xdr:cNvPr id="7455" name="CommandButton4" hidden="1">
              <a:extLst>
                <a:ext uri="{63B3BB69-23CF-44E3-9099-C40C66FF867C}">
                  <a14:compatExt spid="_x0000_s7455"/>
                </a:ext>
                <a:ext uri="{FF2B5EF4-FFF2-40B4-BE49-F238E27FC236}">
                  <a16:creationId xmlns:a16="http://schemas.microsoft.com/office/drawing/2014/main" id="{00000000-0008-0000-0200-00001F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12</xdr:row>
          <xdr:rowOff>25400</xdr:rowOff>
        </xdr:from>
        <xdr:to>
          <xdr:col>6</xdr:col>
          <xdr:colOff>2044700</xdr:colOff>
          <xdr:row>13</xdr:row>
          <xdr:rowOff>12700</xdr:rowOff>
        </xdr:to>
        <xdr:sp macro="" textlink="">
          <xdr:nvSpPr>
            <xdr:cNvPr id="7456" name="CommandButton5" hidden="1">
              <a:extLst>
                <a:ext uri="{63B3BB69-23CF-44E3-9099-C40C66FF867C}">
                  <a14:compatExt spid="_x0000_s7456"/>
                </a:ext>
                <a:ext uri="{FF2B5EF4-FFF2-40B4-BE49-F238E27FC236}">
                  <a16:creationId xmlns:a16="http://schemas.microsoft.com/office/drawing/2014/main" id="{00000000-0008-0000-0200-000020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13</xdr:row>
          <xdr:rowOff>25400</xdr:rowOff>
        </xdr:from>
        <xdr:to>
          <xdr:col>6</xdr:col>
          <xdr:colOff>2044700</xdr:colOff>
          <xdr:row>14</xdr:row>
          <xdr:rowOff>12700</xdr:rowOff>
        </xdr:to>
        <xdr:sp macro="" textlink="">
          <xdr:nvSpPr>
            <xdr:cNvPr id="7457" name="CommandButton6" hidden="1">
              <a:extLst>
                <a:ext uri="{63B3BB69-23CF-44E3-9099-C40C66FF867C}">
                  <a14:compatExt spid="_x0000_s7457"/>
                </a:ext>
                <a:ext uri="{FF2B5EF4-FFF2-40B4-BE49-F238E27FC236}">
                  <a16:creationId xmlns:a16="http://schemas.microsoft.com/office/drawing/2014/main" id="{00000000-0008-0000-0200-000021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14</xdr:row>
          <xdr:rowOff>25400</xdr:rowOff>
        </xdr:from>
        <xdr:to>
          <xdr:col>6</xdr:col>
          <xdr:colOff>2044700</xdr:colOff>
          <xdr:row>15</xdr:row>
          <xdr:rowOff>12700</xdr:rowOff>
        </xdr:to>
        <xdr:sp macro="" textlink="">
          <xdr:nvSpPr>
            <xdr:cNvPr id="7458" name="CommandButton7" hidden="1">
              <a:extLst>
                <a:ext uri="{63B3BB69-23CF-44E3-9099-C40C66FF867C}">
                  <a14:compatExt spid="_x0000_s7458"/>
                </a:ext>
                <a:ext uri="{FF2B5EF4-FFF2-40B4-BE49-F238E27FC236}">
                  <a16:creationId xmlns:a16="http://schemas.microsoft.com/office/drawing/2014/main" id="{00000000-0008-0000-0200-000022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15</xdr:row>
          <xdr:rowOff>25400</xdr:rowOff>
        </xdr:from>
        <xdr:to>
          <xdr:col>6</xdr:col>
          <xdr:colOff>2044700</xdr:colOff>
          <xdr:row>16</xdr:row>
          <xdr:rowOff>12700</xdr:rowOff>
        </xdr:to>
        <xdr:sp macro="" textlink="">
          <xdr:nvSpPr>
            <xdr:cNvPr id="7459" name="CommandButton8" hidden="1">
              <a:extLst>
                <a:ext uri="{63B3BB69-23CF-44E3-9099-C40C66FF867C}">
                  <a14:compatExt spid="_x0000_s7459"/>
                </a:ext>
                <a:ext uri="{FF2B5EF4-FFF2-40B4-BE49-F238E27FC236}">
                  <a16:creationId xmlns:a16="http://schemas.microsoft.com/office/drawing/2014/main" id="{00000000-0008-0000-0200-000023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16</xdr:row>
          <xdr:rowOff>25400</xdr:rowOff>
        </xdr:from>
        <xdr:to>
          <xdr:col>6</xdr:col>
          <xdr:colOff>2044700</xdr:colOff>
          <xdr:row>16</xdr:row>
          <xdr:rowOff>317500</xdr:rowOff>
        </xdr:to>
        <xdr:sp macro="" textlink="">
          <xdr:nvSpPr>
            <xdr:cNvPr id="7460" name="cmdClearDesign" hidden="1">
              <a:extLst>
                <a:ext uri="{63B3BB69-23CF-44E3-9099-C40C66FF867C}">
                  <a14:compatExt spid="_x0000_s7460"/>
                </a:ext>
                <a:ext uri="{FF2B5EF4-FFF2-40B4-BE49-F238E27FC236}">
                  <a16:creationId xmlns:a16="http://schemas.microsoft.com/office/drawing/2014/main" id="{00000000-0008-0000-0200-000024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74</xdr:row>
          <xdr:rowOff>63500</xdr:rowOff>
        </xdr:from>
        <xdr:to>
          <xdr:col>4</xdr:col>
          <xdr:colOff>1727200</xdr:colOff>
          <xdr:row>77</xdr:row>
          <xdr:rowOff>165100</xdr:rowOff>
        </xdr:to>
        <xdr:sp macro="" textlink="">
          <xdr:nvSpPr>
            <xdr:cNvPr id="7461" name="cmdAutosizeA" hidden="1">
              <a:extLst>
                <a:ext uri="{63B3BB69-23CF-44E3-9099-C40C66FF867C}">
                  <a14:compatExt spid="_x0000_s7461"/>
                </a:ext>
                <a:ext uri="{FF2B5EF4-FFF2-40B4-BE49-F238E27FC236}">
                  <a16:creationId xmlns:a16="http://schemas.microsoft.com/office/drawing/2014/main" id="{00000000-0008-0000-0200-000025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Gravity Contactors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76200</xdr:rowOff>
        </xdr:from>
        <xdr:to>
          <xdr:col>8</xdr:col>
          <xdr:colOff>0</xdr:colOff>
          <xdr:row>2</xdr:row>
          <xdr:rowOff>139700</xdr:rowOff>
        </xdr:to>
        <xdr:sp macro="" textlink="">
          <xdr:nvSpPr>
            <xdr:cNvPr id="7462" name="Button 294" hidden="1">
              <a:extLst>
                <a:ext uri="{63B3BB69-23CF-44E3-9099-C40C66FF867C}">
                  <a14:compatExt spid="_x0000_s7462"/>
                </a:ext>
                <a:ext uri="{FF2B5EF4-FFF2-40B4-BE49-F238E27FC236}">
                  <a16:creationId xmlns:a16="http://schemas.microsoft.com/office/drawing/2014/main" id="{00000000-0008-0000-0200-000026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0</xdr:row>
          <xdr:rowOff>139700</xdr:rowOff>
        </xdr:from>
        <xdr:to>
          <xdr:col>6</xdr:col>
          <xdr:colOff>1739900</xdr:colOff>
          <xdr:row>4</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5</xdr:row>
          <xdr:rowOff>101600</xdr:rowOff>
        </xdr:from>
        <xdr:to>
          <xdr:col>6</xdr:col>
          <xdr:colOff>1739900</xdr:colOff>
          <xdr:row>9</xdr:row>
          <xdr:rowOff>0</xdr:rowOff>
        </xdr:to>
        <xdr:sp macro="" textlink="">
          <xdr:nvSpPr>
            <xdr:cNvPr id="1426" name="cmdCompSelect" hidden="1">
              <a:extLst>
                <a:ext uri="{63B3BB69-23CF-44E3-9099-C40C66FF867C}">
                  <a14:compatExt spid="_x0000_s1426"/>
                </a:ext>
                <a:ext uri="{FF2B5EF4-FFF2-40B4-BE49-F238E27FC236}">
                  <a16:creationId xmlns:a16="http://schemas.microsoft.com/office/drawing/2014/main" id="{00000000-0008-0000-0300-000092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25400</xdr:rowOff>
        </xdr:from>
        <xdr:to>
          <xdr:col>4</xdr:col>
          <xdr:colOff>63500</xdr:colOff>
          <xdr:row>2</xdr:row>
          <xdr:rowOff>88900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200-000001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Additional Isotherm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xdr:row>
          <xdr:rowOff>50800</xdr:rowOff>
        </xdr:from>
        <xdr:to>
          <xdr:col>1</xdr:col>
          <xdr:colOff>673100</xdr:colOff>
          <xdr:row>4</xdr:row>
          <xdr:rowOff>88900</xdr:rowOff>
        </xdr:to>
        <xdr:sp macro="" textlink="">
          <xdr:nvSpPr>
            <xdr:cNvPr id="94240" name="cmdFactoryDefaults" hidden="1">
              <a:extLst>
                <a:ext uri="{63B3BB69-23CF-44E3-9099-C40C66FF867C}">
                  <a14:compatExt spid="_x0000_s94240"/>
                </a:ext>
                <a:ext uri="{FF2B5EF4-FFF2-40B4-BE49-F238E27FC236}">
                  <a16:creationId xmlns:a16="http://schemas.microsoft.com/office/drawing/2014/main" id="{00000000-0008-0000-1300-0000207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4.xml"/><Relationship Id="rId1" Type="http://schemas.openxmlformats.org/officeDocument/2006/relationships/printerSettings" Target="../printerSettings/printerSettings20.bin"/><Relationship Id="rId5" Type="http://schemas.openxmlformats.org/officeDocument/2006/relationships/comments" Target="../comments15.xml"/><Relationship Id="rId4" Type="http://schemas.openxmlformats.org/officeDocument/2006/relationships/ctrlProp" Target="../ctrlProps/ctrlProp1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22D21-BC74-4131-8463-963D5A0B4324}">
  <sheetPr codeName="Sheet16"/>
  <dimension ref="A1:A16"/>
  <sheetViews>
    <sheetView zoomScaleNormal="100" workbookViewId="0">
      <pane ySplit="3" topLeftCell="A4" activePane="bottomLeft" state="frozen"/>
      <selection pane="bottomLeft" activeCell="A17" sqref="A17"/>
    </sheetView>
  </sheetViews>
  <sheetFormatPr baseColWidth="10" defaultColWidth="9.1640625" defaultRowHeight="13"/>
  <cols>
    <col min="1" max="1" width="122.6640625" style="944" customWidth="1"/>
    <col min="2" max="16384" width="9.1640625" style="639"/>
  </cols>
  <sheetData>
    <row r="1" spans="1:1" ht="16" customHeight="1">
      <c r="A1" s="939" t="s">
        <v>4616</v>
      </c>
    </row>
    <row r="2" spans="1:1" ht="16" customHeight="1">
      <c r="A2" s="939" t="s">
        <v>4628</v>
      </c>
    </row>
    <row r="3" spans="1:1" ht="16" customHeight="1">
      <c r="A3" s="945" t="s">
        <v>4634</v>
      </c>
    </row>
    <row r="4" spans="1:1" ht="20" customHeight="1">
      <c r="A4" s="940" t="s">
        <v>4617</v>
      </c>
    </row>
    <row r="5" spans="1:1" ht="20" customHeight="1">
      <c r="A5" s="941" t="s">
        <v>4618</v>
      </c>
    </row>
    <row r="6" spans="1:1" ht="20" customHeight="1">
      <c r="A6" s="941" t="s">
        <v>4619</v>
      </c>
    </row>
    <row r="7" spans="1:1" ht="20" customHeight="1">
      <c r="A7" s="941" t="s">
        <v>4620</v>
      </c>
    </row>
    <row r="8" spans="1:1" ht="20" customHeight="1">
      <c r="A8" s="941" t="s">
        <v>4621</v>
      </c>
    </row>
    <row r="9" spans="1:1" ht="34" customHeight="1">
      <c r="A9" s="942" t="s">
        <v>4622</v>
      </c>
    </row>
    <row r="10" spans="1:1" ht="20" customHeight="1">
      <c r="A10" s="941" t="s">
        <v>4623</v>
      </c>
    </row>
    <row r="11" spans="1:1" ht="20" customHeight="1">
      <c r="A11" s="941" t="s">
        <v>4624</v>
      </c>
    </row>
    <row r="12" spans="1:1" ht="20" customHeight="1">
      <c r="A12" s="941" t="s">
        <v>4625</v>
      </c>
    </row>
    <row r="13" spans="1:1" ht="20" customHeight="1">
      <c r="A13" s="941" t="s">
        <v>4626</v>
      </c>
    </row>
    <row r="14" spans="1:1" ht="20" customHeight="1">
      <c r="A14" s="946" t="s">
        <v>4635</v>
      </c>
    </row>
    <row r="15" spans="1:1" ht="20" customHeight="1">
      <c r="A15" s="943" t="s">
        <v>4627</v>
      </c>
    </row>
    <row r="16" spans="1:1">
      <c r="A16" s="941"/>
    </row>
  </sheetData>
  <phoneticPr fontId="83" type="noConversion"/>
  <hyperlinks>
    <hyperlink ref="A15" location="INPUT!A1" display="· To begin using the model, go to the INPUT sheet." xr:uid="{707E968A-EAE6-4833-B240-C1E9870FB0C9}"/>
  </hyperlink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D3DD3-717A-42AC-B2DC-474ADAF7C5F1}">
  <sheetPr codeName="Sheet13"/>
  <dimension ref="A1:B420"/>
  <sheetViews>
    <sheetView workbookViewId="0">
      <pane ySplit="4" topLeftCell="A22" activePane="bottomLeft" state="frozen"/>
      <selection pane="bottomLeft"/>
    </sheetView>
  </sheetViews>
  <sheetFormatPr baseColWidth="10" defaultColWidth="8.83203125" defaultRowHeight="13"/>
  <cols>
    <col min="1" max="1" width="80.6640625" style="815" customWidth="1"/>
    <col min="2" max="2" width="23.6640625" style="815" customWidth="1"/>
  </cols>
  <sheetData>
    <row r="1" spans="1:2">
      <c r="A1" s="924" t="s">
        <v>3819</v>
      </c>
    </row>
    <row r="2" spans="1:2">
      <c r="A2" s="7" t="s">
        <v>3820</v>
      </c>
    </row>
    <row r="4" spans="1:2">
      <c r="A4" s="924" t="s">
        <v>3821</v>
      </c>
      <c r="B4" s="924" t="s">
        <v>3822</v>
      </c>
    </row>
    <row r="5" spans="1:2">
      <c r="A5" s="815" t="s">
        <v>3827</v>
      </c>
      <c r="B5" s="467" t="s">
        <v>2941</v>
      </c>
    </row>
    <row r="6" spans="1:2">
      <c r="A6" s="815" t="s">
        <v>913</v>
      </c>
      <c r="B6" s="467" t="s">
        <v>912</v>
      </c>
    </row>
    <row r="7" spans="1:2">
      <c r="A7" s="815" t="s">
        <v>910</v>
      </c>
      <c r="B7" s="467" t="s">
        <v>909</v>
      </c>
    </row>
    <row r="8" spans="1:2">
      <c r="A8" s="815" t="s">
        <v>3837</v>
      </c>
      <c r="B8" s="467" t="s">
        <v>2224</v>
      </c>
    </row>
    <row r="9" spans="1:2">
      <c r="A9" s="815" t="s">
        <v>35</v>
      </c>
      <c r="B9" s="467" t="s">
        <v>36</v>
      </c>
    </row>
    <row r="10" spans="1:2">
      <c r="A10" s="815" t="s">
        <v>705</v>
      </c>
      <c r="B10" s="467" t="s">
        <v>706</v>
      </c>
    </row>
    <row r="11" spans="1:2">
      <c r="A11" s="815" t="s">
        <v>3658</v>
      </c>
      <c r="B11" s="467" t="s">
        <v>3659</v>
      </c>
    </row>
    <row r="12" spans="1:2">
      <c r="A12" s="815" t="s">
        <v>2566</v>
      </c>
      <c r="B12" s="467" t="s">
        <v>867</v>
      </c>
    </row>
    <row r="13" spans="1:2">
      <c r="A13" s="815" t="s">
        <v>3858</v>
      </c>
      <c r="B13" s="467" t="s">
        <v>928</v>
      </c>
    </row>
    <row r="14" spans="1:2">
      <c r="A14" s="815" t="s">
        <v>2447</v>
      </c>
      <c r="B14" s="467" t="s">
        <v>2448</v>
      </c>
    </row>
    <row r="15" spans="1:2">
      <c r="A15" s="815" t="s">
        <v>2439</v>
      </c>
      <c r="B15" s="467" t="s">
        <v>2440</v>
      </c>
    </row>
    <row r="16" spans="1:2">
      <c r="A16" s="815" t="s">
        <v>454</v>
      </c>
      <c r="B16" s="467" t="s">
        <v>2569</v>
      </c>
    </row>
    <row r="17" spans="1:2">
      <c r="A17" s="815" t="s">
        <v>3855</v>
      </c>
      <c r="B17" s="467" t="s">
        <v>2570</v>
      </c>
    </row>
    <row r="18" spans="1:2">
      <c r="A18" s="815" t="s">
        <v>3856</v>
      </c>
      <c r="B18" s="467" t="s">
        <v>932</v>
      </c>
    </row>
    <row r="19" spans="1:2">
      <c r="A19" s="815" t="s">
        <v>2172</v>
      </c>
      <c r="B19" s="467" t="s">
        <v>2173</v>
      </c>
    </row>
    <row r="20" spans="1:2">
      <c r="A20" s="815" t="s">
        <v>1831</v>
      </c>
      <c r="B20" s="467" t="s">
        <v>1832</v>
      </c>
    </row>
    <row r="21" spans="1:2">
      <c r="A21" s="815" t="s">
        <v>3145</v>
      </c>
      <c r="B21" s="467" t="s">
        <v>3144</v>
      </c>
    </row>
    <row r="22" spans="1:2">
      <c r="A22" s="815" t="s">
        <v>2422</v>
      </c>
      <c r="B22" s="467" t="s">
        <v>2423</v>
      </c>
    </row>
    <row r="23" spans="1:2">
      <c r="A23" s="815" t="s">
        <v>44</v>
      </c>
      <c r="B23" s="467" t="s">
        <v>45</v>
      </c>
    </row>
    <row r="24" spans="1:2">
      <c r="A24" s="815" t="s">
        <v>884</v>
      </c>
      <c r="B24" s="467" t="s">
        <v>885</v>
      </c>
    </row>
    <row r="25" spans="1:2">
      <c r="A25" s="815" t="s">
        <v>749</v>
      </c>
      <c r="B25" s="467" t="s">
        <v>750</v>
      </c>
    </row>
    <row r="26" spans="1:2">
      <c r="A26" s="815" t="s">
        <v>887</v>
      </c>
      <c r="B26" s="467" t="s">
        <v>748</v>
      </c>
    </row>
    <row r="27" spans="1:2">
      <c r="A27" s="815" t="s">
        <v>2358</v>
      </c>
      <c r="B27" s="467" t="s">
        <v>2359</v>
      </c>
    </row>
    <row r="28" spans="1:2">
      <c r="A28" s="815" t="s">
        <v>2364</v>
      </c>
      <c r="B28" s="467" t="s">
        <v>2365</v>
      </c>
    </row>
    <row r="29" spans="1:2">
      <c r="A29" s="815" t="s">
        <v>392</v>
      </c>
      <c r="B29" s="467" t="s">
        <v>193</v>
      </c>
    </row>
    <row r="30" spans="1:2">
      <c r="A30" s="815" t="s">
        <v>1410</v>
      </c>
      <c r="B30" s="467" t="s">
        <v>1411</v>
      </c>
    </row>
    <row r="31" spans="1:2">
      <c r="A31" s="815" t="s">
        <v>1412</v>
      </c>
      <c r="B31" s="467" t="s">
        <v>1413</v>
      </c>
    </row>
    <row r="32" spans="1:2">
      <c r="A32" s="815" t="s">
        <v>3795</v>
      </c>
      <c r="B32" s="467" t="s">
        <v>3796</v>
      </c>
    </row>
    <row r="33" spans="1:2">
      <c r="A33" s="815" t="s">
        <v>2512</v>
      </c>
      <c r="B33" s="467" t="s">
        <v>2513</v>
      </c>
    </row>
    <row r="34" spans="1:2">
      <c r="A34" s="815" t="s">
        <v>847</v>
      </c>
      <c r="B34" s="467" t="s">
        <v>2633</v>
      </c>
    </row>
    <row r="35" spans="1:2">
      <c r="A35" s="815" t="s">
        <v>848</v>
      </c>
      <c r="B35" s="467" t="s">
        <v>849</v>
      </c>
    </row>
    <row r="36" spans="1:2">
      <c r="A36" s="815" t="s">
        <v>1268</v>
      </c>
      <c r="B36" s="467" t="s">
        <v>1269</v>
      </c>
    </row>
    <row r="37" spans="1:2">
      <c r="A37" s="815" t="s">
        <v>2452</v>
      </c>
      <c r="B37" s="467" t="s">
        <v>2454</v>
      </c>
    </row>
    <row r="38" spans="1:2">
      <c r="A38" s="815" t="s">
        <v>464</v>
      </c>
      <c r="B38" s="467" t="s">
        <v>465</v>
      </c>
    </row>
    <row r="39" spans="1:2">
      <c r="A39" s="815" t="s">
        <v>2088</v>
      </c>
      <c r="B39" s="467" t="s">
        <v>1871</v>
      </c>
    </row>
    <row r="40" spans="1:2">
      <c r="A40" s="815" t="s">
        <v>3513</v>
      </c>
      <c r="B40" s="467" t="s">
        <v>1864</v>
      </c>
    </row>
    <row r="41" spans="1:2">
      <c r="A41" s="815" t="s">
        <v>3512</v>
      </c>
      <c r="B41" s="467" t="s">
        <v>941</v>
      </c>
    </row>
    <row r="42" spans="1:2">
      <c r="A42" s="815" t="s">
        <v>2217</v>
      </c>
      <c r="B42" s="467" t="s">
        <v>1865</v>
      </c>
    </row>
    <row r="43" spans="1:2">
      <c r="A43" s="815" t="s">
        <v>2217</v>
      </c>
      <c r="B43" s="467" t="s">
        <v>2223</v>
      </c>
    </row>
    <row r="44" spans="1:2">
      <c r="A44" s="815" t="s">
        <v>140</v>
      </c>
      <c r="B44" s="467" t="s">
        <v>141</v>
      </c>
    </row>
    <row r="45" spans="1:2">
      <c r="A45" s="815" t="s">
        <v>1338</v>
      </c>
      <c r="B45" s="467" t="s">
        <v>1339</v>
      </c>
    </row>
    <row r="46" spans="1:2">
      <c r="A46" s="815" t="s">
        <v>2870</v>
      </c>
      <c r="B46" s="467" t="s">
        <v>2872</v>
      </c>
    </row>
    <row r="47" spans="1:2">
      <c r="A47" s="815" t="s">
        <v>462</v>
      </c>
      <c r="B47" s="467" t="s">
        <v>463</v>
      </c>
    </row>
    <row r="48" spans="1:2">
      <c r="A48" s="815" t="s">
        <v>460</v>
      </c>
      <c r="B48" s="467" t="s">
        <v>461</v>
      </c>
    </row>
    <row r="49" spans="1:2">
      <c r="A49" s="815" t="s">
        <v>2834</v>
      </c>
      <c r="B49" s="467" t="s">
        <v>2835</v>
      </c>
    </row>
    <row r="50" spans="1:2">
      <c r="A50" s="815" t="s">
        <v>2840</v>
      </c>
      <c r="B50" s="467" t="s">
        <v>2841</v>
      </c>
    </row>
    <row r="51" spans="1:2">
      <c r="A51" s="815" t="s">
        <v>113</v>
      </c>
      <c r="B51" s="467" t="s">
        <v>114</v>
      </c>
    </row>
    <row r="52" spans="1:2">
      <c r="A52" s="815" t="s">
        <v>2866</v>
      </c>
      <c r="B52" s="467" t="s">
        <v>2867</v>
      </c>
    </row>
    <row r="53" spans="1:2">
      <c r="A53" s="815" t="s">
        <v>3801</v>
      </c>
      <c r="B53" s="467" t="s">
        <v>3802</v>
      </c>
    </row>
    <row r="54" spans="1:2">
      <c r="A54" s="815" t="s">
        <v>1614</v>
      </c>
      <c r="B54" s="467" t="s">
        <v>2225</v>
      </c>
    </row>
    <row r="55" spans="1:2">
      <c r="A55" s="815" t="s">
        <v>3823</v>
      </c>
      <c r="B55" s="467" t="s">
        <v>292</v>
      </c>
    </row>
    <row r="56" spans="1:2">
      <c r="A56" s="815" t="s">
        <v>3832</v>
      </c>
      <c r="B56" s="467" t="s">
        <v>1780</v>
      </c>
    </row>
    <row r="57" spans="1:2">
      <c r="A57" s="815" t="s">
        <v>3797</v>
      </c>
      <c r="B57" s="467" t="s">
        <v>3798</v>
      </c>
    </row>
    <row r="58" spans="1:2">
      <c r="A58" s="815" t="s">
        <v>3665</v>
      </c>
      <c r="B58" s="467" t="s">
        <v>3666</v>
      </c>
    </row>
    <row r="59" spans="1:2">
      <c r="A59" s="815" t="s">
        <v>2584</v>
      </c>
      <c r="B59" s="467" t="s">
        <v>2585</v>
      </c>
    </row>
    <row r="60" spans="1:2">
      <c r="A60" s="815" t="s">
        <v>3786</v>
      </c>
      <c r="B60" s="467" t="s">
        <v>3848</v>
      </c>
    </row>
    <row r="61" spans="1:2">
      <c r="A61" s="815" t="s">
        <v>3787</v>
      </c>
      <c r="B61" s="467" t="s">
        <v>3849</v>
      </c>
    </row>
    <row r="62" spans="1:2">
      <c r="A62" s="815" t="s">
        <v>1982</v>
      </c>
      <c r="B62" s="467" t="s">
        <v>1552</v>
      </c>
    </row>
    <row r="63" spans="1:2">
      <c r="A63" s="815" t="s">
        <v>3803</v>
      </c>
      <c r="B63" s="467" t="s">
        <v>3804</v>
      </c>
    </row>
    <row r="64" spans="1:2">
      <c r="A64" s="815" t="s">
        <v>732</v>
      </c>
      <c r="B64" s="467" t="s">
        <v>2812</v>
      </c>
    </row>
    <row r="65" spans="1:2">
      <c r="A65" s="815" t="s">
        <v>3428</v>
      </c>
      <c r="B65" s="467" t="s">
        <v>3429</v>
      </c>
    </row>
    <row r="66" spans="1:2">
      <c r="A66" s="815" t="s">
        <v>3022</v>
      </c>
      <c r="B66" s="467" t="s">
        <v>3024</v>
      </c>
    </row>
    <row r="67" spans="1:2">
      <c r="A67" s="815" t="s">
        <v>692</v>
      </c>
      <c r="B67" s="467" t="s">
        <v>2632</v>
      </c>
    </row>
    <row r="68" spans="1:2">
      <c r="A68" s="815" t="s">
        <v>2757</v>
      </c>
      <c r="B68" s="467" t="s">
        <v>1369</v>
      </c>
    </row>
    <row r="69" spans="1:2">
      <c r="A69" s="815" t="s">
        <v>3838</v>
      </c>
      <c r="B69" s="467" t="s">
        <v>2046</v>
      </c>
    </row>
    <row r="70" spans="1:2">
      <c r="A70" s="815" t="s">
        <v>1375</v>
      </c>
      <c r="B70" s="467" t="s">
        <v>1376</v>
      </c>
    </row>
    <row r="71" spans="1:2">
      <c r="A71" s="815" t="s">
        <v>1069</v>
      </c>
      <c r="B71" s="467" t="s">
        <v>1070</v>
      </c>
    </row>
    <row r="72" spans="1:2">
      <c r="A72" s="815" t="s">
        <v>3318</v>
      </c>
      <c r="B72" s="467" t="s">
        <v>426</v>
      </c>
    </row>
    <row r="73" spans="1:2">
      <c r="A73" s="815" t="s">
        <v>2143</v>
      </c>
      <c r="B73" s="467" t="s">
        <v>2142</v>
      </c>
    </row>
    <row r="74" spans="1:2">
      <c r="A74" s="815" t="s">
        <v>3846</v>
      </c>
      <c r="B74" s="467" t="s">
        <v>2766</v>
      </c>
    </row>
    <row r="75" spans="1:2">
      <c r="A75" s="815" t="s">
        <v>3847</v>
      </c>
      <c r="B75" s="467" t="s">
        <v>2767</v>
      </c>
    </row>
    <row r="76" spans="1:2">
      <c r="A76" s="815" t="s">
        <v>2914</v>
      </c>
      <c r="B76" s="467" t="s">
        <v>2916</v>
      </c>
    </row>
    <row r="77" spans="1:2">
      <c r="A77" s="815" t="s">
        <v>1343</v>
      </c>
      <c r="B77" s="467" t="s">
        <v>2830</v>
      </c>
    </row>
    <row r="78" spans="1:2">
      <c r="A78" s="815" t="s">
        <v>789</v>
      </c>
      <c r="B78" s="467" t="s">
        <v>1690</v>
      </c>
    </row>
    <row r="79" spans="1:2">
      <c r="A79" s="815" t="s">
        <v>2680</v>
      </c>
      <c r="B79" s="467" t="s">
        <v>2681</v>
      </c>
    </row>
    <row r="80" spans="1:2">
      <c r="A80" s="815" t="s">
        <v>2366</v>
      </c>
      <c r="B80" s="467" t="s">
        <v>2367</v>
      </c>
    </row>
    <row r="81" spans="1:2">
      <c r="A81" s="815" t="s">
        <v>1408</v>
      </c>
      <c r="B81" s="467" t="s">
        <v>1409</v>
      </c>
    </row>
    <row r="82" spans="1:2">
      <c r="A82" s="815" t="s">
        <v>1974</v>
      </c>
      <c r="B82" s="467" t="s">
        <v>1975</v>
      </c>
    </row>
    <row r="83" spans="1:2">
      <c r="A83" s="815" t="s">
        <v>391</v>
      </c>
      <c r="B83" s="467" t="s">
        <v>189</v>
      </c>
    </row>
    <row r="84" spans="1:2">
      <c r="A84" s="815" t="s">
        <v>2638</v>
      </c>
      <c r="B84" s="467" t="s">
        <v>2639</v>
      </c>
    </row>
    <row r="85" spans="1:2">
      <c r="A85" s="815" t="s">
        <v>3831</v>
      </c>
      <c r="B85" s="467" t="s">
        <v>2910</v>
      </c>
    </row>
    <row r="86" spans="1:2">
      <c r="A86" s="815" t="s">
        <v>2607</v>
      </c>
      <c r="B86" s="467" t="s">
        <v>1778</v>
      </c>
    </row>
    <row r="87" spans="1:2">
      <c r="A87" s="815" t="s">
        <v>2746</v>
      </c>
      <c r="B87" s="467" t="s">
        <v>2747</v>
      </c>
    </row>
    <row r="88" spans="1:2">
      <c r="A88" s="815" t="s">
        <v>786</v>
      </c>
      <c r="B88" s="467" t="s">
        <v>787</v>
      </c>
    </row>
    <row r="89" spans="1:2">
      <c r="A89" s="815" t="s">
        <v>2508</v>
      </c>
      <c r="B89" s="467" t="s">
        <v>3206</v>
      </c>
    </row>
    <row r="90" spans="1:2">
      <c r="A90" s="815" t="s">
        <v>1086</v>
      </c>
      <c r="B90" s="467" t="s">
        <v>2833</v>
      </c>
    </row>
    <row r="91" spans="1:2">
      <c r="A91" s="815" t="s">
        <v>1085</v>
      </c>
      <c r="B91" s="467" t="s">
        <v>2832</v>
      </c>
    </row>
    <row r="92" spans="1:2">
      <c r="A92" s="815" t="s">
        <v>2535</v>
      </c>
      <c r="B92" s="467" t="s">
        <v>1434</v>
      </c>
    </row>
    <row r="93" spans="1:2">
      <c r="A93" s="815" t="s">
        <v>1087</v>
      </c>
      <c r="B93" s="467" t="s">
        <v>2253</v>
      </c>
    </row>
    <row r="94" spans="1:2">
      <c r="A94" s="815" t="s">
        <v>2534</v>
      </c>
      <c r="B94" s="467" t="s">
        <v>1040</v>
      </c>
    </row>
    <row r="95" spans="1:2">
      <c r="A95" s="815" t="s">
        <v>3011</v>
      </c>
      <c r="B95" s="467" t="s">
        <v>2254</v>
      </c>
    </row>
    <row r="96" spans="1:2">
      <c r="A96" s="815" t="s">
        <v>1346</v>
      </c>
      <c r="B96" s="467" t="s">
        <v>1348</v>
      </c>
    </row>
    <row r="97" spans="1:2">
      <c r="A97" s="815" t="s">
        <v>283</v>
      </c>
      <c r="B97" s="467" t="s">
        <v>284</v>
      </c>
    </row>
    <row r="98" spans="1:2">
      <c r="A98" s="815" t="s">
        <v>3173</v>
      </c>
      <c r="B98" s="467" t="s">
        <v>3174</v>
      </c>
    </row>
    <row r="99" spans="1:2">
      <c r="A99" s="815" t="s">
        <v>3171</v>
      </c>
      <c r="B99" s="467" t="s">
        <v>3172</v>
      </c>
    </row>
    <row r="100" spans="1:2">
      <c r="A100" s="815" t="s">
        <v>288</v>
      </c>
      <c r="B100" s="467" t="s">
        <v>3170</v>
      </c>
    </row>
    <row r="101" spans="1:2">
      <c r="A101" s="815" t="s">
        <v>920</v>
      </c>
      <c r="B101" s="467" t="s">
        <v>3000</v>
      </c>
    </row>
    <row r="102" spans="1:2">
      <c r="A102" s="815" t="s">
        <v>2998</v>
      </c>
      <c r="B102" s="467" t="s">
        <v>2999</v>
      </c>
    </row>
    <row r="103" spans="1:2">
      <c r="A103" s="815" t="s">
        <v>2387</v>
      </c>
      <c r="B103" s="467" t="s">
        <v>2388</v>
      </c>
    </row>
    <row r="104" spans="1:2">
      <c r="A104" s="815" t="s">
        <v>2376</v>
      </c>
      <c r="B104" s="467" t="s">
        <v>2377</v>
      </c>
    </row>
    <row r="105" spans="1:2">
      <c r="A105" s="815" t="s">
        <v>2369</v>
      </c>
      <c r="B105" s="467" t="s">
        <v>2370</v>
      </c>
    </row>
    <row r="106" spans="1:2">
      <c r="A106" s="815" t="s">
        <v>2385</v>
      </c>
      <c r="B106" s="467" t="s">
        <v>2386</v>
      </c>
    </row>
    <row r="107" spans="1:2">
      <c r="A107" s="815" t="s">
        <v>2382</v>
      </c>
      <c r="B107" s="467" t="s">
        <v>2383</v>
      </c>
    </row>
    <row r="108" spans="1:2">
      <c r="A108" s="815" t="s">
        <v>2361</v>
      </c>
      <c r="B108" s="467" t="s">
        <v>2362</v>
      </c>
    </row>
    <row r="109" spans="1:2">
      <c r="A109" s="815" t="s">
        <v>2006</v>
      </c>
      <c r="B109" s="467" t="s">
        <v>2596</v>
      </c>
    </row>
    <row r="110" spans="1:2">
      <c r="A110" s="815" t="s">
        <v>2751</v>
      </c>
      <c r="B110" s="467" t="s">
        <v>2519</v>
      </c>
    </row>
    <row r="111" spans="1:2">
      <c r="A111" s="815" t="s">
        <v>3592</v>
      </c>
      <c r="B111" s="467" t="s">
        <v>3593</v>
      </c>
    </row>
    <row r="112" spans="1:2">
      <c r="A112" s="815" t="s">
        <v>3591</v>
      </c>
      <c r="B112" s="467" t="s">
        <v>2517</v>
      </c>
    </row>
    <row r="113" spans="1:2">
      <c r="A113" s="815" t="s">
        <v>2420</v>
      </c>
      <c r="B113" s="467" t="s">
        <v>2421</v>
      </c>
    </row>
    <row r="114" spans="1:2">
      <c r="A114" s="815" t="s">
        <v>199</v>
      </c>
      <c r="B114" s="467" t="s">
        <v>201</v>
      </c>
    </row>
    <row r="115" spans="1:2">
      <c r="A115" s="815" t="s">
        <v>854</v>
      </c>
      <c r="B115" s="467" t="s">
        <v>855</v>
      </c>
    </row>
    <row r="116" spans="1:2">
      <c r="A116" s="815" t="s">
        <v>865</v>
      </c>
      <c r="B116" s="467" t="s">
        <v>2065</v>
      </c>
    </row>
    <row r="117" spans="1:2">
      <c r="A117" s="815" t="s">
        <v>3312</v>
      </c>
      <c r="B117" s="467" t="s">
        <v>2991</v>
      </c>
    </row>
    <row r="118" spans="1:2">
      <c r="A118" s="815" t="s">
        <v>3313</v>
      </c>
      <c r="B118" s="467" t="s">
        <v>2992</v>
      </c>
    </row>
    <row r="119" spans="1:2">
      <c r="A119" s="815" t="s">
        <v>2984</v>
      </c>
      <c r="B119" s="467" t="s">
        <v>2031</v>
      </c>
    </row>
    <row r="120" spans="1:2">
      <c r="A120" s="815" t="s">
        <v>1041</v>
      </c>
      <c r="B120" s="467" t="s">
        <v>1042</v>
      </c>
    </row>
    <row r="121" spans="1:2">
      <c r="A121" s="815" t="s">
        <v>1008</v>
      </c>
      <c r="B121" s="467" t="s">
        <v>1009</v>
      </c>
    </row>
    <row r="122" spans="1:2">
      <c r="A122" s="815" t="s">
        <v>1959</v>
      </c>
      <c r="B122" s="467" t="s">
        <v>1958</v>
      </c>
    </row>
    <row r="123" spans="1:2">
      <c r="A123" s="815" t="s">
        <v>1352</v>
      </c>
      <c r="B123" s="467" t="s">
        <v>352</v>
      </c>
    </row>
    <row r="124" spans="1:2">
      <c r="A124" s="815" t="s">
        <v>3816</v>
      </c>
      <c r="B124" s="467" t="s">
        <v>3817</v>
      </c>
    </row>
    <row r="125" spans="1:2">
      <c r="A125" s="815" t="s">
        <v>455</v>
      </c>
      <c r="B125" s="467" t="s">
        <v>2441</v>
      </c>
    </row>
    <row r="126" spans="1:2">
      <c r="A126" s="815" t="s">
        <v>3854</v>
      </c>
      <c r="B126" s="467" t="s">
        <v>933</v>
      </c>
    </row>
    <row r="127" spans="1:2">
      <c r="A127" s="815" t="s">
        <v>2709</v>
      </c>
      <c r="B127" s="467" t="s">
        <v>1526</v>
      </c>
    </row>
    <row r="128" spans="1:2">
      <c r="A128" s="815" t="s">
        <v>1347</v>
      </c>
      <c r="B128" s="467" t="s">
        <v>1349</v>
      </c>
    </row>
    <row r="129" spans="1:2">
      <c r="A129" s="815" t="s">
        <v>1296</v>
      </c>
      <c r="B129" s="467" t="s">
        <v>966</v>
      </c>
    </row>
    <row r="130" spans="1:2">
      <c r="A130" s="815" t="s">
        <v>3844</v>
      </c>
      <c r="B130" s="467" t="s">
        <v>2760</v>
      </c>
    </row>
    <row r="131" spans="1:2">
      <c r="A131" s="815" t="s">
        <v>3845</v>
      </c>
      <c r="B131" s="467" t="s">
        <v>2764</v>
      </c>
    </row>
    <row r="132" spans="1:2">
      <c r="A132" s="815" t="s">
        <v>2913</v>
      </c>
      <c r="B132" s="467" t="s">
        <v>2915</v>
      </c>
    </row>
    <row r="133" spans="1:2">
      <c r="A133" s="815" t="s">
        <v>3830</v>
      </c>
      <c r="B133" s="467" t="s">
        <v>2909</v>
      </c>
    </row>
    <row r="134" spans="1:2">
      <c r="A134" s="815" t="s">
        <v>2430</v>
      </c>
      <c r="B134" s="467" t="s">
        <v>1837</v>
      </c>
    </row>
    <row r="135" spans="1:2">
      <c r="A135" s="815" t="s">
        <v>1500</v>
      </c>
      <c r="B135" s="467" t="s">
        <v>1043</v>
      </c>
    </row>
    <row r="136" spans="1:2">
      <c r="A136" s="815" t="s">
        <v>1976</v>
      </c>
      <c r="B136" s="467" t="s">
        <v>1977</v>
      </c>
    </row>
    <row r="137" spans="1:2">
      <c r="A137" s="815" t="s">
        <v>1978</v>
      </c>
      <c r="B137" s="467" t="s">
        <v>1979</v>
      </c>
    </row>
    <row r="138" spans="1:2">
      <c r="A138" s="815" t="s">
        <v>336</v>
      </c>
      <c r="B138" s="467" t="s">
        <v>1779</v>
      </c>
    </row>
    <row r="139" spans="1:2">
      <c r="A139" s="815" t="s">
        <v>1983</v>
      </c>
      <c r="B139" s="467" t="s">
        <v>3199</v>
      </c>
    </row>
    <row r="140" spans="1:2">
      <c r="A140" s="815" t="s">
        <v>1498</v>
      </c>
      <c r="B140" s="467" t="s">
        <v>2536</v>
      </c>
    </row>
    <row r="141" spans="1:2">
      <c r="A141" s="815" t="s">
        <v>1503</v>
      </c>
      <c r="B141" s="467" t="s">
        <v>1549</v>
      </c>
    </row>
    <row r="142" spans="1:2">
      <c r="A142" s="815" t="s">
        <v>1499</v>
      </c>
      <c r="B142" s="467" t="s">
        <v>680</v>
      </c>
    </row>
    <row r="143" spans="1:2">
      <c r="A143" s="815" t="s">
        <v>1981</v>
      </c>
      <c r="B143" s="467" t="s">
        <v>1551</v>
      </c>
    </row>
    <row r="144" spans="1:2">
      <c r="A144" s="815" t="s">
        <v>1980</v>
      </c>
      <c r="B144" s="467" t="s">
        <v>1550</v>
      </c>
    </row>
    <row r="145" spans="1:2">
      <c r="A145" s="815" t="s">
        <v>221</v>
      </c>
      <c r="B145" s="467" t="s">
        <v>222</v>
      </c>
    </row>
    <row r="146" spans="1:2">
      <c r="A146" s="815" t="s">
        <v>3842</v>
      </c>
      <c r="B146" s="467" t="s">
        <v>3843</v>
      </c>
    </row>
    <row r="147" spans="1:2">
      <c r="A147" s="815" t="s">
        <v>197</v>
      </c>
      <c r="B147" s="467" t="s">
        <v>198</v>
      </c>
    </row>
    <row r="148" spans="1:2">
      <c r="A148" s="815" t="s">
        <v>109</v>
      </c>
      <c r="B148" s="467" t="s">
        <v>110</v>
      </c>
    </row>
    <row r="149" spans="1:2">
      <c r="A149" s="815" t="s">
        <v>3493</v>
      </c>
      <c r="B149" s="467" t="s">
        <v>3494</v>
      </c>
    </row>
    <row r="150" spans="1:2">
      <c r="A150" s="815" t="s">
        <v>236</v>
      </c>
      <c r="B150" s="467" t="s">
        <v>237</v>
      </c>
    </row>
    <row r="151" spans="1:2">
      <c r="A151" s="815" t="s">
        <v>809</v>
      </c>
      <c r="B151" s="467" t="s">
        <v>810</v>
      </c>
    </row>
    <row r="152" spans="1:2">
      <c r="A152" s="815" t="s">
        <v>487</v>
      </c>
      <c r="B152" s="467" t="s">
        <v>488</v>
      </c>
    </row>
    <row r="153" spans="1:2">
      <c r="A153" s="815" t="s">
        <v>807</v>
      </c>
      <c r="B153" s="467" t="s">
        <v>808</v>
      </c>
    </row>
    <row r="154" spans="1:2">
      <c r="A154" s="815" t="s">
        <v>917</v>
      </c>
      <c r="B154" s="467" t="s">
        <v>918</v>
      </c>
    </row>
    <row r="155" spans="1:2">
      <c r="A155" s="815" t="s">
        <v>919</v>
      </c>
      <c r="B155" s="467" t="s">
        <v>806</v>
      </c>
    </row>
    <row r="156" spans="1:2">
      <c r="A156" s="815" t="s">
        <v>2693</v>
      </c>
      <c r="B156" s="467" t="s">
        <v>301</v>
      </c>
    </row>
    <row r="157" spans="1:2">
      <c r="A157" s="815" t="s">
        <v>878</v>
      </c>
      <c r="B157" s="467" t="s">
        <v>881</v>
      </c>
    </row>
    <row r="158" spans="1:2">
      <c r="A158" s="815" t="s">
        <v>875</v>
      </c>
      <c r="B158" s="467" t="s">
        <v>280</v>
      </c>
    </row>
    <row r="159" spans="1:2">
      <c r="A159" s="815" t="s">
        <v>876</v>
      </c>
      <c r="B159" s="467" t="s">
        <v>879</v>
      </c>
    </row>
    <row r="160" spans="1:2">
      <c r="A160" s="815" t="s">
        <v>873</v>
      </c>
      <c r="B160" s="467" t="s">
        <v>277</v>
      </c>
    </row>
    <row r="161" spans="1:2">
      <c r="A161" s="815" t="s">
        <v>877</v>
      </c>
      <c r="B161" s="467" t="s">
        <v>880</v>
      </c>
    </row>
    <row r="162" spans="1:2">
      <c r="A162" s="815" t="s">
        <v>874</v>
      </c>
      <c r="B162" s="467" t="s">
        <v>279</v>
      </c>
    </row>
    <row r="163" spans="1:2">
      <c r="A163" s="815" t="s">
        <v>2692</v>
      </c>
      <c r="B163" s="467" t="s">
        <v>2694</v>
      </c>
    </row>
    <row r="164" spans="1:2">
      <c r="A164" s="815" t="s">
        <v>3496</v>
      </c>
      <c r="B164" s="467" t="s">
        <v>3497</v>
      </c>
    </row>
    <row r="165" spans="1:2">
      <c r="A165" s="815" t="s">
        <v>3499</v>
      </c>
      <c r="B165" s="467" t="s">
        <v>3500</v>
      </c>
    </row>
    <row r="166" spans="1:2">
      <c r="A166" s="815" t="s">
        <v>3480</v>
      </c>
      <c r="B166" s="467" t="s">
        <v>3481</v>
      </c>
    </row>
    <row r="167" spans="1:2">
      <c r="A167" s="815" t="s">
        <v>3752</v>
      </c>
      <c r="B167" s="467" t="s">
        <v>2645</v>
      </c>
    </row>
    <row r="168" spans="1:2">
      <c r="A168" s="815" t="s">
        <v>116</v>
      </c>
      <c r="B168" s="467" t="s">
        <v>486</v>
      </c>
    </row>
    <row r="169" spans="1:2">
      <c r="A169" s="815" t="s">
        <v>257</v>
      </c>
      <c r="B169" s="467" t="s">
        <v>258</v>
      </c>
    </row>
    <row r="170" spans="1:2">
      <c r="A170" s="815" t="s">
        <v>2993</v>
      </c>
      <c r="B170" s="467" t="s">
        <v>2994</v>
      </c>
    </row>
    <row r="171" spans="1:2">
      <c r="A171" s="815" t="s">
        <v>259</v>
      </c>
      <c r="B171" s="467" t="s">
        <v>260</v>
      </c>
    </row>
    <row r="172" spans="1:2">
      <c r="A172" s="815" t="s">
        <v>3449</v>
      </c>
      <c r="B172" s="467" t="s">
        <v>3450</v>
      </c>
    </row>
    <row r="173" spans="1:2">
      <c r="A173" s="815" t="s">
        <v>3440</v>
      </c>
      <c r="B173" s="467" t="s">
        <v>3441</v>
      </c>
    </row>
    <row r="174" spans="1:2">
      <c r="A174" s="815" t="s">
        <v>3438</v>
      </c>
      <c r="B174" s="467" t="s">
        <v>3439</v>
      </c>
    </row>
    <row r="175" spans="1:2">
      <c r="A175" s="815" t="s">
        <v>3447</v>
      </c>
      <c r="B175" s="467" t="s">
        <v>3448</v>
      </c>
    </row>
    <row r="176" spans="1:2">
      <c r="A176" s="815" t="s">
        <v>3668</v>
      </c>
      <c r="B176" s="467" t="s">
        <v>3653</v>
      </c>
    </row>
    <row r="177" spans="1:2">
      <c r="A177" s="815" t="s">
        <v>273</v>
      </c>
      <c r="B177" s="467" t="s">
        <v>274</v>
      </c>
    </row>
    <row r="178" spans="1:2">
      <c r="A178" s="815" t="s">
        <v>195</v>
      </c>
      <c r="B178" s="467" t="s">
        <v>196</v>
      </c>
    </row>
    <row r="179" spans="1:2">
      <c r="A179" s="815" t="s">
        <v>3445</v>
      </c>
      <c r="B179" s="467" t="s">
        <v>3446</v>
      </c>
    </row>
    <row r="180" spans="1:2">
      <c r="A180" s="815" t="s">
        <v>281</v>
      </c>
      <c r="B180" s="467" t="s">
        <v>282</v>
      </c>
    </row>
    <row r="181" spans="1:2">
      <c r="A181" s="815" t="s">
        <v>3436</v>
      </c>
      <c r="B181" s="467" t="s">
        <v>3437</v>
      </c>
    </row>
    <row r="182" spans="1:2">
      <c r="A182" s="815" t="s">
        <v>3443</v>
      </c>
      <c r="B182" s="467" t="s">
        <v>3444</v>
      </c>
    </row>
    <row r="183" spans="1:2">
      <c r="A183" s="815" t="s">
        <v>275</v>
      </c>
      <c r="B183" s="467" t="s">
        <v>276</v>
      </c>
    </row>
    <row r="184" spans="1:2">
      <c r="A184" s="815" t="s">
        <v>3790</v>
      </c>
      <c r="B184" s="467" t="s">
        <v>3791</v>
      </c>
    </row>
    <row r="185" spans="1:2">
      <c r="A185" s="815" t="s">
        <v>269</v>
      </c>
      <c r="B185" s="467" t="s">
        <v>270</v>
      </c>
    </row>
    <row r="186" spans="1:2">
      <c r="A186" s="815" t="s">
        <v>286</v>
      </c>
      <c r="B186" s="467" t="s">
        <v>287</v>
      </c>
    </row>
    <row r="187" spans="1:2">
      <c r="A187" s="815" t="s">
        <v>1292</v>
      </c>
      <c r="B187" s="467" t="s">
        <v>1293</v>
      </c>
    </row>
    <row r="188" spans="1:2">
      <c r="A188" s="815" t="s">
        <v>457</v>
      </c>
      <c r="B188" s="467" t="s">
        <v>458</v>
      </c>
    </row>
    <row r="189" spans="1:2">
      <c r="A189" s="815" t="s">
        <v>2553</v>
      </c>
      <c r="B189" s="467" t="s">
        <v>2554</v>
      </c>
    </row>
    <row r="190" spans="1:2">
      <c r="A190" s="815" t="s">
        <v>2562</v>
      </c>
      <c r="B190" s="467" t="s">
        <v>2564</v>
      </c>
    </row>
    <row r="191" spans="1:2">
      <c r="A191" s="815" t="s">
        <v>3860</v>
      </c>
      <c r="B191" s="467" t="s">
        <v>2565</v>
      </c>
    </row>
    <row r="192" spans="1:2">
      <c r="A192" s="815" t="s">
        <v>2561</v>
      </c>
      <c r="B192" s="467" t="s">
        <v>1282</v>
      </c>
    </row>
    <row r="193" spans="1:2">
      <c r="A193" s="815" t="s">
        <v>3861</v>
      </c>
      <c r="B193" s="467" t="s">
        <v>927</v>
      </c>
    </row>
    <row r="194" spans="1:2">
      <c r="A194" s="815" t="s">
        <v>1912</v>
      </c>
      <c r="B194" s="467" t="s">
        <v>1913</v>
      </c>
    </row>
    <row r="195" spans="1:2">
      <c r="A195" s="815" t="s">
        <v>1907</v>
      </c>
      <c r="B195" s="467" t="s">
        <v>1908</v>
      </c>
    </row>
    <row r="196" spans="1:2">
      <c r="A196" s="815" t="s">
        <v>1910</v>
      </c>
      <c r="B196" s="467" t="s">
        <v>1911</v>
      </c>
    </row>
    <row r="197" spans="1:2">
      <c r="A197" s="815" t="s">
        <v>3031</v>
      </c>
      <c r="B197" s="467" t="s">
        <v>3028</v>
      </c>
    </row>
    <row r="198" spans="1:2">
      <c r="A198" s="815" t="s">
        <v>246</v>
      </c>
      <c r="B198" s="467" t="s">
        <v>3113</v>
      </c>
    </row>
    <row r="199" spans="1:2">
      <c r="A199" s="815" t="s">
        <v>245</v>
      </c>
      <c r="B199" s="467" t="s">
        <v>3112</v>
      </c>
    </row>
    <row r="200" spans="1:2">
      <c r="A200" s="815" t="s">
        <v>3096</v>
      </c>
      <c r="B200" s="467" t="s">
        <v>3097</v>
      </c>
    </row>
    <row r="201" spans="1:2">
      <c r="A201" s="815" t="s">
        <v>3853</v>
      </c>
      <c r="B201" s="467" t="s">
        <v>903</v>
      </c>
    </row>
    <row r="202" spans="1:2">
      <c r="A202" s="815" t="s">
        <v>3850</v>
      </c>
      <c r="B202" s="467" t="s">
        <v>893</v>
      </c>
    </row>
    <row r="203" spans="1:2">
      <c r="A203" s="815" t="s">
        <v>3851</v>
      </c>
      <c r="B203" s="467" t="s">
        <v>896</v>
      </c>
    </row>
    <row r="204" spans="1:2">
      <c r="A204" s="815" t="s">
        <v>3852</v>
      </c>
      <c r="B204" s="467" t="s">
        <v>899</v>
      </c>
    </row>
    <row r="205" spans="1:2">
      <c r="A205" s="815" t="s">
        <v>3059</v>
      </c>
      <c r="B205" s="467" t="s">
        <v>3060</v>
      </c>
    </row>
    <row r="206" spans="1:2">
      <c r="A206" s="815" t="s">
        <v>2810</v>
      </c>
      <c r="B206" s="467" t="s">
        <v>2811</v>
      </c>
    </row>
    <row r="207" spans="1:2">
      <c r="A207" s="815" t="s">
        <v>2450</v>
      </c>
      <c r="B207" s="467" t="s">
        <v>1225</v>
      </c>
    </row>
    <row r="208" spans="1:2">
      <c r="A208" s="815" t="s">
        <v>727</v>
      </c>
      <c r="B208" s="467" t="s">
        <v>728</v>
      </c>
    </row>
    <row r="209" spans="1:2">
      <c r="A209" s="815" t="s">
        <v>3396</v>
      </c>
      <c r="B209" s="467" t="s">
        <v>3397</v>
      </c>
    </row>
    <row r="210" spans="1:2">
      <c r="A210" s="815" t="s">
        <v>3398</v>
      </c>
      <c r="B210" s="467" t="s">
        <v>3399</v>
      </c>
    </row>
    <row r="211" spans="1:2">
      <c r="A211" s="815" t="s">
        <v>2076</v>
      </c>
      <c r="B211" s="467" t="s">
        <v>2074</v>
      </c>
    </row>
    <row r="212" spans="1:2">
      <c r="A212" s="815" t="s">
        <v>2078</v>
      </c>
      <c r="B212" s="467" t="s">
        <v>1874</v>
      </c>
    </row>
    <row r="213" spans="1:2">
      <c r="A213" s="815" t="s">
        <v>2071</v>
      </c>
      <c r="B213" s="467" t="s">
        <v>1872</v>
      </c>
    </row>
    <row r="214" spans="1:2">
      <c r="A214" s="815" t="s">
        <v>2073</v>
      </c>
      <c r="B214" s="467" t="s">
        <v>3190</v>
      </c>
    </row>
    <row r="215" spans="1:2">
      <c r="A215" s="815" t="s">
        <v>3661</v>
      </c>
      <c r="B215" s="467" t="s">
        <v>3662</v>
      </c>
    </row>
    <row r="216" spans="1:2">
      <c r="A216" s="815" t="s">
        <v>1942</v>
      </c>
      <c r="B216" s="467" t="s">
        <v>1943</v>
      </c>
    </row>
    <row r="217" spans="1:2">
      <c r="A217" s="815" t="s">
        <v>2372</v>
      </c>
      <c r="B217" s="467" t="s">
        <v>2373</v>
      </c>
    </row>
    <row r="218" spans="1:2">
      <c r="A218" s="815" t="s">
        <v>784</v>
      </c>
      <c r="B218" s="467" t="s">
        <v>785</v>
      </c>
    </row>
    <row r="219" spans="1:2">
      <c r="A219" s="815" t="s">
        <v>2911</v>
      </c>
      <c r="B219" s="467" t="s">
        <v>2546</v>
      </c>
    </row>
    <row r="220" spans="1:2">
      <c r="A220" s="815" t="s">
        <v>2773</v>
      </c>
      <c r="B220" s="467" t="s">
        <v>1752</v>
      </c>
    </row>
    <row r="221" spans="1:2">
      <c r="A221" s="815" t="s">
        <v>3106</v>
      </c>
      <c r="B221" s="467" t="s">
        <v>1819</v>
      </c>
    </row>
    <row r="222" spans="1:2">
      <c r="A222" s="815" t="s">
        <v>3434</v>
      </c>
      <c r="B222" s="467" t="s">
        <v>3435</v>
      </c>
    </row>
    <row r="223" spans="1:2">
      <c r="A223" s="815" t="s">
        <v>1229</v>
      </c>
      <c r="B223" s="467" t="s">
        <v>1530</v>
      </c>
    </row>
    <row r="224" spans="1:2">
      <c r="A224" s="815" t="s">
        <v>1432</v>
      </c>
      <c r="B224" s="467" t="s">
        <v>1433</v>
      </c>
    </row>
    <row r="225" spans="1:2">
      <c r="A225" s="815" t="s">
        <v>2850</v>
      </c>
      <c r="B225" s="467" t="s">
        <v>2851</v>
      </c>
    </row>
    <row r="226" spans="1:2">
      <c r="A226" s="815" t="s">
        <v>2414</v>
      </c>
      <c r="B226" s="467" t="s">
        <v>2415</v>
      </c>
    </row>
    <row r="227" spans="1:2">
      <c r="A227" s="815" t="s">
        <v>2416</v>
      </c>
      <c r="B227" s="467" t="s">
        <v>2417</v>
      </c>
    </row>
    <row r="228" spans="1:2">
      <c r="A228" s="815" t="s">
        <v>2982</v>
      </c>
      <c r="B228" s="467" t="s">
        <v>2983</v>
      </c>
    </row>
    <row r="229" spans="1:2">
      <c r="A229" s="815" t="s">
        <v>2077</v>
      </c>
      <c r="B229" s="467" t="s">
        <v>2075</v>
      </c>
    </row>
    <row r="230" spans="1:2">
      <c r="A230" s="815" t="s">
        <v>2079</v>
      </c>
      <c r="B230" s="467" t="s">
        <v>1875</v>
      </c>
    </row>
    <row r="231" spans="1:2">
      <c r="A231" s="815" t="s">
        <v>2070</v>
      </c>
      <c r="B231" s="467" t="s">
        <v>1873</v>
      </c>
    </row>
    <row r="232" spans="1:2">
      <c r="A232" s="815" t="s">
        <v>2072</v>
      </c>
      <c r="B232" s="467" t="s">
        <v>3189</v>
      </c>
    </row>
    <row r="233" spans="1:2">
      <c r="A233" s="815" t="s">
        <v>3482</v>
      </c>
      <c r="B233" s="467" t="s">
        <v>3483</v>
      </c>
    </row>
    <row r="234" spans="1:2">
      <c r="A234" s="815" t="s">
        <v>3476</v>
      </c>
      <c r="B234" s="467" t="s">
        <v>3477</v>
      </c>
    </row>
    <row r="235" spans="1:2">
      <c r="A235" s="815" t="s">
        <v>3478</v>
      </c>
      <c r="B235" s="467" t="s">
        <v>3479</v>
      </c>
    </row>
    <row r="236" spans="1:2">
      <c r="A236" s="815" t="s">
        <v>2487</v>
      </c>
      <c r="B236" s="467" t="s">
        <v>2488</v>
      </c>
    </row>
    <row r="237" spans="1:2">
      <c r="A237" s="815" t="s">
        <v>1232</v>
      </c>
      <c r="B237" s="467" t="s">
        <v>3188</v>
      </c>
    </row>
    <row r="238" spans="1:2">
      <c r="A238" s="815" t="s">
        <v>2374</v>
      </c>
      <c r="B238" s="467" t="s">
        <v>2375</v>
      </c>
    </row>
    <row r="239" spans="1:2">
      <c r="A239" s="815" t="s">
        <v>782</v>
      </c>
      <c r="B239" s="467" t="s">
        <v>783</v>
      </c>
    </row>
    <row r="240" spans="1:2">
      <c r="A240" s="815" t="s">
        <v>1955</v>
      </c>
      <c r="B240" s="467" t="s">
        <v>1956</v>
      </c>
    </row>
    <row r="241" spans="1:2">
      <c r="A241" s="815" t="s">
        <v>3084</v>
      </c>
      <c r="B241" s="467" t="s">
        <v>3085</v>
      </c>
    </row>
    <row r="242" spans="1:2">
      <c r="A242" s="815" t="s">
        <v>3087</v>
      </c>
      <c r="B242" s="467" t="s">
        <v>3088</v>
      </c>
    </row>
    <row r="243" spans="1:2">
      <c r="A243" s="815" t="s">
        <v>2331</v>
      </c>
      <c r="B243" s="467" t="s">
        <v>2332</v>
      </c>
    </row>
    <row r="244" spans="1:2">
      <c r="A244" s="815" t="s">
        <v>234</v>
      </c>
      <c r="B244" s="467" t="s">
        <v>235</v>
      </c>
    </row>
    <row r="245" spans="1:2">
      <c r="A245" s="815" t="s">
        <v>1010</v>
      </c>
      <c r="B245" s="467" t="s">
        <v>1621</v>
      </c>
    </row>
    <row r="246" spans="1:2">
      <c r="A246" s="815" t="s">
        <v>2196</v>
      </c>
      <c r="B246" s="467" t="s">
        <v>2197</v>
      </c>
    </row>
    <row r="247" spans="1:2">
      <c r="A247" s="815" t="s">
        <v>1663</v>
      </c>
      <c r="B247" s="467" t="s">
        <v>1664</v>
      </c>
    </row>
    <row r="248" spans="1:2">
      <c r="A248" s="815" t="s">
        <v>2186</v>
      </c>
      <c r="B248" s="467" t="s">
        <v>2187</v>
      </c>
    </row>
    <row r="249" spans="1:2">
      <c r="A249" s="815" t="s">
        <v>2190</v>
      </c>
      <c r="B249" s="467" t="s">
        <v>2191</v>
      </c>
    </row>
    <row r="250" spans="1:2">
      <c r="A250" s="815" t="s">
        <v>2193</v>
      </c>
      <c r="B250" s="467" t="s">
        <v>2194</v>
      </c>
    </row>
    <row r="251" spans="1:2">
      <c r="A251" s="815" t="s">
        <v>3175</v>
      </c>
      <c r="B251" s="467" t="s">
        <v>3176</v>
      </c>
    </row>
    <row r="252" spans="1:2">
      <c r="A252" s="815" t="s">
        <v>267</v>
      </c>
      <c r="B252" s="467" t="s">
        <v>268</v>
      </c>
    </row>
    <row r="253" spans="1:2">
      <c r="A253" s="815" t="s">
        <v>265</v>
      </c>
      <c r="B253" s="467" t="s">
        <v>266</v>
      </c>
    </row>
    <row r="254" spans="1:2">
      <c r="A254" s="815" t="s">
        <v>914</v>
      </c>
      <c r="B254" s="467" t="s">
        <v>915</v>
      </c>
    </row>
    <row r="255" spans="1:2">
      <c r="A255" s="815" t="s">
        <v>262</v>
      </c>
      <c r="B255" s="467" t="s">
        <v>263</v>
      </c>
    </row>
    <row r="256" spans="1:2">
      <c r="A256" s="815" t="s">
        <v>1525</v>
      </c>
      <c r="B256" s="467" t="s">
        <v>1528</v>
      </c>
    </row>
    <row r="257" spans="1:2">
      <c r="A257" s="815" t="s">
        <v>1524</v>
      </c>
      <c r="B257" s="467" t="s">
        <v>1527</v>
      </c>
    </row>
    <row r="258" spans="1:2">
      <c r="A258" s="815" t="s">
        <v>3833</v>
      </c>
      <c r="B258" s="467" t="s">
        <v>1027</v>
      </c>
    </row>
    <row r="259" spans="1:2">
      <c r="A259" s="815" t="s">
        <v>3824</v>
      </c>
      <c r="B259" s="467" t="s">
        <v>293</v>
      </c>
    </row>
    <row r="260" spans="1:2">
      <c r="A260" s="815" t="s">
        <v>3826</v>
      </c>
      <c r="B260" s="467" t="s">
        <v>295</v>
      </c>
    </row>
    <row r="261" spans="1:2">
      <c r="A261" s="815" t="s">
        <v>3828</v>
      </c>
      <c r="B261" s="467" t="s">
        <v>2942</v>
      </c>
    </row>
    <row r="262" spans="1:2">
      <c r="A262" s="815" t="s">
        <v>3825</v>
      </c>
      <c r="B262" s="467" t="s">
        <v>294</v>
      </c>
    </row>
    <row r="263" spans="1:2">
      <c r="A263" s="815" t="s">
        <v>3836</v>
      </c>
      <c r="B263" s="467" t="s">
        <v>1030</v>
      </c>
    </row>
    <row r="264" spans="1:2">
      <c r="A264" s="815" t="s">
        <v>3835</v>
      </c>
      <c r="B264" s="467" t="s">
        <v>1029</v>
      </c>
    </row>
    <row r="265" spans="1:2">
      <c r="A265" s="815" t="s">
        <v>3829</v>
      </c>
      <c r="B265" s="467" t="s">
        <v>2943</v>
      </c>
    </row>
    <row r="266" spans="1:2">
      <c r="A266" s="815" t="s">
        <v>3834</v>
      </c>
      <c r="B266" s="467" t="s">
        <v>1028</v>
      </c>
    </row>
    <row r="267" spans="1:2">
      <c r="A267" s="815" t="s">
        <v>852</v>
      </c>
      <c r="B267" s="467" t="s">
        <v>853</v>
      </c>
    </row>
    <row r="268" spans="1:2">
      <c r="A268" s="815" t="s">
        <v>1820</v>
      </c>
      <c r="B268" s="467" t="s">
        <v>399</v>
      </c>
    </row>
    <row r="269" spans="1:2">
      <c r="A269" s="815" t="s">
        <v>5</v>
      </c>
      <c r="B269" s="467" t="s">
        <v>6</v>
      </c>
    </row>
    <row r="270" spans="1:2">
      <c r="A270" s="815" t="s">
        <v>2620</v>
      </c>
      <c r="B270" s="467" t="s">
        <v>2621</v>
      </c>
    </row>
    <row r="271" spans="1:2">
      <c r="A271" s="815" t="s">
        <v>1661</v>
      </c>
      <c r="B271" s="467" t="s">
        <v>742</v>
      </c>
    </row>
    <row r="272" spans="1:2">
      <c r="A272" s="815" t="s">
        <v>3650</v>
      </c>
      <c r="B272" s="467" t="s">
        <v>3651</v>
      </c>
    </row>
    <row r="273" spans="1:2">
      <c r="A273" s="815" t="s">
        <v>1454</v>
      </c>
      <c r="B273" s="467" t="s">
        <v>2989</v>
      </c>
    </row>
    <row r="274" spans="1:2">
      <c r="A274" s="815" t="s">
        <v>2988</v>
      </c>
      <c r="B274" s="467" t="s">
        <v>2990</v>
      </c>
    </row>
    <row r="275" spans="1:2">
      <c r="A275" s="815" t="s">
        <v>1787</v>
      </c>
      <c r="B275" s="467" t="s">
        <v>1788</v>
      </c>
    </row>
    <row r="276" spans="1:2">
      <c r="A276" s="815" t="s">
        <v>1038</v>
      </c>
      <c r="B276" s="467" t="s">
        <v>1039</v>
      </c>
    </row>
    <row r="277" spans="1:2">
      <c r="A277" s="815" t="s">
        <v>1036</v>
      </c>
      <c r="B277" s="467" t="s">
        <v>1037</v>
      </c>
    </row>
    <row r="278" spans="1:2">
      <c r="A278" s="815" t="s">
        <v>3232</v>
      </c>
      <c r="B278" s="467" t="s">
        <v>2884</v>
      </c>
    </row>
    <row r="279" spans="1:2">
      <c r="A279" s="815" t="s">
        <v>2890</v>
      </c>
      <c r="B279" s="467" t="s">
        <v>2995</v>
      </c>
    </row>
    <row r="280" spans="1:2">
      <c r="A280" s="815" t="s">
        <v>2996</v>
      </c>
      <c r="B280" s="467" t="s">
        <v>2997</v>
      </c>
    </row>
    <row r="281" spans="1:2">
      <c r="A281" s="815" t="s">
        <v>843</v>
      </c>
      <c r="B281" s="467" t="s">
        <v>844</v>
      </c>
    </row>
    <row r="282" spans="1:2">
      <c r="A282" s="815" t="s">
        <v>2278</v>
      </c>
      <c r="B282" s="467" t="s">
        <v>2279</v>
      </c>
    </row>
    <row r="283" spans="1:2">
      <c r="A283" s="815" t="s">
        <v>1502</v>
      </c>
      <c r="B283" s="467" t="s">
        <v>858</v>
      </c>
    </row>
    <row r="284" spans="1:2">
      <c r="A284" s="815" t="s">
        <v>856</v>
      </c>
      <c r="B284" s="467" t="s">
        <v>857</v>
      </c>
    </row>
    <row r="285" spans="1:2">
      <c r="A285" s="815" t="s">
        <v>1543</v>
      </c>
      <c r="B285" s="467" t="s">
        <v>1539</v>
      </c>
    </row>
    <row r="286" spans="1:2">
      <c r="A286" s="815" t="s">
        <v>1541</v>
      </c>
      <c r="B286" s="467" t="s">
        <v>1537</v>
      </c>
    </row>
    <row r="287" spans="1:2">
      <c r="A287" s="815" t="s">
        <v>1542</v>
      </c>
      <c r="B287" s="467" t="s">
        <v>1538</v>
      </c>
    </row>
    <row r="288" spans="1:2">
      <c r="A288" s="815" t="s">
        <v>2557</v>
      </c>
      <c r="B288" s="467" t="s">
        <v>1536</v>
      </c>
    </row>
    <row r="289" spans="1:2">
      <c r="A289" s="815" t="s">
        <v>214</v>
      </c>
      <c r="B289" s="467" t="s">
        <v>211</v>
      </c>
    </row>
    <row r="290" spans="1:2">
      <c r="A290" s="815" t="s">
        <v>3310</v>
      </c>
      <c r="B290" s="467" t="s">
        <v>158</v>
      </c>
    </row>
    <row r="291" spans="1:2">
      <c r="A291" s="815" t="s">
        <v>3311</v>
      </c>
      <c r="B291" s="467" t="s">
        <v>159</v>
      </c>
    </row>
    <row r="292" spans="1:2">
      <c r="A292" s="815" t="s">
        <v>1540</v>
      </c>
      <c r="B292" s="467" t="s">
        <v>1535</v>
      </c>
    </row>
    <row r="293" spans="1:2">
      <c r="A293" s="815" t="s">
        <v>1878</v>
      </c>
      <c r="B293" s="467" t="s">
        <v>1545</v>
      </c>
    </row>
    <row r="294" spans="1:2">
      <c r="A294" s="815" t="s">
        <v>2970</v>
      </c>
      <c r="B294" s="467" t="s">
        <v>2857</v>
      </c>
    </row>
    <row r="295" spans="1:2">
      <c r="A295" s="815" t="s">
        <v>1879</v>
      </c>
      <c r="B295" s="467" t="s">
        <v>1546</v>
      </c>
    </row>
    <row r="296" spans="1:2">
      <c r="A296" s="815" t="s">
        <v>1519</v>
      </c>
      <c r="B296" s="467" t="s">
        <v>1520</v>
      </c>
    </row>
    <row r="297" spans="1:2">
      <c r="A297" s="815" t="s">
        <v>1650</v>
      </c>
      <c r="B297" s="467" t="s">
        <v>1651</v>
      </c>
    </row>
    <row r="298" spans="1:2">
      <c r="A298" s="815" t="s">
        <v>2926</v>
      </c>
      <c r="B298" s="467" t="s">
        <v>2927</v>
      </c>
    </row>
    <row r="299" spans="1:2">
      <c r="A299" s="815" t="s">
        <v>1516</v>
      </c>
      <c r="B299" s="467" t="s">
        <v>1517</v>
      </c>
    </row>
    <row r="300" spans="1:2">
      <c r="A300" s="815" t="s">
        <v>1647</v>
      </c>
      <c r="B300" s="467" t="s">
        <v>1648</v>
      </c>
    </row>
    <row r="301" spans="1:2">
      <c r="A301" s="815" t="s">
        <v>1606</v>
      </c>
      <c r="B301" s="467" t="s">
        <v>1607</v>
      </c>
    </row>
    <row r="302" spans="1:2">
      <c r="A302" s="815" t="s">
        <v>7</v>
      </c>
      <c r="B302" s="467" t="s">
        <v>8</v>
      </c>
    </row>
    <row r="303" spans="1:2">
      <c r="A303" s="815" t="s">
        <v>1093</v>
      </c>
      <c r="B303" s="467" t="s">
        <v>2618</v>
      </c>
    </row>
    <row r="304" spans="1:2">
      <c r="A304" s="815" t="s">
        <v>1095</v>
      </c>
      <c r="B304" s="467" t="s">
        <v>2619</v>
      </c>
    </row>
    <row r="305" spans="1:2">
      <c r="A305" s="815" t="s">
        <v>1416</v>
      </c>
      <c r="B305" s="467" t="s">
        <v>2617</v>
      </c>
    </row>
    <row r="306" spans="1:2">
      <c r="A306" s="815" t="s">
        <v>2593</v>
      </c>
      <c r="B306" s="467" t="s">
        <v>2594</v>
      </c>
    </row>
    <row r="307" spans="1:2">
      <c r="A307" s="815" t="s">
        <v>2049</v>
      </c>
      <c r="B307" s="467" t="s">
        <v>2616</v>
      </c>
    </row>
    <row r="308" spans="1:2">
      <c r="A308" s="815" t="s">
        <v>1414</v>
      </c>
      <c r="B308" s="467" t="s">
        <v>1544</v>
      </c>
    </row>
    <row r="309" spans="1:2">
      <c r="A309" s="815" t="s">
        <v>1415</v>
      </c>
      <c r="B309" s="467" t="s">
        <v>2144</v>
      </c>
    </row>
    <row r="310" spans="1:2">
      <c r="A310" s="815" t="s">
        <v>2393</v>
      </c>
      <c r="B310" s="467" t="s">
        <v>2396</v>
      </c>
    </row>
    <row r="311" spans="1:2">
      <c r="A311" s="815" t="s">
        <v>2393</v>
      </c>
      <c r="B311" s="467" t="s">
        <v>2394</v>
      </c>
    </row>
    <row r="312" spans="1:2">
      <c r="A312" s="815" t="s">
        <v>1504</v>
      </c>
      <c r="B312" s="467" t="s">
        <v>859</v>
      </c>
    </row>
    <row r="313" spans="1:2">
      <c r="A313" s="815" t="s">
        <v>3207</v>
      </c>
      <c r="B313" s="467" t="s">
        <v>3208</v>
      </c>
    </row>
    <row r="314" spans="1:2">
      <c r="A314" s="815" t="s">
        <v>215</v>
      </c>
      <c r="B314" s="467" t="s">
        <v>210</v>
      </c>
    </row>
    <row r="315" spans="1:2">
      <c r="A315" s="815" t="s">
        <v>2587</v>
      </c>
      <c r="B315" s="467" t="s">
        <v>2588</v>
      </c>
    </row>
    <row r="316" spans="1:2">
      <c r="A316" s="815" t="s">
        <v>1869</v>
      </c>
      <c r="B316" s="467" t="s">
        <v>1870</v>
      </c>
    </row>
    <row r="317" spans="1:2">
      <c r="A317" s="815" t="s">
        <v>1867</v>
      </c>
      <c r="B317" s="467" t="s">
        <v>1868</v>
      </c>
    </row>
    <row r="318" spans="1:2">
      <c r="A318" s="815" t="s">
        <v>2118</v>
      </c>
      <c r="B318" s="467" t="s">
        <v>2226</v>
      </c>
    </row>
    <row r="319" spans="1:2">
      <c r="A319" s="815" t="s">
        <v>52</v>
      </c>
      <c r="B319" s="467" t="s">
        <v>53</v>
      </c>
    </row>
    <row r="320" spans="1:2">
      <c r="A320" s="815" t="s">
        <v>2628</v>
      </c>
      <c r="B320" s="467" t="s">
        <v>2629</v>
      </c>
    </row>
    <row r="321" spans="1:2">
      <c r="A321" s="815" t="s">
        <v>2625</v>
      </c>
      <c r="B321" s="467" t="s">
        <v>2626</v>
      </c>
    </row>
    <row r="322" spans="1:2">
      <c r="A322" s="815" t="s">
        <v>587</v>
      </c>
      <c r="B322" s="467" t="s">
        <v>588</v>
      </c>
    </row>
    <row r="323" spans="1:2">
      <c r="A323" s="815" t="s">
        <v>3316</v>
      </c>
      <c r="B323" s="467" t="s">
        <v>424</v>
      </c>
    </row>
    <row r="324" spans="1:2">
      <c r="A324" s="815" t="s">
        <v>1827</v>
      </c>
      <c r="B324" s="467" t="s">
        <v>1727</v>
      </c>
    </row>
    <row r="325" spans="1:2">
      <c r="A325" s="815" t="s">
        <v>1676</v>
      </c>
      <c r="B325" s="467" t="s">
        <v>1677</v>
      </c>
    </row>
    <row r="326" spans="1:2">
      <c r="A326" s="815" t="s">
        <v>800</v>
      </c>
      <c r="B326" s="467" t="s">
        <v>935</v>
      </c>
    </row>
    <row r="327" spans="1:2">
      <c r="A327" s="815" t="s">
        <v>860</v>
      </c>
      <c r="B327" s="467" t="s">
        <v>3001</v>
      </c>
    </row>
    <row r="328" spans="1:2">
      <c r="A328" s="815" t="s">
        <v>3401</v>
      </c>
      <c r="B328" s="467" t="s">
        <v>3002</v>
      </c>
    </row>
    <row r="329" spans="1:2">
      <c r="A329" s="815" t="s">
        <v>3317</v>
      </c>
      <c r="B329" s="467" t="s">
        <v>425</v>
      </c>
    </row>
    <row r="330" spans="1:2">
      <c r="A330" s="815" t="s">
        <v>2379</v>
      </c>
      <c r="B330" s="467" t="s">
        <v>2380</v>
      </c>
    </row>
    <row r="331" spans="1:2">
      <c r="A331" s="815" t="s">
        <v>3426</v>
      </c>
      <c r="B331" s="467" t="s">
        <v>3427</v>
      </c>
    </row>
    <row r="332" spans="1:2">
      <c r="A332" s="815" t="s">
        <v>2209</v>
      </c>
      <c r="B332" s="467" t="s">
        <v>2210</v>
      </c>
    </row>
    <row r="333" spans="1:2">
      <c r="A333" s="815" t="s">
        <v>2567</v>
      </c>
      <c r="B333" s="467" t="s">
        <v>435</v>
      </c>
    </row>
    <row r="334" spans="1:2">
      <c r="A334" s="815" t="s">
        <v>3859</v>
      </c>
      <c r="B334" s="467" t="s">
        <v>436</v>
      </c>
    </row>
    <row r="335" spans="1:2">
      <c r="A335" s="815" t="s">
        <v>1328</v>
      </c>
      <c r="B335" s="467" t="s">
        <v>1329</v>
      </c>
    </row>
    <row r="336" spans="1:2">
      <c r="A336" s="815" t="s">
        <v>2735</v>
      </c>
      <c r="B336" s="467" t="s">
        <v>1330</v>
      </c>
    </row>
    <row r="337" spans="1:2">
      <c r="A337" s="815" t="s">
        <v>2007</v>
      </c>
      <c r="B337" s="467" t="s">
        <v>2009</v>
      </c>
    </row>
    <row r="338" spans="1:2">
      <c r="A338" s="815" t="s">
        <v>2752</v>
      </c>
      <c r="B338" s="467" t="s">
        <v>2753</v>
      </c>
    </row>
    <row r="339" spans="1:2">
      <c r="A339" s="815" t="s">
        <v>1786</v>
      </c>
      <c r="B339" s="467" t="s">
        <v>2010</v>
      </c>
    </row>
    <row r="340" spans="1:2">
      <c r="A340" s="815" t="s">
        <v>1045</v>
      </c>
      <c r="B340" s="467" t="s">
        <v>1046</v>
      </c>
    </row>
    <row r="341" spans="1:2">
      <c r="A341" s="815" t="s">
        <v>2848</v>
      </c>
      <c r="B341" s="467" t="s">
        <v>2849</v>
      </c>
    </row>
    <row r="342" spans="1:2">
      <c r="A342" s="815" t="s">
        <v>1588</v>
      </c>
      <c r="B342" s="467" t="s">
        <v>1590</v>
      </c>
    </row>
    <row r="343" spans="1:2">
      <c r="A343" s="815" t="s">
        <v>2082</v>
      </c>
      <c r="B343" s="467" t="s">
        <v>722</v>
      </c>
    </row>
    <row r="344" spans="1:2">
      <c r="A344" s="815" t="s">
        <v>3839</v>
      </c>
      <c r="B344" s="467" t="s">
        <v>2047</v>
      </c>
    </row>
    <row r="345" spans="1:2">
      <c r="A345" s="815" t="s">
        <v>3793</v>
      </c>
      <c r="B345" s="467" t="s">
        <v>3794</v>
      </c>
    </row>
    <row r="346" spans="1:2">
      <c r="A346" s="815" t="s">
        <v>2509</v>
      </c>
      <c r="B346" s="467" t="s">
        <v>51</v>
      </c>
    </row>
    <row r="347" spans="1:2">
      <c r="A347" s="815" t="s">
        <v>2434</v>
      </c>
      <c r="B347" s="467" t="s">
        <v>50</v>
      </c>
    </row>
    <row r="348" spans="1:2">
      <c r="A348" s="815" t="s">
        <v>2686</v>
      </c>
      <c r="B348" s="467" t="s">
        <v>513</v>
      </c>
    </row>
    <row r="349" spans="1:2">
      <c r="A349" s="815" t="s">
        <v>888</v>
      </c>
      <c r="B349" s="467" t="s">
        <v>889</v>
      </c>
    </row>
    <row r="350" spans="1:2">
      <c r="A350" s="815" t="s">
        <v>3023</v>
      </c>
      <c r="B350" s="467" t="s">
        <v>3025</v>
      </c>
    </row>
    <row r="351" spans="1:2">
      <c r="A351" s="815" t="s">
        <v>2611</v>
      </c>
      <c r="B351" s="467" t="s">
        <v>2612</v>
      </c>
    </row>
    <row r="352" spans="1:2">
      <c r="A352" s="815" t="s">
        <v>2651</v>
      </c>
      <c r="B352" s="467" t="s">
        <v>2652</v>
      </c>
    </row>
    <row r="353" spans="1:2">
      <c r="A353" s="815" t="s">
        <v>3203</v>
      </c>
      <c r="B353" s="467" t="s">
        <v>3204</v>
      </c>
    </row>
    <row r="354" spans="1:2">
      <c r="A354" s="815" t="s">
        <v>48</v>
      </c>
      <c r="B354" s="467" t="s">
        <v>49</v>
      </c>
    </row>
    <row r="355" spans="1:2">
      <c r="A355" s="815" t="s">
        <v>752</v>
      </c>
      <c r="B355" s="467" t="s">
        <v>753</v>
      </c>
    </row>
    <row r="356" spans="1:2">
      <c r="A356" s="815" t="s">
        <v>1962</v>
      </c>
      <c r="B356" s="467" t="s">
        <v>1963</v>
      </c>
    </row>
    <row r="357" spans="1:2">
      <c r="A357" s="815" t="s">
        <v>2936</v>
      </c>
      <c r="B357" s="467" t="s">
        <v>2937</v>
      </c>
    </row>
    <row r="358" spans="1:2">
      <c r="A358" s="815" t="s">
        <v>3799</v>
      </c>
      <c r="B358" s="467" t="s">
        <v>3800</v>
      </c>
    </row>
    <row r="359" spans="1:2">
      <c r="A359" s="815" t="s">
        <v>2510</v>
      </c>
      <c r="B359" s="467" t="s">
        <v>2511</v>
      </c>
    </row>
    <row r="360" spans="1:2">
      <c r="A360" s="815" t="s">
        <v>1023</v>
      </c>
      <c r="B360" s="467" t="s">
        <v>1020</v>
      </c>
    </row>
    <row r="361" spans="1:2">
      <c r="A361" s="815" t="s">
        <v>1859</v>
      </c>
      <c r="B361" s="467" t="s">
        <v>1861</v>
      </c>
    </row>
    <row r="362" spans="1:2">
      <c r="A362" s="815" t="s">
        <v>1858</v>
      </c>
      <c r="B362" s="467" t="s">
        <v>1860</v>
      </c>
    </row>
    <row r="363" spans="1:2">
      <c r="A363" s="815" t="s">
        <v>1825</v>
      </c>
      <c r="B363" s="467" t="s">
        <v>1826</v>
      </c>
    </row>
    <row r="364" spans="1:2">
      <c r="A364" s="815" t="s">
        <v>2418</v>
      </c>
      <c r="B364" s="467" t="s">
        <v>2419</v>
      </c>
    </row>
    <row r="365" spans="1:2">
      <c r="A365" s="815" t="s">
        <v>3308</v>
      </c>
      <c r="B365" s="467" t="s">
        <v>208</v>
      </c>
    </row>
    <row r="366" spans="1:2">
      <c r="A366" s="815" t="s">
        <v>456</v>
      </c>
      <c r="B366" s="467" t="s">
        <v>2446</v>
      </c>
    </row>
    <row r="367" spans="1:2">
      <c r="A367" s="815" t="s">
        <v>3180</v>
      </c>
      <c r="B367" s="467" t="s">
        <v>3181</v>
      </c>
    </row>
    <row r="368" spans="1:2">
      <c r="A368" s="815" t="s">
        <v>1033</v>
      </c>
      <c r="B368" s="467" t="s">
        <v>1026</v>
      </c>
    </row>
    <row r="369" spans="1:2">
      <c r="A369" s="815" t="s">
        <v>1936</v>
      </c>
      <c r="B369" s="467" t="s">
        <v>1937</v>
      </c>
    </row>
    <row r="370" spans="1:2">
      <c r="A370" s="815" t="s">
        <v>2898</v>
      </c>
      <c r="B370" s="467" t="s">
        <v>862</v>
      </c>
    </row>
    <row r="371" spans="1:2">
      <c r="A371" s="815" t="s">
        <v>863</v>
      </c>
      <c r="B371" s="467" t="s">
        <v>864</v>
      </c>
    </row>
    <row r="372" spans="1:2">
      <c r="A372" s="815" t="s">
        <v>1450</v>
      </c>
      <c r="B372" s="467" t="s">
        <v>1451</v>
      </c>
    </row>
    <row r="373" spans="1:2">
      <c r="A373" s="815" t="s">
        <v>3100</v>
      </c>
      <c r="B373" s="467" t="s">
        <v>3101</v>
      </c>
    </row>
    <row r="374" spans="1:2">
      <c r="A374" s="815" t="s">
        <v>1945</v>
      </c>
      <c r="B374" s="467" t="s">
        <v>2852</v>
      </c>
    </row>
    <row r="375" spans="1:2">
      <c r="A375" s="815" t="s">
        <v>1939</v>
      </c>
      <c r="B375" s="467" t="s">
        <v>1940</v>
      </c>
    </row>
    <row r="376" spans="1:2">
      <c r="A376" s="815" t="s">
        <v>3093</v>
      </c>
      <c r="B376" s="467" t="s">
        <v>3094</v>
      </c>
    </row>
    <row r="377" spans="1:2">
      <c r="A377" s="815" t="s">
        <v>2555</v>
      </c>
      <c r="B377" s="467" t="s">
        <v>2556</v>
      </c>
    </row>
    <row r="378" spans="1:2">
      <c r="A378" s="815" t="s">
        <v>46</v>
      </c>
      <c r="B378" s="467" t="s">
        <v>47</v>
      </c>
    </row>
    <row r="379" spans="1:2">
      <c r="A379" s="815" t="s">
        <v>1228</v>
      </c>
      <c r="B379" s="467" t="s">
        <v>1529</v>
      </c>
    </row>
    <row r="380" spans="1:2">
      <c r="A380" s="815" t="s">
        <v>2457</v>
      </c>
      <c r="B380" s="467" t="s">
        <v>2459</v>
      </c>
    </row>
    <row r="381" spans="1:2">
      <c r="A381" s="815" t="s">
        <v>2458</v>
      </c>
      <c r="B381" s="467" t="s">
        <v>2460</v>
      </c>
    </row>
    <row r="382" spans="1:2">
      <c r="A382" s="815" t="s">
        <v>1342</v>
      </c>
      <c r="B382" s="467" t="s">
        <v>693</v>
      </c>
    </row>
    <row r="383" spans="1:2">
      <c r="A383" s="815" t="s">
        <v>2081</v>
      </c>
      <c r="B383" s="467" t="s">
        <v>2086</v>
      </c>
    </row>
    <row r="384" spans="1:2">
      <c r="A384" s="815" t="s">
        <v>169</v>
      </c>
      <c r="B384" s="467" t="s">
        <v>1806</v>
      </c>
    </row>
    <row r="385" spans="1:2">
      <c r="A385" s="815" t="s">
        <v>2080</v>
      </c>
      <c r="B385" s="467" t="s">
        <v>2087</v>
      </c>
    </row>
    <row r="386" spans="1:2">
      <c r="A386" s="815" t="s">
        <v>170</v>
      </c>
      <c r="B386" s="467" t="s">
        <v>1805</v>
      </c>
    </row>
    <row r="387" spans="1:2">
      <c r="A387" s="815" t="s">
        <v>2083</v>
      </c>
      <c r="B387" s="467" t="s">
        <v>309</v>
      </c>
    </row>
    <row r="388" spans="1:2">
      <c r="A388" s="815" t="s">
        <v>2085</v>
      </c>
      <c r="B388" s="467" t="s">
        <v>1485</v>
      </c>
    </row>
    <row r="389" spans="1:2">
      <c r="A389" s="815" t="s">
        <v>2084</v>
      </c>
      <c r="B389" s="467" t="s">
        <v>1484</v>
      </c>
    </row>
    <row r="390" spans="1:2">
      <c r="A390" s="815" t="s">
        <v>1755</v>
      </c>
      <c r="B390" s="467" t="s">
        <v>1756</v>
      </c>
    </row>
    <row r="391" spans="1:2">
      <c r="A391" s="815" t="s">
        <v>3010</v>
      </c>
      <c r="B391" s="467" t="s">
        <v>3009</v>
      </c>
    </row>
    <row r="392" spans="1:2">
      <c r="A392" s="815" t="s">
        <v>2435</v>
      </c>
      <c r="B392" s="467" t="s">
        <v>2436</v>
      </c>
    </row>
    <row r="393" spans="1:2">
      <c r="A393" s="815" t="s">
        <v>3857</v>
      </c>
      <c r="B393" s="467" t="s">
        <v>929</v>
      </c>
    </row>
    <row r="394" spans="1:2">
      <c r="A394" s="815" t="s">
        <v>948</v>
      </c>
      <c r="B394" s="467" t="s">
        <v>3007</v>
      </c>
    </row>
    <row r="395" spans="1:2">
      <c r="A395" s="815" t="s">
        <v>946</v>
      </c>
      <c r="B395" s="467" t="s">
        <v>3005</v>
      </c>
    </row>
    <row r="396" spans="1:2">
      <c r="A396" s="815" t="s">
        <v>947</v>
      </c>
      <c r="B396" s="467" t="s">
        <v>3006</v>
      </c>
    </row>
    <row r="397" spans="1:2">
      <c r="A397" s="815" t="s">
        <v>2036</v>
      </c>
      <c r="B397" s="467" t="s">
        <v>125</v>
      </c>
    </row>
    <row r="398" spans="1:2">
      <c r="A398" s="815" t="s">
        <v>1960</v>
      </c>
      <c r="B398" s="467" t="s">
        <v>776</v>
      </c>
    </row>
    <row r="399" spans="1:2">
      <c r="A399" s="815" t="s">
        <v>1501</v>
      </c>
      <c r="B399" s="467" t="s">
        <v>2750</v>
      </c>
    </row>
    <row r="400" spans="1:2">
      <c r="A400" s="815" t="s">
        <v>723</v>
      </c>
      <c r="B400" s="467" t="s">
        <v>3336</v>
      </c>
    </row>
    <row r="401" spans="1:2">
      <c r="A401" s="815" t="s">
        <v>142</v>
      </c>
      <c r="B401" s="467" t="s">
        <v>1728</v>
      </c>
    </row>
    <row r="402" spans="1:2">
      <c r="A402" s="815" t="s">
        <v>1367</v>
      </c>
      <c r="B402" s="467" t="s">
        <v>1044</v>
      </c>
    </row>
    <row r="403" spans="1:2">
      <c r="A403" s="815" t="s">
        <v>2608</v>
      </c>
      <c r="B403" s="467" t="s">
        <v>2609</v>
      </c>
    </row>
    <row r="404" spans="1:2">
      <c r="A404" s="815" t="s">
        <v>2568</v>
      </c>
      <c r="B404" s="467" t="s">
        <v>812</v>
      </c>
    </row>
    <row r="405" spans="1:2">
      <c r="A405" s="815" t="s">
        <v>811</v>
      </c>
      <c r="B405" s="467" t="s">
        <v>2438</v>
      </c>
    </row>
    <row r="406" spans="1:2">
      <c r="A406" s="815" t="s">
        <v>2003</v>
      </c>
      <c r="B406" s="467" t="s">
        <v>2004</v>
      </c>
    </row>
    <row r="407" spans="1:2">
      <c r="A407" s="815" t="s">
        <v>416</v>
      </c>
      <c r="B407" s="467" t="s">
        <v>417</v>
      </c>
    </row>
    <row r="408" spans="1:2">
      <c r="A408" s="815" t="s">
        <v>861</v>
      </c>
      <c r="B408" s="467" t="s">
        <v>3003</v>
      </c>
    </row>
    <row r="409" spans="1:2">
      <c r="A409" s="815" t="s">
        <v>1798</v>
      </c>
      <c r="B409" s="467" t="s">
        <v>3004</v>
      </c>
    </row>
    <row r="410" spans="1:2">
      <c r="A410" s="815" t="s">
        <v>3840</v>
      </c>
      <c r="B410" s="467" t="s">
        <v>3841</v>
      </c>
    </row>
    <row r="411" spans="1:2">
      <c r="A411" s="815" t="s">
        <v>2153</v>
      </c>
      <c r="B411" s="467" t="s">
        <v>1583</v>
      </c>
    </row>
    <row r="412" spans="1:2">
      <c r="A412" s="815" t="s">
        <v>2229</v>
      </c>
      <c r="B412" s="467" t="s">
        <v>1581</v>
      </c>
    </row>
    <row r="413" spans="1:2">
      <c r="A413" s="815" t="s">
        <v>2154</v>
      </c>
      <c r="B413" s="467" t="s">
        <v>1584</v>
      </c>
    </row>
    <row r="414" spans="1:2">
      <c r="A414" s="815" t="s">
        <v>2248</v>
      </c>
      <c r="B414" s="467" t="s">
        <v>1582</v>
      </c>
    </row>
    <row r="415" spans="1:2">
      <c r="A415" s="815" t="s">
        <v>3186</v>
      </c>
      <c r="B415" s="467" t="s">
        <v>3153</v>
      </c>
    </row>
    <row r="416" spans="1:2">
      <c r="A416" s="815" t="s">
        <v>2053</v>
      </c>
      <c r="B416" s="467" t="s">
        <v>2054</v>
      </c>
    </row>
    <row r="417" spans="1:2">
      <c r="A417" s="815" t="s">
        <v>3654</v>
      </c>
      <c r="B417" s="467" t="s">
        <v>3655</v>
      </c>
    </row>
    <row r="418" spans="1:2">
      <c r="A418" s="815" t="s">
        <v>3656</v>
      </c>
      <c r="B418" s="467" t="s">
        <v>3657</v>
      </c>
    </row>
    <row r="419" spans="1:2">
      <c r="A419" s="815" t="s">
        <v>2451</v>
      </c>
      <c r="B419" s="467" t="s">
        <v>2453</v>
      </c>
    </row>
    <row r="420" spans="1:2">
      <c r="A420" s="815" t="s">
        <v>3737</v>
      </c>
      <c r="B420" s="467" t="s">
        <v>3738</v>
      </c>
    </row>
  </sheetData>
  <sortState xmlns:xlrd2="http://schemas.microsoft.com/office/spreadsheetml/2017/richdata2" ref="A5:B420">
    <sortCondition ref="A420"/>
  </sortState>
  <phoneticPr fontId="83" type="noConversion"/>
  <hyperlinks>
    <hyperlink ref="B5" location="EBCT_I" display="EBCT_I" xr:uid="{F4C4F269-9E9E-495A-934B-94B29DD7D2DB}"/>
    <hyperlink ref="B6" location="space_pumps_cust" display="space_pumps_cust" xr:uid="{B69584B1-F5C0-4781-B7AF-54ADED977E01}"/>
    <hyperlink ref="B7" location="space_pumps_pre" display="space_pumps_pre" xr:uid="{D82CE6C2-47B0-4E51-AC88-9953AF31F45E}"/>
    <hyperlink ref="B8" location="redund_freq" display="redund_freq" xr:uid="{388560E2-A2C7-4171-9AEC-FCBC694C3FB2}"/>
    <hyperlink ref="B9" location="coag_res" display="coag_res" xr:uid="{23FAFB35-C035-4887-8291-9D672B9F97FB}"/>
    <hyperlink ref="B10" location="add_2nd_building" display="add_2nd_building" xr:uid="{384E8886-B70D-426F-85EB-4FD45524F202}"/>
    <hyperlink ref="B11" location="sec_cont_freeboard" display="sec_cont_freeboard" xr:uid="{8C74092A-047C-48D3-B808-8B6B01B0E35A}"/>
    <hyperlink ref="B12" location="add_pH_controls" display="add_pH_controls" xr:uid="{4BB8937F-3BD4-42EC-96E5-392E835A171F}"/>
    <hyperlink ref="B13" location="add_pH_controls_small" display="add_pH_controls_small" xr:uid="{60B7DBE5-A11A-4E03-A2C7-7DCB4BBC4FD2}"/>
    <hyperlink ref="B14" location="add_ports" display="add_ports" xr:uid="{8FAB7BE4-3BFE-476E-9800-1A4A031ED4A8}"/>
    <hyperlink ref="B15" location="add_turb" display="add_turb" xr:uid="{663657E9-23AB-44F5-A255-A376D30328FE}"/>
    <hyperlink ref="B16" location="add_turb_p" display="add_turb_p" xr:uid="{B8BFD571-282A-45F2-ABD1-8EAA28540109}"/>
    <hyperlink ref="B17" location="add_turb_small_p" display="add_turb_small_p" xr:uid="{AE6EEE19-9BEC-419C-8F06-D1BD0C733EA3}"/>
    <hyperlink ref="B18" location="add_turb_small" display="add_turb_small" xr:uid="{897D6C6D-C4D6-4438-9026-14C3A6406AE9}"/>
    <hyperlink ref="B19" location="addon_I" display="addon_I" xr:uid="{8979CF6B-CAC9-4E64-9147-418662C949B8}"/>
    <hyperlink ref="B20" location="EER" display="EER" xr:uid="{E4055DC1-AB22-41BD-9D34-B055A5232C09}"/>
    <hyperlink ref="B21" location="Materials_pct" display="Materials_pct" xr:uid="{849C7B53-30E0-49A6-969C-61848C775FA0}"/>
    <hyperlink ref="B22" location="cool_DD" display="cool_DD" xr:uid="{DE7E2B56-9AB6-4A39-8F7C-1C8F5AA88AAF}"/>
    <hyperlink ref="B23" location="heat_DD" display="heat_DD" xr:uid="{12DF62E8-B781-4F5A-A5B5-E824B348C26B}"/>
    <hyperlink ref="B24" location="POTW_base_fee" display="POTW_base_fee" xr:uid="{7A6A91F4-5412-4F4C-A170-F12C0A62C7EE}"/>
    <hyperlink ref="B25" location="POTW_TSS_fee" display="POTW_TSS_fee" xr:uid="{7EB8DCBB-3A07-4564-856C-F228BBA645C7}"/>
    <hyperlink ref="B26" location="POTW_volume_fee" display="POTW_volume_fee" xr:uid="{7A4659BC-B6BD-4278-86F4-ABE9D4A22440}"/>
    <hyperlink ref="B27" location="pan_evap" display="pan_evap" xr:uid="{984151EC-B554-4C6E-AAC9-59B7BFD5DDCD}"/>
    <hyperlink ref="B28" location="precip" display="precip" xr:uid="{E6D20519-EE22-4723-B4A1-4B3B7AB13690}"/>
    <hyperlink ref="B29" location="average_flow_I" display="average_flow_I" xr:uid="{FE786B54-16B6-4574-ADD5-9C16D58FB679}"/>
    <hyperlink ref="B30" location="back_ratio" display="back_ratio" xr:uid="{C7A80D62-04C5-4512-BC30-7DC96C274E7E}"/>
    <hyperlink ref="B31" location="back_freeboard" display="back_freeboard" xr:uid="{86F01DE2-B82D-4E33-AA6C-F64DC3C1DE72}"/>
    <hyperlink ref="B32" location="back_pipe_mult" display="back_pipe_mult" xr:uid="{FE22713D-2CC6-4FAD-BA48-9146153FB0BD}"/>
    <hyperlink ref="B33" location="back_pump_head" display="back_pump_head" xr:uid="{81434DAD-E02A-4531-85D1-832F80AA6345}"/>
    <hyperlink ref="B34" location="no_backwash_I" display="no_backwash_I" xr:uid="{650BB03B-8127-4965-BFBD-D8B1EF5EE25C}"/>
    <hyperlink ref="B35" location="no_back_tank_I" display="no_back_tank_I" xr:uid="{D6D503C4-CD52-4B25-B3CE-3213653B0A3D}"/>
    <hyperlink ref="B36" location="back_multiplier" display="back_multiplier" xr:uid="{FE7683B3-6537-4D67-8BA0-65537322D775}"/>
    <hyperlink ref="B37" location="backwash_time" display="backwash_time" xr:uid="{2FD4FF57-B8AD-4E85-8AB3-E2AC4A5ADFE2}"/>
    <hyperlink ref="B38" location="deep_bore_need" display="deep_bore_need" xr:uid="{B219A265-EA16-4C4A-AD64-F080D7A934FC}"/>
    <hyperlink ref="B39" location="basin_freeboard" display="basin_freeboard" xr:uid="{467FEA3D-3E4F-4FD7-855F-28264E44B472}"/>
    <hyperlink ref="B40" location="basin_length" display="basin_length" xr:uid="{7C0CA918-3B5C-4382-8C29-DA54083774BF}"/>
    <hyperlink ref="B41" location="basin_width" display="basin_width" xr:uid="{5DE52E01-0B45-4CDA-8FBD-3346A147C78A}"/>
    <hyperlink ref="B42" location="basin_op_depth" display="basin_op_depth" xr:uid="{D96C5112-FB91-4F1A-A1E6-D83F5403468C}"/>
    <hyperlink ref="B43" location="bed_depth" display="bed_depth" xr:uid="{478AD3EF-1433-4465-A78C-ED16A86B0166}"/>
    <hyperlink ref="B44" location="bedding_depth" display="bedding_depth" xr:uid="{B7A542D0-B34D-45CA-98EC-3F4C22A5FDC5}"/>
    <hyperlink ref="B45" location="bedding_pct" display="bedding_pct" xr:uid="{E3E9616F-AC5F-4728-B272-90C34BB10A83}"/>
    <hyperlink ref="B46" location="bore_depth_p" display="bore_depth_p" xr:uid="{A239EC84-CD49-44C2-A738-761DC5B55906}"/>
    <hyperlink ref="B47" location="bore_depth_max" display="bore_depth_max" xr:uid="{5C8229C7-2CC9-4857-B328-4AECDDB92C11}"/>
    <hyperlink ref="B48" location="bore_depth_min" display="bore_depth_min" xr:uid="{F12E829D-46CC-48BF-AC8D-49B77F34CE39}"/>
    <hyperlink ref="B49" location="hole_per_sf" display="hole_per_sf" xr:uid="{A87A2C2E-3AFD-44B7-99A0-95628BE73B82}"/>
    <hyperlink ref="B50" location="hole_per_job" display="hole_per_job" xr:uid="{DA1A26F1-008A-483E-841D-AD49A4260379}"/>
    <hyperlink ref="B51" location="br_ins_pct" display="br_ins_pct" xr:uid="{557B4EDB-080E-42E7-9C46-585261091E2F}"/>
    <hyperlink ref="B52" location="Building_height_g" display="Building_height_g" xr:uid="{B14BB740-B79D-4854-86C9-DB970EC4FFF8}"/>
    <hyperlink ref="B53" location="bp_pipe_mult" display="bp_pipe_mult" xr:uid="{18DCF138-16A3-4EEE-B5BF-C96589FAC053}"/>
    <hyperlink ref="B54" location="bed_expansion" display="bed_expansion" xr:uid="{45897D09-7D56-4F47-AC2B-F151FCCB6E93}"/>
    <hyperlink ref="B55" location="freund_1" display="freund_1" xr:uid="{DDCA8EF1-191A-487F-8485-80E2420A0388}"/>
    <hyperlink ref="B56" location="solids_haz_I" display="solids_haz_I" xr:uid="{2D742538-45DB-49D6-BAE1-B68B8918942F}"/>
    <hyperlink ref="B57" location="chem_pipe_mult" display="chem_pipe_mult" xr:uid="{AE7313E6-0563-458E-B2FB-21CF73542AB8}"/>
    <hyperlink ref="B58" location="sec_cont_coating_cvg" display="sec_cont_coating_cvg" xr:uid="{FF28B050-528D-4543-9C72-6EDCBCDFB614}"/>
    <hyperlink ref="B59" location="cmix_hp_per" display="cmix_hp_per" xr:uid="{0CDBC23E-6977-469D-B065-A48E958114E2}"/>
    <hyperlink ref="B60" location="City_Index" display="City_Index" xr:uid="{0EA77629-D35D-44AC-A181-DEA2CA7248A9}"/>
    <hyperlink ref="B61" location="OM_City_Index" display="OM_City_Index" xr:uid="{0C3F585B-E77C-43F7-9D2C-C89AC860DC39}"/>
    <hyperlink ref="B62" location="htank_clean_pct" display="htank_clean_pct" xr:uid="{65F55251-A1A0-41D6-9E5B-0C705FBB8E87}"/>
    <hyperlink ref="B63" location="ceiling_clearance" display="ceiling_clearance" xr:uid="{6DB8C338-F782-43B9-A0E7-4E1F4029DE53}"/>
    <hyperlink ref="B64" location="Clerical_percent" display="Clerical_percent" xr:uid="{09D5D430-E8B5-464C-9CCC-4C08F282F200}"/>
    <hyperlink ref="B65" location="GHG_pond_climate" display="GHG_pond_climate" xr:uid="{ACE61097-553A-408D-9909-D78DD39ADB1B}"/>
    <hyperlink ref="B66" location="Coeff_Kp" display="Coeff_Kp" xr:uid="{94CF3F1B-C7BA-4152-B842-963F90331EE3}"/>
    <hyperlink ref="B67" location="component_level_I" display="component_level_I" xr:uid="{76749D79-7B50-4477-8736-D2056DDCBC6B}"/>
    <hyperlink ref="B68" location="Range Name" display="Range Name" xr:uid="{9991B33C-C0B9-43BE-A80B-7B2D2EF90927}"/>
    <hyperlink ref="B69" location="workstation_ratio" display="workstation_ratio" xr:uid="{B0317AB9-A363-47C2-A983-3314FBA5454F}"/>
    <hyperlink ref="B70" location="pad_thick" display="pad_thick" xr:uid="{240EF441-F40C-4AC6-B0ED-97775615C826}"/>
    <hyperlink ref="B71" location="pad_thick_small" display="pad_thick_small" xr:uid="{C0498468-72FA-46C0-9574-5C8A96500CA9}"/>
    <hyperlink ref="B72" location="conc_thick" display="conc_thick" xr:uid="{8CED2CC2-F74C-45F0-A181-2AED9D6B3978}"/>
    <hyperlink ref="B73" location="EBCT_type_I" display="EBCT_type_I" xr:uid="{8959F20C-2A3C-4BDE-8D8C-29B9D12AFECC}"/>
    <hyperlink ref="B74" location="cooling_table" display="cooling_table" xr:uid="{CA752325-33B7-4282-9BDB-5C6F2E5A555F}"/>
    <hyperlink ref="B75" location="cooling_table_shed" display="cooling_table_shed" xr:uid="{CB30CC7A-9E05-4972-B6CB-BA60F92E8755}"/>
    <hyperlink ref="B76" location="cool_viload" display="cool_viload" xr:uid="{C72D186A-E9C6-4833-A33D-DEADF9F4B590}"/>
    <hyperlink ref="B77" location="curve" display="curve" xr:uid="{01B00A00-CC93-4422-A98A-22B696C62AF5}"/>
    <hyperlink ref="B78" location="booster_pump_maintenance" display="booster_pump_maintenance" xr:uid="{BC958407-F1D1-42F2-9925-313D473E08DB}"/>
    <hyperlink ref="B79" location="cstore_days" display="cstore_days" xr:uid="{5B6E23A5-946B-4935-A2A6-7ACA002D71EE}"/>
    <hyperlink ref="B80" location="winter_days" display="winter_days" xr:uid="{9C3C0B3D-DD85-40BF-945A-57B54F8A3CEE}"/>
    <hyperlink ref="B81" location="back_basins_default" display="back_basins_default" xr:uid="{837109AB-00E5-4E4E-907E-5C02EE01E4D7}"/>
    <hyperlink ref="B82" location="hbasins_default" display="hbasins_default" xr:uid="{0E78942D-CCB3-42FF-B3D8-A9523BC0FFA7}"/>
    <hyperlink ref="B83" location="design_flow_I" display="design_flow_I" xr:uid="{33901EEE-269D-4FA6-9DB4-EA4E7A33A4C1}"/>
    <hyperlink ref="B84" location="std_safety_factor" display="std_safety_factor" xr:uid="{DAED9D09-42F7-44D9-987C-AD891364E79E}"/>
    <hyperlink ref="B85" location="comm_diam" display="comm_diam" xr:uid="{3BA740A1-9D21-4D59-8A54-607E478F4D3C}"/>
    <hyperlink ref="B86" location="res_s2_opt_I" display="res_s2_opt_I" xr:uid="{E8F98BE0-A326-4A6B-B8E5-755A20E24422}"/>
    <hyperlink ref="B87" location="solids_method" display="solids_method" xr:uid="{912E76D3-9478-44D3-BC6A-09C08977039B}"/>
    <hyperlink ref="B88" location="sept_trench_dist" display="sept_trench_dist" xr:uid="{540329CC-0469-4BBC-88D2-644BA09D4B19}"/>
    <hyperlink ref="B89" location="add_res_pipe_length" display="add_res_pipe_length" xr:uid="{BD0E7BB1-47FC-4E81-8D66-EED4975E57AB}"/>
    <hyperlink ref="B90" location="S_back_pump" display="S_back_pump" xr:uid="{3372B982-4844-49FD-A531-88807699BFC1}"/>
    <hyperlink ref="B91" location="S_booster_pump" display="S_booster_pump" xr:uid="{459A528C-61AD-4DCD-B63E-7D4783A5DE6E}"/>
    <hyperlink ref="B92" location="S_mixer" display="S_mixer" xr:uid="{3E6F3374-9797-4B4D-8CE6-8A51F8127AE7}"/>
    <hyperlink ref="B93" location="S_eductor" display="S_eductor" xr:uid="{0E622D1D-5A51-4704-96D4-DE7F4A354611}"/>
    <hyperlink ref="B94" location="S_res_pump" display="S_res_pump" xr:uid="{CB0D4008-FE8C-465B-B26A-11262385A4F5}"/>
    <hyperlink ref="B95" location="S_slurry" display="S_slurry" xr:uid="{DA556B4A-4303-4804-8982-C8BB032AC2AD}"/>
    <hyperlink ref="B96" location="resist_eff" display="resist_eff" xr:uid="{E9A2D152-4C28-4783-8607-4D2768A4EA67}"/>
    <hyperlink ref="B97" location="elect_pct" display="elect_pct" xr:uid="{2482E5A7-F326-4B31-879B-E6E7D9B82EEE}"/>
    <hyperlink ref="B98" location="eng_pct_large" display="eng_pct_large" xr:uid="{5B788FCA-1C2E-46F7-94E8-BADC8CA3EDA8}"/>
    <hyperlink ref="B99" location="eng_pct_medium" display="eng_pct_medium" xr:uid="{F91658F4-5A31-4D7C-964B-66490D112A70}"/>
    <hyperlink ref="B100" location="eng_pct_small" display="eng_pct_small" xr:uid="{08E9036A-6AF6-41C3-87AF-8DC168E49C95}"/>
    <hyperlink ref="B101" location="plc_ethernet_standalone" display="plc_ethernet_standalone" xr:uid="{B95D4278-63D0-4B8F-813D-AE4970316346}"/>
    <hyperlink ref="B102" location="plc_ethernet_addon" display="plc_ethernet_addon" xr:uid="{788C50DD-7765-4EA7-8A44-4FADB6E7B4F0}"/>
    <hyperlink ref="B103" location="dike_xsection" display="dike_xsection" xr:uid="{7C4D0A1D-CFCE-437C-B84E-1EB9B22D57FC}"/>
    <hyperlink ref="B104" location="ep_freeboard" display="ep_freeboard" xr:uid="{C45F9A9B-CD7B-44BC-89E4-6DE55FFF8F46}"/>
    <hyperlink ref="B105" location="ep_safety_factor" display="ep_safety_factor" xr:uid="{9D8B4D99-9A18-4F81-9010-3827B107F774}"/>
    <hyperlink ref="B106" location="ep_solids_density" display="ep_solids_density" xr:uid="{F38C32F0-172D-4A15-8B12-0AFD1BB3B316}"/>
    <hyperlink ref="B107" location="dredging_freq" display="dredging_freq" xr:uid="{B268BC91-7131-499C-AABF-27B19B079920}"/>
    <hyperlink ref="B108" location="evap_ratio" display="evap_ratio" xr:uid="{FA0FDF81-4CD8-4866-90A5-547D79607BBB}"/>
    <hyperlink ref="B109" location="coag_dose" display="coag_dose" xr:uid="{B3219B92-DB1D-44D4-BCA2-718CBD6A8FE0}"/>
    <hyperlink ref="B110" location="coag_spf" display="coag_spf" xr:uid="{DC75D7D2-641C-48C8-99A6-734E036A9888}"/>
    <hyperlink ref="B111" location="coag_pct" display="coag_pct" xr:uid="{219B1FCB-01E1-497E-A970-2D256F423D50}"/>
    <hyperlink ref="B112" location="coag_density" display="coag_density" xr:uid="{7E913276-2176-4654-BC25-61509E4D0EDE}"/>
    <hyperlink ref="B113" location="finance_pct" display="finance_pct" xr:uid="{5037D1EC-5D49-498A-8EB0-DFA244399B7C}"/>
    <hyperlink ref="B114" location="finance_pct_small" display="finance_pct_small" xr:uid="{1C35CF7D-3402-4292-AB6C-CF9F353A8DAB}"/>
    <hyperlink ref="B115" location="fire_buffer" display="fire_buffer" xr:uid="{F84D84EE-88BB-4583-9F29-AACC758D8260}"/>
    <hyperlink ref="B116" location="tot_fm_back" display="tot_fm_back" xr:uid="{CE6EA413-180E-43D4-8DBF-05EC8A31BF70}"/>
    <hyperlink ref="B117" location="fm_in" display="fm_in" xr:uid="{524A8FE2-AD8E-4075-BC6B-A5654FDCD59C}"/>
    <hyperlink ref="B118" location="fm_in_addon" display="fm_in_addon" xr:uid="{32FF078A-3535-447C-B962-835296C6C23F}"/>
    <hyperlink ref="B119" location="fm_proc" display="fm_proc" xr:uid="{1923E1ED-0B7B-4ECA-8432-2E2753682B79}"/>
    <hyperlink ref="B120" location="tot_fm_res" display="tot_fm_res" xr:uid="{6B290DC4-F04A-4F0E-BE62-9CFFD8011663}"/>
    <hyperlink ref="B121" location="frost" display="frost" xr:uid="{B110CA4C-3AFD-4F18-9083-E927826D70F0}"/>
    <hyperlink ref="B122" location="GAC_density" display="GAC_density" xr:uid="{6B057F45-733C-4031-8D99-6ABF27D372A8}"/>
    <hyperlink ref="B123" location="transfer_method_I" display="transfer_method_I" xr:uid="{F22019A4-CDF8-466D-BDB0-597B0CDE60FF}"/>
    <hyperlink ref="B124" location="GHG_GAC_type" display="GHG_GAC_type" xr:uid="{9AE3DEC6-B77D-4FC3-8421-31137C20E83F}"/>
    <hyperlink ref="B125" location="head_tank" display="head_tank" xr:uid="{01C57DFC-B02B-4BE5-B68F-A3BA063A6E92}"/>
    <hyperlink ref="B126" location="head_tank_small" display="head_tank_small" xr:uid="{314218B6-D9D6-47B1-963C-F58792801B30}"/>
    <hyperlink ref="B127" location="hp_EER" display="hp_EER" xr:uid="{A4CEE57E-F8DC-42BE-B108-553EEA089590}"/>
    <hyperlink ref="B128" location="COP" display="COP" xr:uid="{F3C799FE-60F7-4B05-A64D-4351AB6A43C0}"/>
    <hyperlink ref="B129" location="diesel_heat_content" display="diesel_heat_content" xr:uid="{D1BE8E2B-32AA-43EF-BAC0-61C3B7C1FBA3}"/>
    <hyperlink ref="B130" location="heating_table" display="heating_table" xr:uid="{BC7CBA39-97B4-47A2-9DC9-C6F254546EEB}"/>
    <hyperlink ref="B131" location="heating_table_shed" display="heating_table_shed" xr:uid="{0CED601D-02AD-4A50-B99F-32C909B94C3B}"/>
    <hyperlink ref="B132" location="heat_viload" display="heat_viload" xr:uid="{937D9760-355F-48C9-AA21-33E6F2CCD1E0}"/>
    <hyperlink ref="B133" location="comm_height_length" display="comm_height_length" xr:uid="{D71C9E3A-61BF-426A-A248-B1512038D68B}"/>
    <hyperlink ref="B134" location="alarm_back" display="alarm_back" xr:uid="{18337F70-FD17-4B99-B638-63625C0D19A5}"/>
    <hyperlink ref="B135" location="alarm_res" display="alarm_res" xr:uid="{4A9714DD-A03A-49C2-B68D-33C23EE524A6}"/>
    <hyperlink ref="B136" location="holding_ratio" display="holding_ratio" xr:uid="{DE30614E-805A-4D33-A24D-BF60BAD5A7E2}"/>
    <hyperlink ref="B137" location="holding_freeboard" display="holding_freeboard" xr:uid="{A82FBED0-AD29-4648-A8FE-031E1A90865A}"/>
    <hyperlink ref="B138" location="res_s1_opt_I" display="res_s1_opt_I" xr:uid="{6E682389-39CE-4438-B638-97801895F902}"/>
    <hyperlink ref="B139" location="res_cap_factor" display="res_cap_factor" xr:uid="{B1B31B24-7B96-47DF-9849-7731BB7D118F}"/>
    <hyperlink ref="B140" location="hmix_hp_per" display="hmix_hp_per" xr:uid="{3FEB233B-6C23-446A-9491-63A054CB3596}"/>
    <hyperlink ref="B141" location="ht_solids_density" display="ht_solids_density" xr:uid="{065C265D-599B-453D-B114-907D9D436169}"/>
    <hyperlink ref="B142" location="res_transfer_method" display="res_transfer_method" xr:uid="{031AEB05-1D8C-455D-940D-9ADBF523DA39}"/>
    <hyperlink ref="B143" location="coag_TSSrem" display="coag_TSSrem" xr:uid="{98BDEDEE-978F-4FF4-969E-CBF93DD1E3A8}"/>
    <hyperlink ref="B144" location="htank_TSSrem" display="htank_TSSrem" xr:uid="{E921A4AD-5488-4BE4-AEC6-E9BE12BC713B}"/>
    <hyperlink ref="B145" location="uloe_throwaway" display="uloe_throwaway" xr:uid="{69D5BB92-72D6-4F12-BD53-2329AE5B3181}"/>
    <hyperlink ref="B146" location="port_table" display="port_table" xr:uid="{94029BFA-A535-4180-AC61-8CE17778F0F2}"/>
    <hyperlink ref="B147" location="include_arch_small" display="include_arch_small" xr:uid="{1F6A9A73-3011-4DC4-A33B-E6CF723981F4}"/>
    <hyperlink ref="B148" location="include_arch" display="include_arch" xr:uid="{969A1071-B566-4D6F-A5DA-63B6CC17519E}"/>
    <hyperlink ref="B149" location="include_buildings_I" display="include_buildings_I" xr:uid="{66887372-E3B5-43A0-9049-ABEB42DA307C}"/>
    <hyperlink ref="B150" location="include_pad" display="include_pad" xr:uid="{26AE2865-F6EB-4BBA-A139-69ED6B2243C5}"/>
    <hyperlink ref="B151" location="include_cm_pre" display="include_cm_pre" xr:uid="{4568D9A0-C131-43A2-85F3-9FCE524F6803}"/>
    <hyperlink ref="B152" location="include_cm" display="include_cm" xr:uid="{9E7429D2-DC1E-4601-9E34-D3C8A20CBB93}"/>
    <hyperlink ref="B153" location="include_conting_high" display="include_conting_high" xr:uid="{A4F41AEA-5F3F-4690-A7E4-993D48025C6E}"/>
    <hyperlink ref="B154" location="include_conting_low" display="include_conting_low" xr:uid="{A840FAD6-E6D5-4DDE-8EA4-56A3A91D5BBE}"/>
    <hyperlink ref="B155" location="include_conting_medium" display="include_conting_medium" xr:uid="{C9C6D521-DF8D-4F8C-BA98-63FCF6828FFD}"/>
    <hyperlink ref="B156" location="need_cool" display="need_cool" xr:uid="{982980D3-A65D-47F7-B75A-8CE7CD9CA757}"/>
    <hyperlink ref="B157" location="include_geo_high_g" display="include_geo_high_g" xr:uid="{19E5D4EC-C729-429B-AEEA-C3B337471CF1}"/>
    <hyperlink ref="B158" location="include_geo_high" display="include_geo_high" xr:uid="{B7879A0B-EF26-4C4B-A46C-E2F2E0208A97}"/>
    <hyperlink ref="B159" location="include_geo_low_g" display="include_geo_low_g" xr:uid="{517F0876-33A4-4FF8-AE9C-B8B92E19C287}"/>
    <hyperlink ref="B160" location="include_geo_low" display="include_geo_low" xr:uid="{E6B78D63-F99A-462F-9B3A-DC3C7EEEECBD}"/>
    <hyperlink ref="B161" location="include_geo_medium_g" display="include_geo_medium_g" xr:uid="{48CF4C79-A956-4B6D-BEC6-27791D1E7558}"/>
    <hyperlink ref="B162" location="include_geo_medium" display="include_geo_medium" xr:uid="{B511FF7B-A25C-42BB-97C4-1494BF742CF8}"/>
    <hyperlink ref="B163" location="need_heat" display="need_heat" xr:uid="{D863D443-CEA7-4C9C-AB60-CAE55B97EEDD}"/>
    <hyperlink ref="B164" location="include_HVAC_I" display="include_HVAC_I" xr:uid="{8E1531B9-71E5-4976-882E-4E1F323B6DE2}"/>
    <hyperlink ref="B165" location="include_land_I" display="include_land_I" xr:uid="{5CDF13EA-C780-4FCC-B9FA-61B2EF5A133C}"/>
    <hyperlink ref="B166" location="include_cmix" display="include_cmix" xr:uid="{5DE570A9-6C38-4FEA-9615-A807B7D4957C}"/>
    <hyperlink ref="B167" location="include_NEPA" display="include_NEPA" xr:uid="{68F10622-F5E3-4B93-A089-D41E94BB82D5}"/>
    <hyperlink ref="B168" location="include_bond" display="include_bond" xr:uid="{145CE9FE-832F-461D-9D16-89AA4B073916}"/>
    <hyperlink ref="B169" location="include_permits" display="include_permits" xr:uid="{9478FE7B-3E33-4726-9BAD-C5AB8E2AAFE2}"/>
    <hyperlink ref="B170" location="include_pilot_addon" display="include_pilot_addon" xr:uid="{29B7A8E8-7892-4790-AFF5-54E35111BB80}"/>
    <hyperlink ref="B171" location="include_pilot" display="include_pilot" xr:uid="{4083A25A-2139-448F-9F68-0CBF0A3156D9}"/>
    <hyperlink ref="B172" location="include_add_res_pipe_addon" display="include_add_res_pipe_addon" xr:uid="{9DBA9999-4F57-4A7C-A7AB-57AC8EF6333D}"/>
    <hyperlink ref="B173" location="plc_rack_addon" display="plc_rack_addon" xr:uid="{D89D4508-1127-4FBE-83A0-E9D6643EAFC7}"/>
    <hyperlink ref="B174" location="printer_addon" display="printer_addon" xr:uid="{01E7E520-3C64-417A-86B1-53EDAB8DE1DA}"/>
    <hyperlink ref="B175" location="res_pump_addon" display="res_pump_addon" xr:uid="{4144428F-D9D7-4EF5-9C46-94F615F7C2B6}"/>
    <hyperlink ref="B176" location="include_sec_cont" display="include_sec_cont" xr:uid="{60D12357-5BFA-445A-81AA-21AA8DAC4926}"/>
    <hyperlink ref="B177" location="include_sitework" display="include_sitework" xr:uid="{583C0AF5-2C2C-4012-8918-DC8FA25010DA}"/>
    <hyperlink ref="B178" location="include_standby_small" display="include_standby_small" xr:uid="{BB61C4F7-23A3-4254-8BE3-EBEBA5171BA8}"/>
    <hyperlink ref="B179" location="include_standby_addon" display="include_standby_addon" xr:uid="{75E14AEC-212B-4ADF-B7CA-7357ACBC32AA}"/>
    <hyperlink ref="B180" location="include_standby" display="include_standby" xr:uid="{ACA43151-EB28-45B3-8FF1-08928659629D}"/>
    <hyperlink ref="B181" location="workstation_addon" display="workstation_addon" xr:uid="{4DDDF849-45F4-4FB9-8EAA-DDE9601FF850}"/>
    <hyperlink ref="B182" location="include_yardpipe_addon" display="include_yardpipe_addon" xr:uid="{B23E46FA-3CF3-44E8-A624-4970F150020D}"/>
    <hyperlink ref="B183" location="include_yardpipe" display="include_yardpipe" xr:uid="{6FA296C5-6497-4AAD-A614-CE299D183AAC}"/>
    <hyperlink ref="B184" location="in_out_pipe_mult" display="in_out_pipe_mult" xr:uid="{D1FF4B40-E366-41A3-9AB9-55A40D7D9A2B}"/>
    <hyperlink ref="B185" location="inst_pct" display="inst_pct" xr:uid="{C209EB53-95C5-43E0-96E5-581BCBBD2370}"/>
    <hyperlink ref="B186" location="i_c_pct" display="i_c_pct" xr:uid="{3B140F32-DFE1-4C6A-93FE-0DD6F65C3C5B}"/>
    <hyperlink ref="B187" location="back_interval_I" display="back_interval_I" xr:uid="{F5267D4E-4203-4AFC-8B55-5E58D8AF4BE7}"/>
    <hyperlink ref="B188" location="Weekly_labor" display="Weekly_labor" xr:uid="{251B3278-D101-4918-ACE3-D0A3CE0C35A3}"/>
    <hyperlink ref="B189" location="legal_pct" display="legal_pct" xr:uid="{C795281D-2A97-42E0-AAFE-239A340F8390}"/>
    <hyperlink ref="B190" location="level_switch_g" display="level_switch_g" xr:uid="{610ABD46-ADC0-4947-848E-B70C3F92C907}"/>
    <hyperlink ref="B191" location="level_switch_small_g" display="level_switch_small_g" xr:uid="{4E17B193-2AB8-4D76-9F58-94AE225B15B2}"/>
    <hyperlink ref="B192" location="level_switch" display="level_switch" xr:uid="{032CF0C8-AD6F-436F-A44B-CE400CF667DE}"/>
    <hyperlink ref="B193" location="level_switch_small" display="level_switch_small" xr:uid="{783B25F3-FEB1-44A3-990B-7C450502BA48}"/>
    <hyperlink ref="B194" location="lighting_power_high" display="lighting_power_high" xr:uid="{B6E83617-102C-4C79-8346-2F4FFE7EAC57}"/>
    <hyperlink ref="B195" location="lighting_power_low" display="lighting_power_low" xr:uid="{F7ED17CE-0C76-4B90-9FB3-808950B780B9}"/>
    <hyperlink ref="B196" location="lighting_power_mid" display="lighting_power_mid" xr:uid="{6E2C128E-A53D-4EB7-AB44-5A2360F2749F}"/>
    <hyperlink ref="B197" location="hole_per_day" display="hole_per_day" xr:uid="{06965305-3E8D-43D9-855B-7E4930BAEDFB}"/>
    <hyperlink ref="B198" location="load_max" display="load_max" xr:uid="{AC63971E-52C0-4F2F-9FE9-058DF0EECBF6}"/>
    <hyperlink ref="B199" location="load_min" display="load_min" xr:uid="{90002F0B-7065-4BF1-8387-233AC8E19A5F}"/>
    <hyperlink ref="B200" location="sept_LTAR" display="sept_LTAR" xr:uid="{1E950700-52A6-4CFC-8515-030F3E2C3140}"/>
    <hyperlink ref="B201" location="uloe_chem_maint" display="uloe_chem_maint" xr:uid="{D6AD007F-2183-4B31-855C-9B8BF506381F}"/>
    <hyperlink ref="B202" location="uloe_inst_maint" display="uloe_inst_maint" xr:uid="{6FE3429D-E60A-4FC0-89EA-98CDFCF03BC2}"/>
    <hyperlink ref="B203" location="uloe_pump_maint" display="uloe_pump_maint" xr:uid="{0095B281-1B63-487F-9034-6351B58A2AAC}"/>
    <hyperlink ref="B204" location="uloe_valve_maint" display="uloe_valve_maint" xr:uid="{94017689-4925-4322-A6DA-C269111134DD}"/>
    <hyperlink ref="B205" location="makeup_rate_off" display="makeup_rate_off" xr:uid="{E9AE2B3B-8D9A-4D55-AEBC-087E37C65BB1}"/>
    <hyperlink ref="B206" location="makeup_rate" display="makeup_rate" xr:uid="{601C2695-BDFA-4FAC-8111-769660017193}"/>
    <hyperlink ref="B207" location="regen_type_I" display="regen_type_I" xr:uid="{806471B8-4A28-4ED0-AB9A-761624C4BB2E}"/>
    <hyperlink ref="B208" location="Manager_percent" display="Manager_percent" xr:uid="{45A53FCC-941A-40D0-B257-A476C0E36B70}"/>
    <hyperlink ref="B209" location="max_space_vessels_cust" display="max_space_vessels_cust" xr:uid="{F4296780-F3F5-4B77-899A-9A8D91EA692D}"/>
    <hyperlink ref="B210" location="max_space_vessels_pre" display="max_space_vessels_pre" xr:uid="{266DF536-F423-4D0F-9E4D-3F4FCD59BCAF}"/>
    <hyperlink ref="B211" location="max_length_g" display="max_length_g" xr:uid="{964E828D-001C-4D9A-893B-D83B950A837F}"/>
    <hyperlink ref="B212" location="max_width" display="max_width" xr:uid="{6AFE8534-E643-4ADC-9B00-F5059361C986}"/>
    <hyperlink ref="B213" location="max_depth" display="max_depth" xr:uid="{68168E5C-2DB2-4F49-A95E-72476F1862EB}"/>
    <hyperlink ref="B214" location="max_bed_depth" display="max_bed_depth" xr:uid="{5A98B77E-117A-44F8-AE8B-CE8714B87799}"/>
    <hyperlink ref="B215" location="sec_cont_max_thick" display="sec_cont_max_thick" xr:uid="{072E5BD0-D68B-48B8-9EA1-6BDE89808D1C}"/>
    <hyperlink ref="B216" location="sept_dist_connections" display="sept_dist_connections" xr:uid="{CE68BF2C-396C-488D-BB57-6F7457908A80}"/>
    <hyperlink ref="B217" location="max_ep_cell_area" display="max_ep_cell_area" xr:uid="{82748780-C7A4-4D0A-8666-1342CB3ECFA8}"/>
    <hyperlink ref="B218" location="sept_max_trench_l" display="sept_max_trench_l" xr:uid="{461AC814-F10C-4835-AE9F-15354B946C4D}"/>
    <hyperlink ref="B219" location="max_diam_override" display="max_diam_override" xr:uid="{07F87BB1-131E-4710-9477-CC6EE476285A}"/>
    <hyperlink ref="B220" location="max_height" display="max_height" xr:uid="{8C60FC34-420F-4815-94B1-C75B05AC6F43}"/>
    <hyperlink ref="B221" location="max_length" display="max_length" xr:uid="{231262BD-6B82-462F-9237-7C37A41D1C25}"/>
    <hyperlink ref="B222" location="max_waste_ship" display="max_waste_ship" xr:uid="{35A0CB9D-2BBD-4B6F-8432-978D50D9B9CD}"/>
    <hyperlink ref="B223" location="diesel_eff" display="diesel_eff" xr:uid="{83D16270-6C93-4A8C-B2B9-D6999CB9964B}"/>
    <hyperlink ref="B224" location="haz_miles" display="haz_miles" xr:uid="{6DCE5ABF-8488-4961-9B09-D36334AE30B3}"/>
    <hyperlink ref="B225" location="non_haz_miles" display="non_haz_miles" xr:uid="{4E85710A-A9A8-4091-93FA-337E804CE7DD}"/>
    <hyperlink ref="B226" location="rad_miles" display="rad_miles" xr:uid="{2DAE9D7F-3DCA-416B-9E04-4FBA12793775}"/>
    <hyperlink ref="B227" location="hazrad_miles" display="hazrad_miles" xr:uid="{CE609120-A34A-4739-ACD4-C42D0C0F24DC}"/>
    <hyperlink ref="B228" location="min_avg_flow" display="min_avg_flow" xr:uid="{585ABE12-4E96-4B5D-B8C4-54C37CB14998}"/>
    <hyperlink ref="B229" location="min_length_g" display="min_length_g" xr:uid="{26162CDB-9E75-43DF-84EA-B1F1B53028F1}"/>
    <hyperlink ref="B230" location="min_width" display="min_width" xr:uid="{15088925-7ACB-4911-86DC-58473DE375AE}"/>
    <hyperlink ref="B231" location="min_depth" display="min_depth" xr:uid="{8573EECC-CC07-4B84-B56C-9996B7454792}"/>
    <hyperlink ref="B232" location="min_bed_depth" display="min_bed_depth" xr:uid="{2F954C80-6CF5-42CF-9C22-C9871C01A83C}"/>
    <hyperlink ref="B233" location="min_chem_flow" display="min_chem_flow" xr:uid="{BA90033F-1374-4F47-83C9-17AD33BC3159}"/>
    <hyperlink ref="B234" location="min_cmix_hp" display="min_cmix_hp" xr:uid="{0C18035F-3E90-4C37-AC14-97FAFE531239}"/>
    <hyperlink ref="B235" location="min_hmix_hp" display="min_hmix_hp" xr:uid="{9304BE67-07BA-4D34-BC18-CCA7A8F4AC0E}"/>
    <hyperlink ref="B236" location="min_holes" display="min_holes" xr:uid="{4B02DCFC-4787-478C-9F4C-A635D25618C1}"/>
    <hyperlink ref="B237" location="Num_tanks_I" display="Num_tanks_I" xr:uid="{C57B3F13-49D4-419F-8A86-69025E71FC44}"/>
    <hyperlink ref="B238" location="min_ep_cells" display="min_ep_cells" xr:uid="{DC0C6A8A-527F-430C-8F92-2AAE03F39980}"/>
    <hyperlink ref="B239" location="sept_min_trenches" display="sept_min_trenches" xr:uid="{4C0B7D01-5BD6-4463-8F3A-4B670487A385}"/>
    <hyperlink ref="B240" location="min_res_pipe_size" display="min_res_pipe_size" xr:uid="{CB5DB74B-00B6-47FB-8A53-6BB546D63463}"/>
    <hyperlink ref="B241" location="min_sept_disch_time" display="min_sept_disch_time" xr:uid="{6AF35735-4363-42AB-A5AE-0424EF9AC558}"/>
    <hyperlink ref="B242" location="min_sept_tank_vol" display="min_sept_tank_vol" xr:uid="{A1802DF5-2844-49BF-A73A-601267E46A33}"/>
    <hyperlink ref="B243" location="res_coag_settle_time" display="res_coag_settle_time" xr:uid="{E2A17861-A802-4DA6-A91E-1EB7AFAED894}"/>
    <hyperlink ref="B244" location="min_standby" display="min_standby" xr:uid="{4B329D61-A07B-4F7A-9826-B956C20326B1}"/>
    <hyperlink ref="B245" location="min_trench_depth" display="min_trench_depth" xr:uid="{B9D5E540-A77B-4519-94D9-9DE701696AAA}"/>
    <hyperlink ref="B246" location="uloe_fp" display="uloe_fp" xr:uid="{86282973-800B-4931-B39E-AF5ADF3E8C94}"/>
    <hyperlink ref="B247" location="uloe_autoback" display="uloe_autoback" xr:uid="{819355F9-BE2D-48D7-A258-855E4AF17944}"/>
    <hyperlink ref="B248" location="uloe_inst" display="uloe_inst" xr:uid="{AD3EC5EF-AD9A-4845-82EB-62F210790663}"/>
    <hyperlink ref="B249" location="uloe_pump" display="uloe_pump" xr:uid="{C7A1D6CA-7776-4766-98ED-99369E84D668}"/>
    <hyperlink ref="B250" location="uloe_valve" display="uloe_valve" xr:uid="{25840C3C-AB62-47C4-9B15-0A3E57A86569}"/>
    <hyperlink ref="B251" location="misc_pct" display="misc_pct" xr:uid="{0ED93167-10E1-41F6-9547-552317156CB1}"/>
    <hyperlink ref="B252" location="mob_pct_large" display="mob_pct_large" xr:uid="{1F9E349D-8657-4D78-B728-A147573CCFCD}"/>
    <hyperlink ref="B253" location="mob_pct_medium" display="mob_pct_medium" xr:uid="{21582B27-67D9-4E06-8CB2-5BF4D8F2315B}"/>
    <hyperlink ref="B254" location="mob_pct_pre" display="mob_pct_pre" xr:uid="{4C9823C2-513E-4D49-9156-368645428E11}"/>
    <hyperlink ref="B255" location="mob_pct_small" display="mob_pct_small" xr:uid="{69D2B50F-5234-4285-823B-508B6898C885}"/>
    <hyperlink ref="B256" location="gas_eff" display="gas_eff" xr:uid="{82F6CF42-3DD4-48BE-889E-2E1A28DBC5D3}"/>
    <hyperlink ref="B257" location="gas_non_eff" display="gas_non_eff" xr:uid="{F3581306-7D4D-4163-A236-3A99A7DE0E28}"/>
    <hyperlink ref="B258" location="r_freund_1" display="r_freund_1" xr:uid="{8843815D-2F26-4EDC-B847-190FCF1FC00F}"/>
    <hyperlink ref="B259" location="freund_2" display="freund_2" xr:uid="{583E833F-B34B-45A3-AA64-403B5FF8991C}"/>
    <hyperlink ref="B260" location="C_b" display="C_b" xr:uid="{777E9B33-35A7-4395-9448-D66CF1AECC49}"/>
    <hyperlink ref="B261" location="EBCT_O" display="EBCT_O" xr:uid="{2EF39E71-9680-4F23-9B75-C82EEB684C25}"/>
    <hyperlink ref="B262" location="C_0" display="C_0" xr:uid="{3290C8E4-9B64-473F-A6A5-1FAA7E98AB8A}"/>
    <hyperlink ref="B263" location="r_C_b" display="r_C_b" xr:uid="{C0D7CEB0-6582-4E4F-A668-B205FCF3A8BE}"/>
    <hyperlink ref="B264" location="r_C_0" display="r_C_0" xr:uid="{90563297-16AC-433C-A9EA-08CC67D0ACC3}"/>
    <hyperlink ref="B265" location="Kss" display="Kss" xr:uid="{9DE118FC-24CF-4510-AC0A-9C9B3442F560}"/>
    <hyperlink ref="B266" location="r_freund_2" display="r_freund_2" xr:uid="{9849DA74-56DA-4CDD-A2A6-76214B0918EE}"/>
    <hyperlink ref="B267" location="non_fire_buffer" display="non_fire_buffer" xr:uid="{3DC6876B-7609-445B-8ED2-5A8FDA9E3199}"/>
    <hyperlink ref="B268" location="lines_pump_I" display="lines_pump_I" xr:uid="{F927762D-E4FC-4ABF-908C-4D8E0E86D1DF}"/>
    <hyperlink ref="B269" location="back_chv_no_back" display="back_chv_no_back" xr:uid="{F3F7C1B4-3AF2-46EF-A46B-8DCB9BB43C00}"/>
    <hyperlink ref="B270" location="back_chv_pump" display="back_chv_pump" xr:uid="{960E5CDA-1A6A-4A37-8268-FA2962D09F70}"/>
    <hyperlink ref="B271" location="tot_bp_chv" display="tot_bp_chv" xr:uid="{0A3CC10D-A4E1-4927-9393-AB2942EE56E0}"/>
    <hyperlink ref="B272" location="coag_chv_pump" display="coag_chv_pump" xr:uid="{1C9BB1DF-63FD-4D5C-8E99-51C1A909985E}"/>
    <hyperlink ref="B273" location="in_chv" display="in_chv" xr:uid="{18A08752-A77A-4C5C-9C27-9738FD48CF7B}"/>
    <hyperlink ref="B274" location="in_chv_addon" display="in_chv_addon" xr:uid="{C1174DB2-EF7F-4D50-80FD-B0DE87AD0813}"/>
    <hyperlink ref="B275" location="polymer_chv_pump" display="polymer_chv_pump" xr:uid="{F2150644-814C-4C16-8329-AEE6A6779C8C}"/>
    <hyperlink ref="B276" location="res_chv_no_pump" display="res_chv_no_pump" xr:uid="{348D9C42-6DD7-4B86-89DB-34C01F387C2B}"/>
    <hyperlink ref="B277" location="res_chv_pump" display="res_chv_pump" xr:uid="{E6028A27-38E1-4A9E-B2A1-902F3D57CFB3}"/>
    <hyperlink ref="B278" location="Lookup name" display="Lookup name" xr:uid="{634CC70E-4981-4A35-95EC-67DF7FEC2A24}"/>
    <hyperlink ref="B279" location="plc_cpu_standalone" display="plc_cpu_standalone" xr:uid="{1F2C5A32-3E03-4E7F-8F13-5B642AFE0E16}"/>
    <hyperlink ref="B280" location="plc_cpu_addon" display="plc_cpu_addon" xr:uid="{1A5ED140-3B05-47B7-A588-71BAE499B3A2}"/>
    <hyperlink ref="B281" location="elec_encl" display="elec_encl" xr:uid="{0E6F78A9-BA80-414A-88A3-1BCDFC37D595}"/>
    <hyperlink ref="B282" location="chem_man_pump" display="chem_man_pump" xr:uid="{D11CEFB9-B081-49C3-A24D-8389CCFE750D}"/>
    <hyperlink ref="B283" location="res_man_tank" display="res_man_tank" xr:uid="{43FF749C-6F34-4EA1-B861-B6D7C7E6C929}"/>
    <hyperlink ref="B284" location="res_man_pump" display="res_man_pump" xr:uid="{DB6062D0-7B39-4418-9CB8-A981D61A8B28}"/>
    <hyperlink ref="B285" location="back_man_no_back" display="back_man_no_back" xr:uid="{FD1D4311-68A6-4918-A5F7-E10A822AF224}"/>
    <hyperlink ref="B286" location="back_man_pump" display="back_man_pump" xr:uid="{D6C8558D-ECF5-4971-B247-4C2B298DF251}"/>
    <hyperlink ref="B287" location="back_man_tank" display="back_man_tank" xr:uid="{13E05105-934A-4B2E-88CE-15782166A329}"/>
    <hyperlink ref="B288" location="back_man_vessel" display="back_man_vessel" xr:uid="{CD0E0FD1-4E04-4126-9243-C8144F970F9E}"/>
    <hyperlink ref="B289" location="tot_bp_man" display="tot_bp_man" xr:uid="{F0E44E1B-138D-4BBF-90C3-0F154C3938B5}"/>
    <hyperlink ref="B290" location="in_man" display="in_man" xr:uid="{6ED70C00-6309-474E-A109-ABDD6BB93159}"/>
    <hyperlink ref="B291" location="in_man_addon" display="in_man_addon" xr:uid="{48316EDE-4942-464C-BA62-909109A23DDC}"/>
    <hyperlink ref="B292" location="proc_man_pump" display="proc_man_pump" xr:uid="{270A979A-6E80-4631-9238-65AB1F297117}"/>
    <hyperlink ref="B293" location="proc_man_vessel_par" display="proc_man_vessel_par" xr:uid="{616D603D-6022-4EC7-834C-4F225614EA43}"/>
    <hyperlink ref="B294" location="proc_man_vessel" display="proc_man_vessel" xr:uid="{B62F3AD1-34FC-4F45-A4DA-2E87F93D38C8}"/>
    <hyperlink ref="B295" location="proc_man_vessel_ser" display="proc_man_vessel_ser" xr:uid="{270D9B66-8280-4FFC-A49F-C7BBD55CA6F5}"/>
    <hyperlink ref="B296" location="fan_days_build2_large" display="fan_days_build2_large" xr:uid="{92CA9A04-CDD5-4111-BA99-973FCD4B5C54}"/>
    <hyperlink ref="B297" location="fan_days_build2_medium" display="fan_days_build2_medium" xr:uid="{5887F70B-A27A-4686-85E1-CABB181974AF}"/>
    <hyperlink ref="B298" location="fan_days_build2_small" display="fan_days_build2_small" xr:uid="{B81E2C83-FF0F-4FFD-8074-A396D7B272C1}"/>
    <hyperlink ref="B299" location="fan_days_build1_large" display="fan_days_build1_large" xr:uid="{7A4A56BE-4986-480A-B3E6-FFE36B3A2D05}"/>
    <hyperlink ref="B300" location="fan_days_build1_medium" display="fan_days_build1_medium" xr:uid="{DF450F94-B04C-483A-8BA0-BE409F608EE4}"/>
    <hyperlink ref="B301" location="fan_days_build1_small" display="fan_days_build1_small" xr:uid="{5D2BC987-F931-470C-A1A9-FF28018EFF7A}"/>
    <hyperlink ref="B302" location="back_MOV_no_back" display="back_MOV_no_back" xr:uid="{F4A2508C-A40C-406D-B2B9-3FDCE87446D9}"/>
    <hyperlink ref="B303" location="back_MOV_pump" display="back_MOV_pump" xr:uid="{426D2BFE-7273-4008-94AE-26EEF1CF75F2}"/>
    <hyperlink ref="B304" location="back_MOV_tank" display="back_MOV_tank" xr:uid="{D307A07E-8A6D-4C99-A5B7-97D5B2AE4755}"/>
    <hyperlink ref="B305" location="back_MOV_vessel" display="back_MOV_vessel" xr:uid="{E3A6A624-4146-4C22-8268-4AC21ED691DC}"/>
    <hyperlink ref="B306" location="chem_MOV_pump" display="chem_MOV_pump" xr:uid="{4C37A995-9229-48C4-9BCC-2296202BA01E}"/>
    <hyperlink ref="B307" location="proc_MOV_pump" display="proc_MOV_pump" xr:uid="{07901ABB-C252-4919-8748-D5C69F4DA171}"/>
    <hyperlink ref="B308" location="proc_MOV_vessel_par" display="proc_MOV_vessel_par" xr:uid="{17C80916-42E7-422E-9627-D12BD2D0F39D}"/>
    <hyperlink ref="B309" location="proc_MOV_vessel_ser" display="proc_MOV_vessel_ser" xr:uid="{B3B74A83-EFF2-468D-B1C5-55CEAC332B32}"/>
    <hyperlink ref="B310" location="res_man_ep" display="res_man_ep" xr:uid="{23429EF4-B511-4F0B-AABE-F04E7C97FB11}"/>
    <hyperlink ref="B311" location="res_MOV_ep" display="res_MOV_ep" xr:uid="{25D2D2E8-849B-4EC1-A3D4-D13AD963B003}"/>
    <hyperlink ref="B312" location="res_MOV_tank" display="res_MOV_tank" xr:uid="{7BA217E9-1F8C-4757-80F3-7B14D5E34813}"/>
    <hyperlink ref="B313" location="res_MOV_pump" display="res_MOV_pump" xr:uid="{2B51FF6E-C7D0-4935-A9CD-7158317D4428}"/>
    <hyperlink ref="B314" location="tot_bp_MOVs" display="tot_bp_MOVs" xr:uid="{530CB801-4780-43C7-8F40-F75A9575042C}"/>
    <hyperlink ref="B315" location="NRD_cm_pump" display="NRD_cm_pump" xr:uid="{6DA6A72C-6193-457F-9AF0-08F5A5928EE7}"/>
    <hyperlink ref="B316" location="NRD_basins_large" display="NRD_basins_large" xr:uid="{5D620066-BD1C-400F-AA29-B9C4AEA0B66A}"/>
    <hyperlink ref="B317" location="NRD_basins_medium" display="NRD_basins_medium" xr:uid="{DBE208DB-0614-4DA0-824E-E18A57F52D1B}"/>
    <hyperlink ref="B318" location="NRD_I" display="NRD_I" xr:uid="{82D34A9F-4E03-4DF2-BE4F-0078E7F005AB}"/>
    <hyperlink ref="B319" location="NRD_eductors" display="NRD_eductors" xr:uid="{87499E28-7DF8-4329-AAAD-B1346CC0937A}"/>
    <hyperlink ref="B320" location="NRD_small" display="NRD_small" xr:uid="{DCF2196F-DE84-44B7-93C7-9FFC2ED5BB6C}"/>
    <hyperlink ref="B321" location="NRD_small_1" display="NRD_small_1" xr:uid="{93FED1C4-08DE-4AC3-911D-E0BBDB74F332}"/>
    <hyperlink ref="B322" location="shifts_day" display="shifts_day" xr:uid="{115B8606-30C0-4054-9040-C25DABDE2CFB}"/>
    <hyperlink ref="B323" location="risers" display="risers" xr:uid="{A5F61875-8903-4046-9A6D-81D71ED1F253}"/>
    <hyperlink ref="B324" location="storage_basins" display="storage_basins" xr:uid="{001F236D-AE39-4A6E-8858-4A6FAF32354F}"/>
    <hyperlink ref="B325" location="space_office" display="space_office" xr:uid="{44CA7CF9-1735-4023-80E2-2716BCB2EEF9}"/>
    <hyperlink ref="B326" location="space_office_small" display="space_office_small" xr:uid="{162AD7D5-EE38-4F60-93DC-B0DBBD7F39C7}"/>
    <hyperlink ref="B327" location="plc_interface_standalone" display="plc_interface_standalone" xr:uid="{5B2A4B94-D4D5-493E-9D98-AC404085B280}"/>
    <hyperlink ref="B328" location="plc_interface_addon" display="plc_interface_addon" xr:uid="{70A4A05F-1A15-4A19-980C-24AB37982AED}"/>
    <hyperlink ref="B329" location="overexcavate" display="overexcavate" xr:uid="{41771492-9106-4D69-A243-0C2ED137FF25}"/>
    <hyperlink ref="B330" location="ep_overexcavate" display="ep_overexcavate" xr:uid="{D9651FD4-B817-4C3A-ABFA-4B706444D818}"/>
    <hyperlink ref="B331" location="GHG_GAC_oxidation_loss" display="GHG_GAC_oxidation_loss" xr:uid="{91BEB12F-803D-4710-9C57-D055E076464B}"/>
    <hyperlink ref="B332" location="bp_pct" display="bp_pct" xr:uid="{AA5EE8CB-9039-470A-B193-C974302AF1CE}"/>
    <hyperlink ref="B333" location="pH_controls_g" display="pH_controls_g" xr:uid="{797B63CA-DE13-4463-B93D-326B591BC58D}"/>
    <hyperlink ref="B334" location="pH_controls_small_g" display="pH_controls_small_g" xr:uid="{DB61D09F-A1D1-4930-AF30-71844F175053}"/>
    <hyperlink ref="B335" location="yard_in" display="yard_in" xr:uid="{87AE70C3-D7BD-4106-BB21-ECD29DA16B4C}"/>
    <hyperlink ref="B336" location="yard_out" display="yard_out" xr:uid="{F78474B3-B677-4ACA-8DD6-6A2B648AF1B7}"/>
    <hyperlink ref="B337" location="polymer_dose" display="polymer_dose" xr:uid="{F474F856-3122-45D6-AC36-F7D32ECEBF90}"/>
    <hyperlink ref="B338" location="polymer_spf" display="polymer_spf" xr:uid="{90674698-C1D9-4027-8F24-94B9BC41277E}"/>
    <hyperlink ref="B339" location="polymer_density" display="polymer_density" xr:uid="{3DB3E008-14A2-414E-8CA4-E4879E1589E2}"/>
    <hyperlink ref="B340" location="POTW_rate_type" display="POTW_rate_type" xr:uid="{8FBF038D-6D78-43F6-BD5D-F43C4A5A6CDB}"/>
    <hyperlink ref="B341" location="POTW_TSS_limit" display="POTW_TSS_limit" xr:uid="{D685AB80-0524-4AEC-A284-DEB5BE524E12}"/>
    <hyperlink ref="B342" location="Fan_pressure_drop" display="Fan_pressure_drop" xr:uid="{06664EDC-2CE9-4498-B36B-334BF74D94B9}"/>
    <hyperlink ref="B343" location="free_board" display="free_board" xr:uid="{BD99A4D0-9EE9-4746-8E06-EE6A895F462B}"/>
    <hyperlink ref="B344" location="printer_ratio" display="printer_ratio" xr:uid="{8671DE90-FE3C-4B45-A547-01C61211F8C4}"/>
    <hyperlink ref="B345" location="proc_pipe_mult" display="proc_pipe_mult" xr:uid="{B1C619AF-BE6B-4907-B0EF-33CC9216DC65}"/>
    <hyperlink ref="B346" location="pump_efficiency" display="pump_efficiency" xr:uid="{CF70C22C-8FC8-40A4-9347-BBDF9C56845F}"/>
    <hyperlink ref="B347" location="pump_head" display="pump_head" xr:uid="{A1253082-DD5E-4940-B084-3D84CC39C185}"/>
    <hyperlink ref="B348" location="length_diam_ratio" display="length_diam_ratio" xr:uid="{B28F6637-F3F8-4034-B3F3-37E8E0FF8560}"/>
    <hyperlink ref="B349" location="uloe_inst_auto" display="uloe_inst_auto" xr:uid="{EE523A58-D6E9-4B17-966D-B9E8E2265C59}"/>
    <hyperlink ref="B350" location="Reduction" display="Reduction" xr:uid="{D5111F85-FE24-43EF-B1BA-F2C914210887}"/>
    <hyperlink ref="B351" location="NRD_back_pumps" display="NRD_back_pumps" xr:uid="{440970F2-A81A-4565-BA0A-C752C8AF842E}"/>
    <hyperlink ref="B352" location="NRD_pumps" display="NRD_pumps" xr:uid="{7E2A0400-A45E-4C4C-80D8-61A9D13769A1}"/>
    <hyperlink ref="B353" location="NRD_res_pump" display="NRD_res_pump" xr:uid="{5AB1D04F-737B-4E6D-BFBC-76B7271254B4}"/>
    <hyperlink ref="B354" location="regen_storage_bv" display="regen_storage_bv" xr:uid="{50CECA19-9E41-4D1D-8B98-5CC976964D80}"/>
    <hyperlink ref="B355" location="regen_redund" display="regen_redund" xr:uid="{BD6ABFFB-66F0-46D6-9FC1-0D34FDB2EE4C}"/>
    <hyperlink ref="B356" location="regen_runtime" display="regen_runtime" xr:uid="{33EF1873-76FA-4D1E-B38B-5B67B6D4CB0C}"/>
    <hyperlink ref="B357" location="solids_storage_height" display="solids_storage_height" xr:uid="{0571F88E-4537-4D34-8310-C4D3B8CE5942}"/>
    <hyperlink ref="B358" location="res_pipe_mult" display="res_pipe_mult" xr:uid="{269C25B7-35CA-4587-B912-3954650645A9}"/>
    <hyperlink ref="B359" location="res_pump_psi" display="res_pump_psi" xr:uid="{A48B772E-33F0-4149-94D7-4FF1FB612B7C}"/>
    <hyperlink ref="B360" location="retrofit_I" display="retrofit_I" xr:uid="{8E005AB1-6AD9-4CF3-9F7B-60FDBF2D99FC}"/>
    <hyperlink ref="B361" location="R_ceiling" display="R_ceiling" xr:uid="{D82D2DB0-E30F-4D01-ADAB-B7AC003E505D}"/>
    <hyperlink ref="B362" location="R_wall" display="R_wall" xr:uid="{14BD8F23-A55B-4FF7-8A45-5C5D96AB06AB}"/>
    <hyperlink ref="B363" location="pump_safety_factor" display="pump_safety_factor" xr:uid="{8609911E-2DE8-4CD2-AD41-AA1F5F67234F}"/>
    <hyperlink ref="B364" location="tax_pct" display="tax_pct" xr:uid="{61B793B0-1EF1-46DC-9FB3-C7B6685AB507}"/>
    <hyperlink ref="B365" location="ports_bp" display="ports_bp" xr:uid="{39FC9440-AA4E-47A5-B890-2F03DDC9AA46}"/>
    <hyperlink ref="B366" location="ports_tank" display="ports_tank" xr:uid="{3136BCB7-F049-4E1C-8165-246A0152156D}"/>
    <hyperlink ref="B367" location="freund_type_I" display="freund_type_I" xr:uid="{EAAD9304-1031-4DC0-A5F1-BB2B36D5303C}"/>
    <hyperlink ref="B368" location="r_freund_type_I" display="r_freund_type_I" xr:uid="{40FD7859-7156-4E59-A887-6E64445D8FF9}"/>
    <hyperlink ref="B369" location="sept_buffer" display="sept_buffer" xr:uid="{2952C542-827E-40B1-B75D-184BD9B18229}"/>
    <hyperlink ref="B370" location="sept_trench_d" display="sept_trench_d" xr:uid="{71B437C1-A92F-4AF5-8688-191591B3526C}"/>
    <hyperlink ref="B371" location="sept_gravel_d_below" display="sept_gravel_d_below" xr:uid="{2E599C73-ECD0-4068-AB70-BE19F18ACA36}"/>
    <hyperlink ref="B372" location="sept_gravel_d" display="sept_gravel_d" xr:uid="{7FB9B1F9-B561-47F0-9955-A4CBBA39D37D}"/>
    <hyperlink ref="B373" location="sept_trench_w" display="sept_trench_w" xr:uid="{C0015841-99D3-44A7-9D31-838CAE590376}"/>
    <hyperlink ref="B374" location="sept_pipe_diam" display="sept_pipe_diam" xr:uid="{060642B1-CF1F-4230-B641-416230955B0C}"/>
    <hyperlink ref="B375" location="sept_overexcav" display="sept_overexcav" xr:uid="{8347387A-ADE4-4458-8BBF-107BC4A7EFD5}"/>
    <hyperlink ref="B376" location="sept_tank_sf" display="sept_tank_sf" xr:uid="{1617E89C-2C3D-4B35-912E-EFA48EBBD494}"/>
    <hyperlink ref="B377" location="soil_dens" display="soil_dens" xr:uid="{5B94EBF8-AB73-4957-B059-8BF2C2CB9692}"/>
    <hyperlink ref="B378" location="spent_storage_bv" display="spent_storage_bv" xr:uid="{4AC187E8-C2A4-4ED4-9DAC-06A8F5D92775}"/>
    <hyperlink ref="B379" location="diesel_non_eff" display="diesel_non_eff" xr:uid="{DD2B2B6C-3A7F-40F5-AC1B-502A18F183C3}"/>
    <hyperlink ref="B380" location="storage_ratio" display="storage_ratio" xr:uid="{2E7C54C0-7433-40D5-8051-452C32A0E3F3}"/>
    <hyperlink ref="B381" location="storage_freeboard" display="storage_freeboard" xr:uid="{080F1DDC-CE23-4A4E-96C1-F4916D28EA9F}"/>
    <hyperlink ref="B382" location="manual_I" display="manual_I" xr:uid="{2553299A-F60F-401C-9A80-E7EA93800C36}"/>
    <hyperlink ref="B383" location="target_bed_depth_under_g" display="target_bed_depth_under_g" xr:uid="{64329D5E-A408-4D49-AE4D-57DB26E480C6}"/>
    <hyperlink ref="B384" location="target_bed_depth_under_g_UVAOP" display="target_bed_depth_under_g_UVAOP" xr:uid="{7B4589FD-4875-47B9-8D29-570194A3EB92}"/>
    <hyperlink ref="B385" location="target_bed_depth_over_g" display="target_bed_depth_over_g" xr:uid="{36194DEC-C1C2-4010-A7B2-837B44FCC8B3}"/>
    <hyperlink ref="B386" location="target_bed_depth_over_g_UVAOP" display="target_bed_depth_over_g_UVAOP" xr:uid="{A5DD9187-3EBC-45E2-B656-7D04FDFC0930}"/>
    <hyperlink ref="B387" location="target_bed_depth_under" display="target_bed_depth_under" xr:uid="{7DA2D99F-CEDB-4027-B52C-5C96555D1B59}"/>
    <hyperlink ref="B388" location="target_bed_depth_horiz" display="target_bed_depth_horiz" xr:uid="{0208132F-D133-4513-A849-9206957521C9}"/>
    <hyperlink ref="B389" location="target_bed_depth_over" display="target_bed_depth_over" xr:uid="{D75D77F6-510F-417C-8827-CCD2A1050878}"/>
    <hyperlink ref="B390" location="complexity" display="complexity" xr:uid="{00A84DD3-DF5C-4516-A947-86DBEC3B121A}"/>
    <hyperlink ref="B391" location="bore_need" display="bore_need" xr:uid="{03CD619A-5DD2-440B-81CC-307DF97CDA4C}"/>
    <hyperlink ref="B392" location="temp_meters" display="temp_meters" xr:uid="{78E15DF5-E8A1-4832-BCFD-BF8819319B94}"/>
    <hyperlink ref="B393" location="temp_meters_small" display="temp_meters_small" xr:uid="{41EA2447-F093-4CC6-8DAD-FA19A6D6D027}"/>
    <hyperlink ref="B394" location="pit_depth" display="pit_depth" xr:uid="{178325E8-6A92-49AA-872F-9DFC1B821701}"/>
    <hyperlink ref="B395" location="pit_length" display="pit_length" xr:uid="{71178ABE-7E65-4385-8E45-D929800E5537}"/>
    <hyperlink ref="B396" location="pit_width" display="pit_width" xr:uid="{AA6DC7BC-FA86-4ACE-A177-2D73685C9C6E}"/>
    <hyperlink ref="B397" location="Vessel_thickness" display="Vessel_thickness" xr:uid="{C110E3C6-0907-4818-AE07-D862E7C66DE6}"/>
    <hyperlink ref="B398" location="transfer_time" display="transfer_time" xr:uid="{3B300264-55EB-42BB-8ED3-8BD167B5A640}"/>
    <hyperlink ref="B399" location="htransfer_time" display="htransfer_time" xr:uid="{8A2C6456-4B08-4ADD-BCDA-F4E9E0451753}"/>
    <hyperlink ref="B400" location="Top_bottom_Vessel_space" display="Top_bottom_Vessel_space" xr:uid="{21A064ED-7BE6-4D6A-BA83-804C556583C6}"/>
    <hyperlink ref="B401" location="trench_angle" display="trench_angle" xr:uid="{BAA1CB0E-36C7-4AA9-8FF4-AA0DF51ED668}"/>
    <hyperlink ref="B402" location="influent_TSS" display="influent_TSS" xr:uid="{7BDFC6E7-B506-4E2B-9C1A-0F50498A9D75}"/>
    <hyperlink ref="B403" location="effluent_TSS" display="effluent_TSS" xr:uid="{7E5657E7-816B-455D-9195-01DFCB060EC2}"/>
    <hyperlink ref="B404" location="turb_tank_g" display="turb_tank_g" xr:uid="{2C54EEE9-2A7B-4922-A553-22E6EDC4B62A}"/>
    <hyperlink ref="B405" location="turb_tank" display="turb_tank" xr:uid="{28716960-43F9-4CE4-BF7C-AB186F596EB8}"/>
    <hyperlink ref="B406" location="coag_type" display="coag_type" xr:uid="{21A1F072-9A72-45DE-BD05-D53A0AD9E4C0}"/>
    <hyperlink ref="B407" location="horiz_underdrain" display="horiz_underdrain" xr:uid="{6D429345-37E1-44C4-BB1C-F73626D2792F}"/>
    <hyperlink ref="B408" location="ups_standalone" display="ups_standalone" xr:uid="{71E47FDE-6D6E-40E4-B16B-C8AF12AE7880}"/>
    <hyperlink ref="B409" location="ups_addon" display="ups_addon" xr:uid="{A529BD68-4C06-4BB3-B69C-D6CF8209766E}"/>
    <hyperlink ref="B410" location="valve_table" display="valve_table" xr:uid="{BB8EDC3A-0CF9-47B9-80AC-46998B7CAC27}"/>
    <hyperlink ref="B411" location="Air_changes_chem_storage" display="Air_changes_chem_storage" xr:uid="{0BE2EA65-A935-434A-9FEC-AE4D4BF34613}"/>
    <hyperlink ref="B412" location="Air_changes_contactor" display="Air_changes_contactor" xr:uid="{EAA7A859-4BB4-4937-A738-EB18EA1F6B7B}"/>
    <hyperlink ref="B413" location="Air_changes_office" display="Air_changes_office" xr:uid="{73AAF3DE-4D97-4F0E-BC7B-73C30079871E}"/>
    <hyperlink ref="B414" location="Air_changes_pump" display="Air_changes_pump" xr:uid="{588BDADD-35A4-414C-BC8C-EBAE3B665F79}"/>
    <hyperlink ref="B415" location="tank_geom_I" display="tank_geom_I" xr:uid="{BB7B7E32-8895-4501-B3FD-29140A828A25}"/>
    <hyperlink ref="B416" location="virgin_storage_bv" display="virgin_storage_bv" xr:uid="{1B6FF51C-FC37-4564-9AD9-1921A9F2154C}"/>
    <hyperlink ref="B417" location="sec_cont_pct_of_largest" display="sec_cont_pct_of_largest" xr:uid="{F022BC28-09FF-4331-97A0-FF47E4758562}"/>
    <hyperlink ref="B418" location="sec_cont_pct_of_total" display="sec_cont_pct_of_total" xr:uid="{F4A05C82-66A1-4C3E-9F98-52150D669344}"/>
    <hyperlink ref="B419" location="h2oflush_backwash_rate" display="h2oflush_backwash_rate" xr:uid="{854EE41A-4961-4BD5-A81C-2F4F10D8BBED}"/>
    <hyperlink ref="B420" location="BV_definition" display="BV_definition" xr:uid="{FC864EEE-BC15-42FE-8289-CF6A3936041A}"/>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G122"/>
  <sheetViews>
    <sheetView zoomScaleNormal="100" workbookViewId="0">
      <selection activeCell="G27" sqref="G27"/>
    </sheetView>
  </sheetViews>
  <sheetFormatPr baseColWidth="10" defaultColWidth="9.1640625" defaultRowHeight="13"/>
  <cols>
    <col min="1" max="1" width="1.6640625" style="639" customWidth="1"/>
    <col min="2" max="2" width="8" style="639" hidden="1" customWidth="1"/>
    <col min="3" max="4" width="12.1640625" style="639" hidden="1" customWidth="1"/>
    <col min="5" max="5" width="53.6640625" style="639" customWidth="1"/>
    <col min="6" max="6" width="17.83203125" style="639" hidden="1" customWidth="1"/>
    <col min="7" max="7" width="41.6640625" style="639" customWidth="1"/>
    <col min="8" max="8" width="30.6640625" style="639" customWidth="1"/>
    <col min="9" max="9" width="75.5" style="639" customWidth="1"/>
    <col min="10" max="11" width="9.1640625" style="639"/>
    <col min="12" max="12" width="15.6640625" style="639" bestFit="1" customWidth="1"/>
    <col min="13" max="13" width="12.33203125" style="639" bestFit="1" customWidth="1"/>
    <col min="14" max="16384" width="9.1640625" style="639"/>
  </cols>
  <sheetData>
    <row r="1" spans="1:33">
      <c r="A1" s="87" t="s">
        <v>3272</v>
      </c>
      <c r="B1" s="18"/>
      <c r="C1" s="18"/>
      <c r="D1" s="18"/>
      <c r="E1" s="87"/>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row>
    <row r="2" spans="1:33">
      <c r="A2" s="18"/>
      <c r="B2" s="18"/>
      <c r="C2" s="18"/>
      <c r="D2" s="18"/>
      <c r="E2" s="87"/>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row>
    <row r="3" spans="1:33" ht="13.5" customHeight="1">
      <c r="A3" s="18"/>
      <c r="B3" s="18"/>
      <c r="C3" s="18"/>
      <c r="D3" s="18"/>
      <c r="E3" s="86" t="s">
        <v>967</v>
      </c>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row>
    <row r="4" spans="1:33" ht="13.5" customHeight="1">
      <c r="A4" s="18"/>
      <c r="B4" s="18"/>
      <c r="C4" s="18"/>
      <c r="D4" s="18"/>
      <c r="E4" s="101" t="s">
        <v>973</v>
      </c>
      <c r="F4" s="18"/>
      <c r="G4" s="18"/>
      <c r="H4" s="319" t="str">
        <f>IF(VLOOKUP(contam_type,contam_lookup,2,FALSE)="Other","For other contaminants, the buttons shown in Step 3 will enter flows only, and clear all other inputs. Advanced users can change this behavior by entering inputs on the Standard Inputs sheet.",IF(VLOOKUP(contam_type,contam_lookup,2,FALSE)="Atrazine","Standard designs for atrazine assume treatment of unfiltered surface water","Standard designs for this contaminant assume treatment of groundwater"))</f>
        <v>For other contaminants, the buttons shown in Step 3 will enter flows only, and clear all other inputs. Advanced users can change this behavior by entering inputs on the Standard Inputs sheet.</v>
      </c>
      <c r="I4" s="18"/>
      <c r="J4" s="18"/>
      <c r="K4" s="18"/>
      <c r="L4" s="18"/>
      <c r="M4" s="18"/>
      <c r="N4" s="18"/>
      <c r="O4" s="18"/>
      <c r="P4" s="18"/>
      <c r="Q4" s="18"/>
      <c r="R4" s="18"/>
      <c r="S4" s="18"/>
      <c r="T4" s="18"/>
      <c r="U4" s="18"/>
      <c r="V4" s="18"/>
      <c r="W4" s="18"/>
      <c r="X4" s="18"/>
      <c r="Y4" s="18"/>
      <c r="Z4" s="18"/>
      <c r="AA4" s="18"/>
      <c r="AB4" s="18"/>
      <c r="AC4" s="18"/>
      <c r="AD4" s="18"/>
      <c r="AE4" s="18"/>
      <c r="AF4" s="18"/>
      <c r="AG4" s="18"/>
    </row>
    <row r="5" spans="1:33" ht="13.5" customHeight="1">
      <c r="A5" s="18"/>
      <c r="B5" s="18"/>
      <c r="C5" s="18"/>
      <c r="D5" s="18"/>
      <c r="E5" s="18"/>
      <c r="F5" s="18"/>
      <c r="G5" s="18"/>
      <c r="H5" s="319" t="str">
        <f>IF(VLOOKUP(contam_type,contam_lookup,2,FALSE)="Other","","Users wishing to simulate the cost impact of different water quality should review model documentation, then adjust the appropriate inputs manually (e.g., bed volumes before breakthrough and backwash frequency)")</f>
        <v/>
      </c>
      <c r="I5" s="18"/>
      <c r="J5" s="18"/>
      <c r="K5" s="18"/>
      <c r="L5" s="18"/>
      <c r="M5" s="18"/>
      <c r="N5" s="18"/>
      <c r="O5" s="18"/>
      <c r="P5" s="18"/>
      <c r="Q5" s="18"/>
      <c r="R5" s="18"/>
      <c r="S5" s="18"/>
      <c r="T5" s="18"/>
      <c r="U5" s="18"/>
      <c r="V5" s="18"/>
      <c r="W5" s="18"/>
      <c r="X5" s="18"/>
      <c r="Y5" s="18"/>
      <c r="Z5" s="18"/>
      <c r="AA5" s="18"/>
      <c r="AB5" s="18"/>
      <c r="AC5" s="18"/>
      <c r="AD5" s="18"/>
      <c r="AE5" s="18"/>
      <c r="AF5" s="18"/>
      <c r="AG5" s="18"/>
    </row>
    <row r="6" spans="1:33" ht="13.5" customHeight="1">
      <c r="A6" s="18"/>
      <c r="B6" s="18"/>
      <c r="C6" s="18"/>
      <c r="D6" s="18"/>
      <c r="E6" s="86" t="s">
        <v>972</v>
      </c>
      <c r="F6" s="18"/>
      <c r="G6" s="18"/>
      <c r="H6" s="319"/>
      <c r="I6" s="18"/>
      <c r="J6" s="18"/>
      <c r="K6" s="18"/>
      <c r="L6" s="18"/>
      <c r="M6" s="18"/>
      <c r="N6" s="18"/>
      <c r="O6" s="18"/>
      <c r="P6" s="18"/>
      <c r="Q6" s="18"/>
      <c r="R6" s="18"/>
      <c r="S6" s="18"/>
      <c r="T6" s="18"/>
      <c r="U6" s="18"/>
      <c r="V6" s="18"/>
      <c r="W6" s="18"/>
      <c r="X6" s="18"/>
      <c r="Y6" s="18"/>
      <c r="Z6" s="18"/>
      <c r="AA6" s="18"/>
      <c r="AB6" s="18"/>
      <c r="AC6" s="18"/>
      <c r="AD6" s="18"/>
      <c r="AE6" s="18"/>
      <c r="AF6" s="18"/>
      <c r="AG6" s="18"/>
    </row>
    <row r="7" spans="1:33" ht="13.5" customHeight="1">
      <c r="A7" s="18"/>
      <c r="B7" s="18"/>
      <c r="C7" s="18"/>
      <c r="D7" s="18"/>
      <c r="E7" s="101" t="s">
        <v>537</v>
      </c>
      <c r="F7" s="18"/>
      <c r="G7" s="18"/>
      <c r="H7" s="319"/>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c r="A8" s="18"/>
      <c r="B8" s="18"/>
      <c r="C8" s="18"/>
      <c r="D8" s="18"/>
      <c r="E8" s="18"/>
      <c r="F8" s="18"/>
      <c r="G8" s="18"/>
      <c r="H8" s="319"/>
      <c r="I8" s="18"/>
      <c r="J8" s="18"/>
      <c r="K8" s="18"/>
      <c r="L8" s="18"/>
      <c r="M8" s="18"/>
      <c r="N8" s="18"/>
      <c r="O8" s="18"/>
      <c r="P8" s="18"/>
      <c r="Q8" s="18"/>
      <c r="R8" s="18"/>
      <c r="S8" s="18"/>
      <c r="T8" s="18"/>
      <c r="U8" s="18"/>
      <c r="V8" s="18"/>
      <c r="W8" s="18"/>
      <c r="X8" s="18"/>
      <c r="Y8" s="18"/>
      <c r="Z8" s="18"/>
      <c r="AA8" s="18"/>
      <c r="AB8" s="18"/>
      <c r="AC8" s="18"/>
      <c r="AD8" s="18"/>
      <c r="AE8" s="18"/>
      <c r="AF8" s="18"/>
      <c r="AG8" s="18"/>
    </row>
    <row r="9" spans="1:33" ht="25.5" customHeight="1">
      <c r="A9" s="18"/>
      <c r="B9" s="18"/>
      <c r="C9" s="42" t="b">
        <f>CHOOSE(contam_type,'Standard Inputs'!BB9,'Standard Inputs'!BB25,'Standard Inputs'!BB41,'Standard Inputs'!BB57,'Standard Inputs'!BB73,'Standard Inputs'!BB89,'Standard Inputs'!BB105,'Standard Inputs'!BB121,'Standard Inputs'!BB137,'Standard Inputs'!BB153,'Standard Inputs'!BB169,'Standard Inputs'!BB185,'Standard Inputs'!BB201,'Standard Inputs'!BB217,'Standard Inputs'!BB233,'Standard Inputs'!BB249,'Standard Inputs'!BB265,'Standard Inputs'!BB281,'Standard Inputs'!BB297,'Standard Inputs'!BB313,'Standard Inputs'!BB329,'Standard Inputs'!BB345)</f>
        <v>0</v>
      </c>
      <c r="D9" s="42" t="b">
        <f>CHOOSE(contam_type,'Standard Inputs'!BC9,'Standard Inputs'!BC25,'Standard Inputs'!BC41,'Standard Inputs'!BC57,'Standard Inputs'!BC73,'Standard Inputs'!BC89,'Standard Inputs'!BC105,'Standard Inputs'!BC121,'Standard Inputs'!BC137,'Standard Inputs'!BC153,'Standard Inputs'!BC169,'Standard Inputs'!BC185,'Standard Inputs'!BC201,'Standard Inputs'!BC217,'Standard Inputs'!BC233,'Standard Inputs'!BC249,'Standard Inputs'!BC265,'Standard Inputs'!BC281,'Standard Inputs'!BC297,'Standard Inputs'!BC313,'Standard Inputs'!BC329,'Standard Inputs'!BC345)</f>
        <v>0</v>
      </c>
      <c r="E9" s="92" t="s">
        <v>538</v>
      </c>
      <c r="F9" s="18"/>
      <c r="G9" s="88"/>
      <c r="H9" s="734" t="str">
        <f>IF(C9,"&lt;- Using this design",IF(D9,"&lt;- You modified this design",""))</f>
        <v/>
      </c>
      <c r="I9" s="825" t="s">
        <v>3486</v>
      </c>
      <c r="J9" s="18"/>
      <c r="K9" s="18"/>
      <c r="L9" s="18"/>
      <c r="M9" s="18"/>
      <c r="N9" s="18"/>
      <c r="O9" s="18"/>
      <c r="P9" s="18"/>
      <c r="Q9" s="18"/>
      <c r="R9" s="18"/>
      <c r="S9" s="18"/>
      <c r="T9" s="18"/>
      <c r="U9" s="18"/>
      <c r="V9" s="18"/>
      <c r="W9" s="18"/>
      <c r="X9" s="18"/>
      <c r="Y9" s="18"/>
      <c r="Z9" s="18"/>
      <c r="AA9" s="18"/>
      <c r="AB9" s="18"/>
      <c r="AC9" s="18"/>
      <c r="AD9" s="18"/>
      <c r="AE9" s="18"/>
      <c r="AF9" s="18"/>
      <c r="AG9" s="18"/>
    </row>
    <row r="10" spans="1:33" ht="25.5" customHeight="1">
      <c r="A10" s="18"/>
      <c r="B10" s="18"/>
      <c r="C10" s="42" t="b">
        <f>CHOOSE(contam_type,'Standard Inputs'!BB10,'Standard Inputs'!BB26,'Standard Inputs'!BB42,'Standard Inputs'!BB58,'Standard Inputs'!BB74,'Standard Inputs'!BB90,'Standard Inputs'!BB106,'Standard Inputs'!BB122,'Standard Inputs'!BB138,'Standard Inputs'!BB154,'Standard Inputs'!BB170,'Standard Inputs'!BB186,'Standard Inputs'!BB202,'Standard Inputs'!BB218,'Standard Inputs'!BB234,'Standard Inputs'!BB250,'Standard Inputs'!BB266,'Standard Inputs'!BB282,'Standard Inputs'!BB298,'Standard Inputs'!BB314,'Standard Inputs'!BB330,'Standard Inputs'!BB346)</f>
        <v>0</v>
      </c>
      <c r="D10" s="42" t="b">
        <f>CHOOSE(contam_type,'Standard Inputs'!BC10,'Standard Inputs'!BC26,'Standard Inputs'!BC42,'Standard Inputs'!BC58,'Standard Inputs'!BC74,'Standard Inputs'!BC90,'Standard Inputs'!BC106,'Standard Inputs'!BC122,'Standard Inputs'!BC138,'Standard Inputs'!BC154,'Standard Inputs'!BC170,'Standard Inputs'!BC186,'Standard Inputs'!BC202,'Standard Inputs'!BC218,'Standard Inputs'!BC234,'Standard Inputs'!BC250,'Standard Inputs'!BC266,'Standard Inputs'!BC282,'Standard Inputs'!BC298,'Standard Inputs'!BC314,'Standard Inputs'!BC330,'Standard Inputs'!BC346)</f>
        <v>0</v>
      </c>
      <c r="E10" s="824" t="s">
        <v>3485</v>
      </c>
      <c r="F10" s="18"/>
      <c r="G10" s="89"/>
      <c r="H10" s="735" t="str">
        <f t="shared" ref="H10:H16" si="0">IF(C10,"&lt;- Using this design",IF(D10,"&lt;- You modified this design",""))</f>
        <v/>
      </c>
      <c r="I10" s="421" t="s">
        <v>4640</v>
      </c>
      <c r="J10" s="18"/>
      <c r="K10" s="18"/>
      <c r="L10" s="18"/>
      <c r="M10" s="699"/>
      <c r="N10" s="18"/>
      <c r="O10" s="18"/>
      <c r="P10" s="18"/>
      <c r="Q10" s="18"/>
      <c r="R10" s="18"/>
      <c r="S10" s="18"/>
      <c r="T10" s="18"/>
      <c r="U10" s="18"/>
      <c r="V10" s="18"/>
      <c r="W10" s="18"/>
      <c r="X10" s="18"/>
      <c r="Y10" s="18"/>
      <c r="Z10" s="18"/>
      <c r="AA10" s="18"/>
      <c r="AB10" s="18"/>
      <c r="AC10" s="18"/>
      <c r="AD10" s="18"/>
      <c r="AE10" s="18"/>
      <c r="AF10" s="18"/>
      <c r="AG10" s="18"/>
    </row>
    <row r="11" spans="1:33" ht="25.5" customHeight="1">
      <c r="A11" s="18"/>
      <c r="B11" s="18"/>
      <c r="C11" s="42" t="b">
        <f>CHOOSE(contam_type,'Standard Inputs'!BB11,'Standard Inputs'!BB27,'Standard Inputs'!BB43,'Standard Inputs'!BB59,'Standard Inputs'!BB75,'Standard Inputs'!BB91,'Standard Inputs'!BB107,'Standard Inputs'!BB123,'Standard Inputs'!BB139,'Standard Inputs'!BB155,'Standard Inputs'!BB171,'Standard Inputs'!BB187,'Standard Inputs'!BB203,'Standard Inputs'!BB219,'Standard Inputs'!BB235,'Standard Inputs'!BB251,'Standard Inputs'!BB267,'Standard Inputs'!BB283,'Standard Inputs'!BB299,'Standard Inputs'!BB315,'Standard Inputs'!BB331,'Standard Inputs'!BB347)</f>
        <v>0</v>
      </c>
      <c r="D11" s="42" t="b">
        <f>CHOOSE(contam_type,'Standard Inputs'!BC11,'Standard Inputs'!BC27,'Standard Inputs'!BC43,'Standard Inputs'!BC59,'Standard Inputs'!BC75,'Standard Inputs'!BC91,'Standard Inputs'!BC107,'Standard Inputs'!BC123,'Standard Inputs'!BC139,'Standard Inputs'!BC155,'Standard Inputs'!BC171,'Standard Inputs'!BC187,'Standard Inputs'!BC203,'Standard Inputs'!BC219,'Standard Inputs'!BC235,'Standard Inputs'!BC251,'Standard Inputs'!BC267,'Standard Inputs'!BC283,'Standard Inputs'!BC299,'Standard Inputs'!BC315,'Standard Inputs'!BC331,'Standard Inputs'!BC347)</f>
        <v>0</v>
      </c>
      <c r="E11" s="243"/>
      <c r="F11" s="18"/>
      <c r="G11" s="89"/>
      <c r="H11" s="735" t="str">
        <f t="shared" si="0"/>
        <v/>
      </c>
      <c r="I11" s="639">
        <f>J11*1000000*$K$11</f>
        <v>113.56229999999999</v>
      </c>
      <c r="J11" s="639">
        <v>0.03</v>
      </c>
      <c r="K11" s="18">
        <v>3.7854099999999999E-3</v>
      </c>
      <c r="L11" s="421" t="s">
        <v>4639</v>
      </c>
      <c r="M11" s="421"/>
      <c r="N11" s="18"/>
      <c r="O11" s="18"/>
      <c r="P11" s="18"/>
      <c r="Q11" s="18"/>
      <c r="R11" s="18"/>
      <c r="S11" s="18"/>
      <c r="T11" s="18"/>
      <c r="U11" s="18"/>
      <c r="V11" s="18"/>
      <c r="W11" s="18"/>
      <c r="X11" s="18"/>
      <c r="Y11" s="18"/>
      <c r="Z11" s="18"/>
      <c r="AA11" s="18"/>
      <c r="AB11" s="18"/>
      <c r="AC11" s="18"/>
      <c r="AD11" s="18"/>
      <c r="AE11" s="18"/>
      <c r="AF11" s="18"/>
      <c r="AG11" s="18"/>
    </row>
    <row r="12" spans="1:33" ht="25.5" customHeight="1">
      <c r="A12" s="18"/>
      <c r="B12" s="18"/>
      <c r="C12" s="42" t="b">
        <f>CHOOSE(contam_type,'Standard Inputs'!BB12,'Standard Inputs'!BB28,'Standard Inputs'!BB44,'Standard Inputs'!BB60,'Standard Inputs'!BB76,'Standard Inputs'!BB92,'Standard Inputs'!BB108,'Standard Inputs'!BB124,'Standard Inputs'!BB140,'Standard Inputs'!BB156,'Standard Inputs'!BB172,'Standard Inputs'!BB188,'Standard Inputs'!BB204,'Standard Inputs'!BB220,'Standard Inputs'!BB236,'Standard Inputs'!BB252,'Standard Inputs'!BB268,'Standard Inputs'!BB284,'Standard Inputs'!BB300,'Standard Inputs'!BB316,'Standard Inputs'!BB332,'Standard Inputs'!BB348)</f>
        <v>0</v>
      </c>
      <c r="D12" s="42" t="b">
        <f>CHOOSE(contam_type,'Standard Inputs'!BC12,'Standard Inputs'!BC28,'Standard Inputs'!BC44,'Standard Inputs'!BC60,'Standard Inputs'!BC76,'Standard Inputs'!BC92,'Standard Inputs'!BC108,'Standard Inputs'!BC124,'Standard Inputs'!BC140,'Standard Inputs'!BC156,'Standard Inputs'!BC172,'Standard Inputs'!BC188,'Standard Inputs'!BC204,'Standard Inputs'!BC220,'Standard Inputs'!BC236,'Standard Inputs'!BC252,'Standard Inputs'!BC268,'Standard Inputs'!BC284,'Standard Inputs'!BC300,'Standard Inputs'!BC316,'Standard Inputs'!BC332,'Standard Inputs'!BC348)</f>
        <v>0</v>
      </c>
      <c r="E12" s="244"/>
      <c r="F12" s="18"/>
      <c r="G12" s="89"/>
      <c r="H12" s="735" t="str">
        <f t="shared" si="0"/>
        <v/>
      </c>
      <c r="I12" s="639">
        <f t="shared" ref="I12:I18" si="1">J12*1000000*$K$11</f>
        <v>469.39083999999997</v>
      </c>
      <c r="J12" s="18">
        <v>0.124</v>
      </c>
      <c r="K12" s="18"/>
      <c r="L12" s="18"/>
      <c r="M12" s="18"/>
      <c r="N12" s="18"/>
      <c r="O12" s="18"/>
      <c r="P12" s="18"/>
      <c r="Q12" s="18"/>
      <c r="R12" s="18"/>
      <c r="S12" s="18"/>
      <c r="T12" s="18"/>
      <c r="U12" s="18"/>
      <c r="V12" s="18"/>
      <c r="W12" s="18"/>
      <c r="X12" s="18"/>
      <c r="Y12" s="18"/>
      <c r="Z12" s="18"/>
      <c r="AA12" s="18"/>
      <c r="AB12" s="18"/>
      <c r="AC12" s="18"/>
      <c r="AD12" s="18"/>
      <c r="AE12" s="18"/>
      <c r="AF12" s="18"/>
      <c r="AG12" s="18"/>
    </row>
    <row r="13" spans="1:33" ht="25.5" customHeight="1">
      <c r="A13" s="18"/>
      <c r="B13" s="18"/>
      <c r="C13" s="42" t="b">
        <f>CHOOSE(contam_type,'Standard Inputs'!BB13,'Standard Inputs'!BB29,'Standard Inputs'!BB45,'Standard Inputs'!BB61,'Standard Inputs'!BB77,'Standard Inputs'!BB93,'Standard Inputs'!BB109,'Standard Inputs'!BB125,'Standard Inputs'!BB141,'Standard Inputs'!BB157,'Standard Inputs'!BB173,'Standard Inputs'!BB189,'Standard Inputs'!BB205,'Standard Inputs'!BB221,'Standard Inputs'!BB237,'Standard Inputs'!BB253,'Standard Inputs'!BB269,'Standard Inputs'!BB285,'Standard Inputs'!BB301,'Standard Inputs'!BB317,'Standard Inputs'!BB333,'Standard Inputs'!BB349)</f>
        <v>0</v>
      </c>
      <c r="D13" s="42" t="b">
        <f>CHOOSE(contam_type,'Standard Inputs'!BC13,'Standard Inputs'!BC29,'Standard Inputs'!BC45,'Standard Inputs'!BC61,'Standard Inputs'!BC77,'Standard Inputs'!BC93,'Standard Inputs'!BC109,'Standard Inputs'!BC125,'Standard Inputs'!BC141,'Standard Inputs'!BC157,'Standard Inputs'!BC173,'Standard Inputs'!BC189,'Standard Inputs'!BC205,'Standard Inputs'!BC221,'Standard Inputs'!BC237,'Standard Inputs'!BC253,'Standard Inputs'!BC269,'Standard Inputs'!BC285,'Standard Inputs'!BC301,'Standard Inputs'!BC317,'Standard Inputs'!BC333,'Standard Inputs'!BC349)</f>
        <v>0</v>
      </c>
      <c r="E13" s="243"/>
      <c r="F13" s="18"/>
      <c r="G13" s="89"/>
      <c r="H13" s="735" t="str">
        <f t="shared" si="0"/>
        <v/>
      </c>
      <c r="I13" s="639">
        <f t="shared" si="1"/>
        <v>1154.5500500000001</v>
      </c>
      <c r="J13" s="18">
        <v>0.30499999999999999</v>
      </c>
      <c r="K13" s="18"/>
      <c r="L13" s="18"/>
      <c r="M13" s="18"/>
      <c r="N13" s="18"/>
      <c r="O13" s="18"/>
      <c r="P13" s="18"/>
      <c r="Q13" s="18"/>
      <c r="R13" s="18"/>
      <c r="S13" s="18"/>
      <c r="T13" s="18"/>
      <c r="U13" s="18"/>
      <c r="V13" s="18"/>
      <c r="W13" s="18"/>
      <c r="X13" s="18"/>
      <c r="Y13" s="18"/>
      <c r="Z13" s="18"/>
      <c r="AA13" s="18"/>
      <c r="AB13" s="18"/>
      <c r="AC13" s="18"/>
      <c r="AD13" s="18"/>
      <c r="AE13" s="18"/>
      <c r="AF13" s="18"/>
      <c r="AG13" s="18"/>
    </row>
    <row r="14" spans="1:33" ht="25.5" customHeight="1">
      <c r="A14" s="18"/>
      <c r="B14" s="18"/>
      <c r="C14" s="42" t="b">
        <f>CHOOSE(contam_type,'Standard Inputs'!BB14,'Standard Inputs'!BB30,'Standard Inputs'!BB46,'Standard Inputs'!BB62,'Standard Inputs'!BB78,'Standard Inputs'!BB94,'Standard Inputs'!BB110,'Standard Inputs'!BB126,'Standard Inputs'!BB142,'Standard Inputs'!BB158,'Standard Inputs'!BB174,'Standard Inputs'!BB190,'Standard Inputs'!BB206,'Standard Inputs'!BB222,'Standard Inputs'!BB238,'Standard Inputs'!BB254,'Standard Inputs'!BB270,'Standard Inputs'!BB286,'Standard Inputs'!BB302,'Standard Inputs'!BB318,'Standard Inputs'!BB334,'Standard Inputs'!BB350)</f>
        <v>0</v>
      </c>
      <c r="D14" s="42" t="b">
        <f>CHOOSE(contam_type,'Standard Inputs'!BC14,'Standard Inputs'!BC30,'Standard Inputs'!BC46,'Standard Inputs'!BC62,'Standard Inputs'!BC78,'Standard Inputs'!BC94,'Standard Inputs'!BC110,'Standard Inputs'!BC126,'Standard Inputs'!BC142,'Standard Inputs'!BC158,'Standard Inputs'!BC174,'Standard Inputs'!BC190,'Standard Inputs'!BC206,'Standard Inputs'!BC222,'Standard Inputs'!BC238,'Standard Inputs'!BC254,'Standard Inputs'!BC270,'Standard Inputs'!BC286,'Standard Inputs'!BC302,'Standard Inputs'!BC318,'Standard Inputs'!BC334,'Standard Inputs'!BC350)</f>
        <v>0</v>
      </c>
      <c r="E14" s="243"/>
      <c r="F14" s="18"/>
      <c r="G14" s="89"/>
      <c r="H14" s="735" t="str">
        <f t="shared" si="0"/>
        <v/>
      </c>
      <c r="I14" s="639">
        <f t="shared" si="1"/>
        <v>2801.2033999999999</v>
      </c>
      <c r="J14" s="18">
        <v>0.74</v>
      </c>
      <c r="K14" s="18"/>
      <c r="L14" s="18"/>
      <c r="M14" s="18"/>
      <c r="N14" s="18"/>
      <c r="O14" s="18"/>
      <c r="P14" s="18"/>
      <c r="Q14" s="18"/>
      <c r="R14" s="18"/>
      <c r="S14" s="18"/>
      <c r="T14" s="18"/>
      <c r="U14" s="18"/>
      <c r="V14" s="18"/>
      <c r="W14" s="18"/>
      <c r="X14" s="18"/>
      <c r="Y14" s="18"/>
      <c r="Z14" s="18"/>
      <c r="AA14" s="18"/>
      <c r="AB14" s="18"/>
      <c r="AC14" s="18"/>
      <c r="AD14" s="18"/>
      <c r="AE14" s="18"/>
      <c r="AF14" s="18"/>
      <c r="AG14" s="18"/>
    </row>
    <row r="15" spans="1:33" ht="25.5" customHeight="1">
      <c r="A15" s="18"/>
      <c r="B15" s="18"/>
      <c r="C15" s="42" t="b">
        <f>CHOOSE(contam_type,'Standard Inputs'!BB15,'Standard Inputs'!BB31,'Standard Inputs'!BB47,'Standard Inputs'!BB63,'Standard Inputs'!BB79,'Standard Inputs'!BB95,'Standard Inputs'!BB111,'Standard Inputs'!BB127,'Standard Inputs'!BB143,'Standard Inputs'!BB159,'Standard Inputs'!BB175,'Standard Inputs'!BB191,'Standard Inputs'!BB207,'Standard Inputs'!BB223,'Standard Inputs'!BB239,'Standard Inputs'!BB255,'Standard Inputs'!BB271,'Standard Inputs'!BB287,'Standard Inputs'!BB303,'Standard Inputs'!BB319,'Standard Inputs'!BB335,'Standard Inputs'!BB351)</f>
        <v>0</v>
      </c>
      <c r="D15" s="42" t="b">
        <f>CHOOSE(contam_type,'Standard Inputs'!BC15,'Standard Inputs'!BC31,'Standard Inputs'!BC47,'Standard Inputs'!BC63,'Standard Inputs'!BC79,'Standard Inputs'!BC95,'Standard Inputs'!BC111,'Standard Inputs'!BC127,'Standard Inputs'!BC143,'Standard Inputs'!BC159,'Standard Inputs'!BC175,'Standard Inputs'!BC191,'Standard Inputs'!BC207,'Standard Inputs'!BC223,'Standard Inputs'!BC239,'Standard Inputs'!BC255,'Standard Inputs'!BC271,'Standard Inputs'!BC287,'Standard Inputs'!BC303,'Standard Inputs'!BC319,'Standard Inputs'!BC335,'Standard Inputs'!BC351)</f>
        <v>0</v>
      </c>
      <c r="E15" s="18"/>
      <c r="F15" s="18"/>
      <c r="G15" s="89"/>
      <c r="H15" s="735" t="str">
        <f t="shared" si="0"/>
        <v/>
      </c>
      <c r="I15" s="639">
        <f t="shared" si="1"/>
        <v>8146.2023199999994</v>
      </c>
      <c r="J15" s="18">
        <v>2.1520000000000001</v>
      </c>
      <c r="K15" s="18"/>
      <c r="L15" s="18"/>
      <c r="M15" s="18"/>
      <c r="N15" s="18"/>
      <c r="O15" s="18"/>
      <c r="P15" s="18"/>
      <c r="Q15" s="18"/>
      <c r="R15" s="18"/>
      <c r="S15" s="18"/>
      <c r="T15" s="18"/>
      <c r="U15" s="18"/>
      <c r="V15" s="18"/>
      <c r="W15" s="18"/>
      <c r="X15" s="18"/>
      <c r="Y15" s="18"/>
      <c r="Z15" s="18"/>
      <c r="AA15" s="18"/>
      <c r="AB15" s="18"/>
      <c r="AC15" s="18"/>
      <c r="AD15" s="18"/>
      <c r="AE15" s="18"/>
      <c r="AF15" s="18"/>
      <c r="AG15" s="18"/>
    </row>
    <row r="16" spans="1:33" ht="25.5" customHeight="1">
      <c r="A16" s="18"/>
      <c r="B16" s="18"/>
      <c r="C16" s="42" t="b">
        <f>CHOOSE(contam_type,'Standard Inputs'!BB16,'Standard Inputs'!BB32,'Standard Inputs'!BB48,'Standard Inputs'!BB64,'Standard Inputs'!BB80,'Standard Inputs'!BB96,'Standard Inputs'!BB112,'Standard Inputs'!BB128,'Standard Inputs'!BB144,'Standard Inputs'!BB160,'Standard Inputs'!BB176,'Standard Inputs'!BB192,'Standard Inputs'!BB208,'Standard Inputs'!BB224,'Standard Inputs'!BB240,'Standard Inputs'!BB256,'Standard Inputs'!BB272,'Standard Inputs'!BB288,'Standard Inputs'!BB304,'Standard Inputs'!BB320,'Standard Inputs'!BB336,'Standard Inputs'!BB352)</f>
        <v>0</v>
      </c>
      <c r="D16" s="42" t="b">
        <f>CHOOSE(contam_type,'Standard Inputs'!BC16,'Standard Inputs'!BC32,'Standard Inputs'!BC48,'Standard Inputs'!BC64,'Standard Inputs'!BC80,'Standard Inputs'!BC96,'Standard Inputs'!BC112,'Standard Inputs'!BC128,'Standard Inputs'!BC144,'Standard Inputs'!BC160,'Standard Inputs'!BC176,'Standard Inputs'!BC192,'Standard Inputs'!BC208,'Standard Inputs'!BC224,'Standard Inputs'!BC240,'Standard Inputs'!BC256,'Standard Inputs'!BC272,'Standard Inputs'!BC288,'Standard Inputs'!BC304,'Standard Inputs'!BC320,'Standard Inputs'!BC336,'Standard Inputs'!BC352)</f>
        <v>0</v>
      </c>
      <c r="E16" s="18"/>
      <c r="F16" s="18"/>
      <c r="G16" s="89"/>
      <c r="H16" s="735" t="str">
        <f t="shared" si="0"/>
        <v/>
      </c>
      <c r="I16" s="639">
        <f t="shared" si="1"/>
        <v>27879.54465</v>
      </c>
      <c r="J16" s="18">
        <v>7.3650000000000002</v>
      </c>
      <c r="K16" s="18"/>
      <c r="L16" s="18"/>
      <c r="M16" s="18"/>
      <c r="N16" s="18"/>
      <c r="O16" s="18"/>
      <c r="P16" s="18"/>
      <c r="Q16" s="18"/>
      <c r="R16" s="18"/>
      <c r="S16" s="18"/>
      <c r="T16" s="18"/>
      <c r="U16" s="18"/>
      <c r="V16" s="18"/>
      <c r="W16" s="18"/>
      <c r="X16" s="18"/>
      <c r="Y16" s="18"/>
      <c r="Z16" s="18"/>
      <c r="AA16" s="18"/>
      <c r="AB16" s="18"/>
      <c r="AC16" s="18"/>
      <c r="AD16" s="18"/>
      <c r="AE16" s="18"/>
      <c r="AF16" s="18"/>
      <c r="AG16" s="18"/>
    </row>
    <row r="17" spans="1:33" ht="25.5" customHeight="1">
      <c r="A17" s="18"/>
      <c r="B17" s="18"/>
      <c r="C17" s="18"/>
      <c r="D17" s="18"/>
      <c r="E17" s="18"/>
      <c r="F17" s="18"/>
      <c r="G17" s="91"/>
      <c r="H17" s="736" t="str">
        <f>IF(COUNTIF(H9:H16,"")=8,"Using a manual design","")</f>
        <v>Using a manual design</v>
      </c>
      <c r="I17" s="639">
        <f t="shared" si="1"/>
        <v>85603.261740000002</v>
      </c>
      <c r="J17" s="18">
        <v>22.614000000000001</v>
      </c>
      <c r="K17" s="18"/>
      <c r="L17" s="18"/>
      <c r="M17" s="18"/>
      <c r="N17" s="18"/>
      <c r="O17" s="18"/>
      <c r="P17" s="18"/>
      <c r="Q17" s="18"/>
      <c r="R17" s="18"/>
      <c r="S17" s="18"/>
      <c r="T17" s="18"/>
      <c r="U17" s="18"/>
      <c r="V17" s="18"/>
      <c r="W17" s="18"/>
      <c r="X17" s="18"/>
      <c r="Y17" s="18"/>
      <c r="Z17" s="18"/>
      <c r="AA17" s="18"/>
      <c r="AB17" s="18"/>
      <c r="AC17" s="18"/>
      <c r="AD17" s="18"/>
      <c r="AE17" s="18"/>
      <c r="AF17" s="18"/>
      <c r="AG17" s="18"/>
    </row>
    <row r="18" spans="1:33">
      <c r="A18" s="18"/>
      <c r="B18" s="18"/>
      <c r="C18" s="18"/>
      <c r="D18" s="18"/>
      <c r="E18" s="92" t="s">
        <v>539</v>
      </c>
      <c r="F18" s="18"/>
      <c r="G18" s="18"/>
      <c r="H18" s="18"/>
      <c r="I18" s="639">
        <f t="shared" si="1"/>
        <v>284178.29952</v>
      </c>
      <c r="J18" s="18">
        <v>75.072000000000003</v>
      </c>
      <c r="K18" s="18"/>
      <c r="L18" s="18"/>
      <c r="M18" s="18"/>
      <c r="N18" s="18"/>
      <c r="O18" s="18"/>
      <c r="P18" s="18"/>
      <c r="Q18" s="18"/>
      <c r="R18" s="18"/>
      <c r="S18" s="18"/>
      <c r="T18" s="18"/>
      <c r="U18" s="18"/>
      <c r="V18" s="18"/>
      <c r="W18" s="18"/>
      <c r="X18" s="18"/>
      <c r="Y18" s="18"/>
      <c r="Z18" s="18"/>
      <c r="AA18" s="18"/>
      <c r="AB18" s="18"/>
      <c r="AC18" s="18"/>
      <c r="AD18" s="18"/>
      <c r="AE18" s="18"/>
      <c r="AF18" s="18"/>
      <c r="AG18" s="18"/>
    </row>
    <row r="19" spans="1:33" ht="12.75" customHeight="1">
      <c r="A19" s="18"/>
      <c r="B19" s="18"/>
      <c r="C19" s="18"/>
      <c r="D19" s="18"/>
      <c r="E19" s="93" t="s">
        <v>968</v>
      </c>
      <c r="F19" s="18"/>
      <c r="G19" s="1028" t="str">
        <f>IF(input_complete,IF('Standard Inputs'!AX363,"Input Complete -- Results Ready","Input Complete -- Press 'Generate Results'"),"Input Incomplete -- Check for Error Messages Below")</f>
        <v>Input Complete -- Results Ready</v>
      </c>
      <c r="H19" s="1029"/>
      <c r="I19" s="1032" t="str">
        <f>IF(C20,"","Fill in all gold cells below. If errors persist, consider using AutoSize button.")</f>
        <v/>
      </c>
      <c r="J19" s="18"/>
      <c r="K19" s="18"/>
      <c r="L19" s="18"/>
      <c r="M19" s="18"/>
      <c r="N19" s="18"/>
      <c r="O19" s="18"/>
      <c r="P19" s="18"/>
      <c r="Q19" s="18"/>
      <c r="R19" s="18"/>
      <c r="S19" s="18"/>
      <c r="T19" s="18"/>
      <c r="U19" s="18"/>
      <c r="V19" s="18"/>
      <c r="W19" s="18"/>
      <c r="X19" s="18"/>
      <c r="Y19" s="18"/>
      <c r="Z19" s="18"/>
      <c r="AA19" s="18"/>
      <c r="AB19" s="18"/>
      <c r="AC19" s="18"/>
      <c r="AD19" s="18"/>
      <c r="AE19" s="18"/>
      <c r="AF19" s="18"/>
      <c r="AG19" s="18"/>
    </row>
    <row r="20" spans="1:33" ht="32.25" customHeight="1">
      <c r="A20" s="18"/>
      <c r="B20" s="18"/>
      <c r="C20" s="18" t="b">
        <f>AND(C34,C43,C53,C65:C70,C78:C81,C89,C107,C117)</f>
        <v>1</v>
      </c>
      <c r="D20" s="18"/>
      <c r="E20" s="94" t="s">
        <v>969</v>
      </c>
      <c r="F20" s="18"/>
      <c r="G20" s="1030"/>
      <c r="H20" s="1031"/>
      <c r="I20" s="1032"/>
      <c r="J20" s="18"/>
      <c r="K20" s="18"/>
      <c r="L20" s="18"/>
      <c r="M20" s="18"/>
      <c r="N20" s="18"/>
      <c r="O20" s="18"/>
      <c r="P20" s="18"/>
      <c r="Q20" s="18"/>
      <c r="R20" s="18"/>
      <c r="S20" s="18"/>
      <c r="T20" s="18"/>
      <c r="U20" s="18"/>
      <c r="V20" s="18"/>
      <c r="W20" s="18"/>
      <c r="X20" s="18"/>
      <c r="Y20" s="18"/>
      <c r="Z20" s="18"/>
      <c r="AA20" s="18"/>
      <c r="AB20" s="18"/>
      <c r="AC20" s="18"/>
      <c r="AD20" s="18"/>
      <c r="AE20" s="18"/>
      <c r="AF20" s="18"/>
      <c r="AG20" s="18"/>
    </row>
    <row r="21" spans="1:33">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row>
    <row r="22" spans="1:33" ht="12.75" customHeight="1">
      <c r="A22" s="18"/>
      <c r="B22" s="18"/>
      <c r="C22" s="18"/>
      <c r="D22" s="18"/>
      <c r="E22" s="95" t="s">
        <v>540</v>
      </c>
      <c r="F22"/>
      <c r="G22" s="18"/>
      <c r="H22" s="18"/>
      <c r="I22" s="912" t="str">
        <f>"Resulting Costs (in year "&amp;TEXT(current_year_cl,0)&amp;" dollars, see OUTPUT sheet for details)"</f>
        <v>Resulting Costs (in year 2021 dollars, see OUTPUT sheet for details)</v>
      </c>
      <c r="J22" s="18"/>
      <c r="K22" s="18"/>
      <c r="L22" s="18"/>
      <c r="M22" s="18"/>
      <c r="N22" s="18"/>
      <c r="O22" s="18"/>
      <c r="P22" s="18"/>
      <c r="Q22" s="18"/>
      <c r="R22" s="18"/>
      <c r="S22" s="18"/>
      <c r="T22" s="18"/>
      <c r="U22" s="18"/>
      <c r="V22" s="18"/>
      <c r="W22" s="18"/>
      <c r="X22" s="18"/>
      <c r="Y22" s="18"/>
      <c r="Z22" s="18"/>
      <c r="AA22" s="18"/>
      <c r="AB22" s="18"/>
      <c r="AC22" s="18"/>
      <c r="AD22" s="18"/>
      <c r="AE22" s="18"/>
      <c r="AF22" s="18"/>
      <c r="AG22" s="18"/>
    </row>
    <row r="23" spans="1:33" ht="12.75" customHeight="1">
      <c r="A23" s="18"/>
      <c r="B23" s="18"/>
      <c r="C23" s="18"/>
      <c r="D23" s="18"/>
      <c r="E23" s="449" t="str">
        <f>IF(G19="input complete -- results ready","Results are ready (no need to click button)","Click here to generate results --&gt;")</f>
        <v>Results are ready (no need to click button)</v>
      </c>
      <c r="F23" s="923"/>
      <c r="G23" s="18"/>
      <c r="H23" s="18"/>
      <c r="I23" s="311" t="str">
        <f>"Direct Capital Cost: " &amp; IF(input_status&lt;&gt;"input complete -- results ready",input_status,IF(Missing_Cost,"Missing cost!",IF(cost_buildup_error,"Cost buildup error!",IF(ISERROR(direct_cost),"Calculation error!",TEXT(direct_cost,"$0,0")))))</f>
        <v>Direct Capital Cost: $821,979</v>
      </c>
      <c r="J23" s="18"/>
      <c r="K23" s="18"/>
      <c r="L23" s="18"/>
      <c r="M23" s="18"/>
      <c r="N23" s="18"/>
      <c r="O23" s="18"/>
      <c r="P23" s="18"/>
      <c r="Q23" s="18"/>
      <c r="R23" s="18"/>
      <c r="S23" s="18"/>
      <c r="T23" s="18"/>
      <c r="U23" s="18"/>
      <c r="V23" s="18"/>
      <c r="W23" s="18"/>
      <c r="X23" s="18"/>
      <c r="Y23" s="18"/>
      <c r="Z23" s="18"/>
      <c r="AA23" s="18"/>
      <c r="AB23" s="18"/>
      <c r="AC23" s="18"/>
      <c r="AD23" s="18"/>
      <c r="AE23" s="18"/>
      <c r="AF23" s="18"/>
      <c r="AG23" s="18"/>
    </row>
    <row r="24" spans="1:33">
      <c r="A24" s="18"/>
      <c r="B24" s="18"/>
      <c r="C24" s="18"/>
      <c r="D24" s="18"/>
      <c r="E24" s="18"/>
      <c r="F24" s="18"/>
      <c r="G24" s="18"/>
      <c r="H24" s="18"/>
      <c r="I24" s="312" t="str">
        <f>"Total Capital Cost: " &amp; IF(input_status&lt;&gt;"input complete -- results ready",input_status,IF(Missing_Cost,"Missing cost!",IF(cost_buildup_error,"Cost buildup error!",IF(ISERROR(system_cost),"Calculation error!",TEXT(system_cost,"$0,0")))))</f>
        <v>Total Capital Cost: $1,438,236</v>
      </c>
      <c r="J24" s="18"/>
      <c r="K24" s="18"/>
      <c r="L24" s="18"/>
      <c r="M24" s="18"/>
      <c r="N24" s="18"/>
      <c r="O24" s="18"/>
      <c r="P24" s="18"/>
      <c r="Q24" s="18"/>
      <c r="R24" s="18"/>
      <c r="S24" s="18"/>
      <c r="T24" s="18"/>
      <c r="U24" s="18"/>
      <c r="V24" s="18"/>
      <c r="W24" s="18"/>
      <c r="X24" s="18"/>
      <c r="Y24" s="18"/>
      <c r="Z24" s="18"/>
      <c r="AA24" s="18"/>
      <c r="AB24" s="18"/>
      <c r="AC24" s="18"/>
      <c r="AD24" s="18"/>
      <c r="AE24" s="18"/>
      <c r="AF24" s="18"/>
      <c r="AG24" s="18"/>
    </row>
    <row r="25" spans="1:33">
      <c r="A25" s="18"/>
      <c r="B25" s="18"/>
      <c r="C25" s="18"/>
      <c r="D25" s="18"/>
      <c r="E25" s="18"/>
      <c r="F25" s="18"/>
      <c r="G25" s="18"/>
      <c r="H25" s="18"/>
      <c r="I25" s="835"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$119,225 per year (over 27.5 years at 7%)</v>
      </c>
      <c r="J25" s="18"/>
      <c r="K25" s="18"/>
      <c r="L25" s="18"/>
      <c r="M25" s="18"/>
      <c r="N25" s="18"/>
      <c r="O25" s="18"/>
      <c r="P25" s="18"/>
      <c r="Q25" s="18"/>
      <c r="R25" s="18"/>
      <c r="S25" s="18"/>
      <c r="T25" s="18"/>
      <c r="U25" s="18"/>
      <c r="V25" s="18"/>
      <c r="W25" s="18"/>
      <c r="X25" s="18"/>
      <c r="Y25" s="18"/>
      <c r="Z25" s="18"/>
      <c r="AA25" s="18"/>
      <c r="AB25" s="18"/>
      <c r="AC25" s="18"/>
      <c r="AD25" s="18"/>
      <c r="AE25" s="18"/>
      <c r="AF25" s="18"/>
      <c r="AG25" s="18"/>
    </row>
    <row r="26" spans="1:33">
      <c r="A26" s="18"/>
      <c r="B26" s="18"/>
      <c r="C26" s="18"/>
      <c r="D26" s="18"/>
      <c r="E26" s="96" t="s">
        <v>970</v>
      </c>
      <c r="F26" s="18"/>
      <c r="G26" s="18"/>
      <c r="H26" s="18"/>
      <c r="I26" s="311" t="str">
        <f>"Annual O&amp;M Cost: " &amp;IF(input_status&lt;&gt;"input complete -- results ready",input_status,IF(ISERROR(OM_cost),"Calculation error!",TEXT(OM_cost,"$0,0")&amp;" per year"))</f>
        <v>Annual O&amp;M Cost: $607,474 per year</v>
      </c>
      <c r="J26" s="424"/>
      <c r="K26" s="424"/>
      <c r="L26" s="424"/>
      <c r="M26" s="18"/>
      <c r="N26" s="18"/>
      <c r="O26" s="18"/>
      <c r="P26" s="18"/>
      <c r="Q26" s="18"/>
      <c r="R26" s="18"/>
      <c r="S26" s="18"/>
      <c r="T26" s="18"/>
      <c r="U26" s="18"/>
      <c r="V26" s="18"/>
      <c r="W26" s="18"/>
      <c r="X26" s="18"/>
      <c r="Y26" s="18"/>
      <c r="Z26" s="18"/>
      <c r="AA26" s="18"/>
      <c r="AB26" s="18"/>
      <c r="AC26" s="18"/>
      <c r="AD26" s="18"/>
      <c r="AE26" s="18"/>
      <c r="AF26" s="18"/>
      <c r="AG26" s="18"/>
    </row>
    <row r="27" spans="1:33">
      <c r="A27" s="18"/>
      <c r="B27" s="18"/>
      <c r="C27" s="18"/>
      <c r="D27" s="18"/>
      <c r="E27" s="97" t="s">
        <v>971</v>
      </c>
      <c r="F27" s="18"/>
      <c r="G27" s="18"/>
      <c r="H27" s="18"/>
      <c r="I27" s="42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O&amp;M")&amp;")")))</f>
        <v>Total Annualized Cost: $726,699 per year (16% capital, 84% O&amp;M)</v>
      </c>
      <c r="J27" s="927"/>
      <c r="K27" s="927"/>
      <c r="L27" s="927"/>
      <c r="M27" s="18"/>
      <c r="N27" s="18"/>
      <c r="O27" s="18"/>
      <c r="P27" s="18"/>
      <c r="Q27" s="18"/>
      <c r="R27" s="18"/>
      <c r="S27" s="18"/>
      <c r="T27" s="18"/>
      <c r="U27" s="18"/>
      <c r="V27" s="18"/>
      <c r="W27" s="18"/>
      <c r="X27" s="18"/>
      <c r="Y27" s="18"/>
      <c r="Z27" s="18"/>
      <c r="AA27" s="18"/>
      <c r="AB27" s="18"/>
      <c r="AC27" s="18"/>
      <c r="AD27" s="18"/>
      <c r="AE27" s="18"/>
      <c r="AF27" s="18"/>
      <c r="AG27" s="18"/>
    </row>
    <row r="28" spans="1:33">
      <c r="A28" s="18"/>
      <c r="B28" s="357" t="s">
        <v>937</v>
      </c>
      <c r="C28" s="357" t="s">
        <v>938</v>
      </c>
      <c r="D28" s="357" t="s">
        <v>939</v>
      </c>
      <c r="E28" s="110"/>
      <c r="F28" s="111"/>
      <c r="G28" s="112"/>
      <c r="H28" s="998" t="s">
        <v>4638</v>
      </c>
      <c r="I28" s="715" t="str">
        <f>IF(input_status="Input Incomplete -- check for error messages below","",IF(Missing_Cost,"A price is not available for at least one required component. See Use? column on OUTPUT sheet.",IF(cost_buildup_error,"There is an Excel error in the price for at least one component. Please see the Use? column on OUTPUT sheet.","")))</f>
        <v/>
      </c>
      <c r="J28" s="18"/>
      <c r="K28" s="18"/>
      <c r="L28" s="18"/>
      <c r="M28" s="18"/>
      <c r="N28" s="18"/>
      <c r="O28" s="18"/>
      <c r="P28" s="18"/>
      <c r="Q28" s="18"/>
      <c r="R28" s="18"/>
      <c r="S28" s="18"/>
      <c r="T28" s="18"/>
      <c r="U28" s="18"/>
      <c r="V28" s="18"/>
      <c r="W28" s="18"/>
      <c r="X28" s="18"/>
      <c r="Y28" s="18"/>
      <c r="Z28" s="18"/>
      <c r="AA28" s="18"/>
      <c r="AB28" s="18"/>
      <c r="AC28" s="18"/>
      <c r="AD28" s="18"/>
      <c r="AE28" s="18"/>
      <c r="AF28" s="18"/>
      <c r="AG28" s="18"/>
    </row>
    <row r="29" spans="1:33">
      <c r="A29" s="18"/>
      <c r="B29"/>
      <c r="C29"/>
      <c r="D29"/>
      <c r="E29" s="245" t="s">
        <v>391</v>
      </c>
      <c r="F29" s="246" t="s">
        <v>189</v>
      </c>
      <c r="G29" s="247">
        <v>2.1520000000000001</v>
      </c>
      <c r="H29" s="251" t="s">
        <v>4637</v>
      </c>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row>
    <row r="30" spans="1:33">
      <c r="A30" s="18"/>
      <c r="B30"/>
      <c r="C30"/>
      <c r="D30"/>
      <c r="E30" s="248" t="s">
        <v>392</v>
      </c>
      <c r="F30" s="249" t="s">
        <v>193</v>
      </c>
      <c r="G30" s="250">
        <v>2.1520000000000001</v>
      </c>
      <c r="H30" s="108" t="s">
        <v>4637</v>
      </c>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row>
    <row r="31" spans="1:33">
      <c r="A31" s="18"/>
      <c r="B31"/>
      <c r="C31"/>
      <c r="D31"/>
      <c r="E31" s="114" t="s">
        <v>974</v>
      </c>
      <c r="F31" s="3"/>
      <c r="G31" s="98"/>
      <c r="H31" s="99"/>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row>
    <row r="32" spans="1:33">
      <c r="A32" s="18"/>
      <c r="B32"/>
      <c r="C32"/>
      <c r="D32"/>
      <c r="E32" s="103" t="s">
        <v>975</v>
      </c>
      <c r="F32" s="97"/>
      <c r="G32" s="104">
        <f>IF(ISERROR(design_flow),"",IF(df_units="gpm",design_flow_rate, design_flow))</f>
        <v>2.1520000000000001</v>
      </c>
      <c r="H32" s="105" t="str">
        <f>df_units</f>
        <v>MGD</v>
      </c>
      <c r="I32"/>
      <c r="J32" s="18"/>
      <c r="K32" s="18"/>
      <c r="L32" s="18"/>
      <c r="M32" s="18"/>
      <c r="N32" s="18"/>
      <c r="O32" s="18"/>
      <c r="P32" s="18"/>
      <c r="Q32" s="18"/>
      <c r="R32" s="18"/>
      <c r="S32" s="18"/>
      <c r="T32" s="18"/>
      <c r="U32" s="18"/>
      <c r="V32" s="18"/>
      <c r="W32" s="18"/>
      <c r="X32" s="18"/>
      <c r="Y32" s="18"/>
      <c r="Z32" s="18"/>
      <c r="AA32" s="18"/>
      <c r="AB32" s="18"/>
      <c r="AC32" s="18"/>
      <c r="AD32" s="18"/>
      <c r="AE32" s="18"/>
      <c r="AF32" s="18"/>
      <c r="AG32" s="18"/>
    </row>
    <row r="33" spans="1:33">
      <c r="A33" s="18"/>
      <c r="B33"/>
      <c r="C33"/>
      <c r="D33"/>
      <c r="E33" s="103" t="s">
        <v>2213</v>
      </c>
      <c r="F33" s="97"/>
      <c r="G33" s="104">
        <f>IF(ISERROR(design_flow),"",IF(df_units="gpm",bp_flow_rate, bp_flow_rate*60*24/10^6))</f>
        <v>0</v>
      </c>
      <c r="H33" s="105" t="str">
        <f>df_units</f>
        <v>MGD</v>
      </c>
      <c r="I33" s="178" t="str">
        <f>"Current bypass percentage is "&amp;TEXT(bp_pct,"0%")&amp;".  Go to Critical Design Assumptions (link below) to change this value."</f>
        <v>Current bypass percentage is 0%.  Go to Critical Design Assumptions (link below) to change this value.</v>
      </c>
      <c r="J33" s="18"/>
      <c r="K33" s="18"/>
      <c r="L33" s="18"/>
      <c r="M33" s="18"/>
      <c r="N33" s="18"/>
      <c r="O33" s="18"/>
      <c r="P33" s="18"/>
      <c r="Q33" s="18"/>
      <c r="R33" s="18"/>
      <c r="S33" s="18"/>
      <c r="T33" s="18"/>
      <c r="U33" s="18"/>
      <c r="V33" s="18"/>
      <c r="W33" s="18"/>
      <c r="X33" s="18"/>
      <c r="Y33" s="18"/>
      <c r="Z33" s="18"/>
      <c r="AA33" s="18"/>
      <c r="AB33" s="18"/>
      <c r="AC33" s="18"/>
      <c r="AD33" s="18"/>
      <c r="AE33" s="18"/>
      <c r="AF33" s="18"/>
      <c r="AG33" s="18"/>
    </row>
    <row r="34" spans="1:33">
      <c r="A34" s="18"/>
      <c r="B34"/>
      <c r="C34" t="b">
        <f>IF(OR(df_units="",af_units=""),FALSE,IF(average_flow&gt;design_flow,FALSE,IF(OR(design_flow_I=0,average_flow_I=0),FALSE,IF(average_flow_I&lt;design_flow_I*min_avg_flow,FALSE,TRUE))))</f>
        <v>1</v>
      </c>
      <c r="D34" t="str">
        <f>IF(OR(df_units="",af_units=""),"Choose units for design and average flow",IF(average_flow&gt;design_flow,"The average flow should not be greater than the design flow",IF(OR(design_flow_I=0,average_flow_I=0),"Input incomplete",IF(average_flow_I&lt;design_flow_I*min_avg_flow,"The averageflow must be at least "&amp;min_avg_flow&amp;"times design flow","OK"))))</f>
        <v>OK</v>
      </c>
      <c r="E34" s="106"/>
      <c r="F34" s="74"/>
      <c r="G34" s="100"/>
      <c r="H34" s="359" t="str">
        <f>IF(C34,"System size inputs OK",D34)</f>
        <v>System size inputs OK</v>
      </c>
      <c r="I34" s="238" t="s">
        <v>2770</v>
      </c>
      <c r="J34" s="18"/>
      <c r="K34" s="18"/>
      <c r="L34" s="18"/>
      <c r="M34" s="18"/>
      <c r="N34" s="18"/>
      <c r="O34" s="18"/>
      <c r="P34" s="18"/>
      <c r="Q34" s="18"/>
      <c r="R34" s="18"/>
      <c r="S34" s="18"/>
      <c r="T34" s="18"/>
      <c r="U34" s="18"/>
      <c r="V34" s="18"/>
      <c r="W34" s="18"/>
      <c r="X34" s="18"/>
      <c r="Y34" s="18"/>
      <c r="Z34" s="18"/>
      <c r="AA34" s="18"/>
      <c r="AB34" s="18"/>
      <c r="AC34" s="18"/>
      <c r="AD34" s="18"/>
      <c r="AE34" s="18"/>
      <c r="AF34" s="18"/>
      <c r="AG34" s="18"/>
    </row>
    <row r="35" spans="1:33">
      <c r="A35" s="18"/>
      <c r="B35"/>
      <c r="C35"/>
      <c r="D35"/>
      <c r="E35" s="263"/>
      <c r="F35" s="3"/>
      <c r="G35" s="98"/>
      <c r="H35" s="92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row>
    <row r="36" spans="1:33" ht="25.5" customHeight="1">
      <c r="A36" s="18"/>
      <c r="B36"/>
      <c r="C36" t="b">
        <f>NOT(freund_type_I="")</f>
        <v>1</v>
      </c>
      <c r="D36"/>
      <c r="E36" s="252" t="s">
        <v>3180</v>
      </c>
      <c r="F36" s="253" t="s">
        <v>3181</v>
      </c>
      <c r="G36" s="262" t="s">
        <v>936</v>
      </c>
      <c r="H36" s="254" t="s">
        <v>2141</v>
      </c>
      <c r="I36" s="1034" t="s">
        <v>4641</v>
      </c>
      <c r="J36" s="1035"/>
      <c r="K36" s="849"/>
      <c r="L36" s="849"/>
      <c r="M36" s="849"/>
      <c r="N36" s="704"/>
      <c r="O36" s="704"/>
      <c r="P36" s="18"/>
      <c r="Q36" s="18"/>
      <c r="R36" s="18"/>
      <c r="S36" s="18"/>
      <c r="T36" s="18"/>
      <c r="U36" s="18"/>
      <c r="V36" s="18"/>
      <c r="W36" s="18"/>
      <c r="X36" s="18"/>
      <c r="Y36" s="18"/>
      <c r="Z36" s="18"/>
      <c r="AA36" s="18"/>
      <c r="AB36" s="18"/>
      <c r="AC36" s="18"/>
      <c r="AD36" s="18"/>
      <c r="AE36" s="18"/>
      <c r="AF36" s="18"/>
      <c r="AG36" s="18"/>
    </row>
    <row r="37" spans="1:33">
      <c r="A37" s="18"/>
      <c r="B37"/>
      <c r="C37" t="b">
        <f>NOT(freund_1="")</f>
        <v>1</v>
      </c>
      <c r="D37"/>
      <c r="E37" s="255" t="str">
        <f>CHOOSE(freund_type,"   Carbon life","   1st Freundlich constant (Kf)","   Sorption capacity","   Carbon life")</f>
        <v xml:space="preserve">   Carbon life</v>
      </c>
      <c r="F37" s="256" t="s">
        <v>292</v>
      </c>
      <c r="G37" s="844">
        <v>12100</v>
      </c>
      <c r="H37" s="258" t="str">
        <f>CHOOSE(freund_type,"months","(ug/g)(L/ug)^(1/n)","mg/g","bed volumes")</f>
        <v>bed volumes</v>
      </c>
      <c r="I37" s="1034"/>
      <c r="J37" s="1035"/>
      <c r="K37" s="849"/>
      <c r="L37" s="849"/>
      <c r="M37" s="849"/>
      <c r="N37" s="704"/>
      <c r="O37" s="704"/>
      <c r="P37" s="18"/>
      <c r="Q37" s="18"/>
      <c r="R37" s="18"/>
      <c r="S37" s="18"/>
      <c r="T37" s="18"/>
      <c r="U37" s="18"/>
      <c r="V37" s="18"/>
      <c r="W37" s="18"/>
      <c r="X37" s="18"/>
      <c r="Y37" s="18"/>
      <c r="Z37" s="18"/>
      <c r="AA37" s="18"/>
      <c r="AB37" s="18"/>
      <c r="AC37" s="18"/>
      <c r="AD37" s="18"/>
      <c r="AE37" s="18"/>
      <c r="AF37" s="18"/>
      <c r="AG37" s="18"/>
    </row>
    <row r="38" spans="1:33" ht="14">
      <c r="A38" s="18"/>
      <c r="B38" t="b">
        <f>OR(freund_type=2,freund_type=3)</f>
        <v>0</v>
      </c>
      <c r="C38" t="b">
        <f>IF(B38,NOT(freund_2=""),TRUE)</f>
        <v>1</v>
      </c>
      <c r="D38"/>
      <c r="E38" s="255" t="str">
        <f>CHOOSE(freund_type,"   no additonal input required","   2nd Freundlich constant (1/n)","   Bohart and Adams quasi-chemical rate constant (k)","   no additonal input required")</f>
        <v xml:space="preserve">   no additonal input required</v>
      </c>
      <c r="F38" s="256" t="s">
        <v>293</v>
      </c>
      <c r="G38" s="844"/>
      <c r="H38" s="258" t="str">
        <f>CHOOSE(freund_type,"not required","dimensionless","L/mg-sec","not required")</f>
        <v>not required</v>
      </c>
      <c r="I38" s="850" t="s">
        <v>3518</v>
      </c>
      <c r="J38" s="849"/>
      <c r="K38" s="849"/>
      <c r="L38" s="849"/>
      <c r="M38" s="849"/>
      <c r="N38" s="704"/>
      <c r="O38" s="704"/>
      <c r="P38" s="18"/>
      <c r="Q38" s="18"/>
      <c r="R38" s="18"/>
      <c r="S38" s="18"/>
      <c r="T38" s="18"/>
      <c r="U38" s="18"/>
      <c r="V38" s="18"/>
      <c r="W38" s="18"/>
      <c r="X38" s="18"/>
      <c r="Y38" s="18"/>
      <c r="Z38" s="18"/>
      <c r="AA38" s="18"/>
      <c r="AB38" s="18"/>
      <c r="AC38" s="18"/>
      <c r="AD38" s="18"/>
      <c r="AE38" s="18"/>
      <c r="AF38" s="18"/>
      <c r="AG38" s="18"/>
    </row>
    <row r="39" spans="1:33" ht="14">
      <c r="A39" s="18"/>
      <c r="B39" t="b">
        <f>OR(freund_type=2,freund_type=3)</f>
        <v>0</v>
      </c>
      <c r="C39" t="b">
        <f>IF(B39,NOT(C_0=""),TRUE)</f>
        <v>1</v>
      </c>
      <c r="D39"/>
      <c r="E39" s="255" t="str">
        <f>CHOOSE(freund_type,"   no additonal input required","   Influent concentration","   Influent concentration","   no additonal input required")</f>
        <v xml:space="preserve">   no additonal input required</v>
      </c>
      <c r="F39" s="256" t="s">
        <v>294</v>
      </c>
      <c r="G39" s="844"/>
      <c r="H39" s="258" t="str">
        <f>CHOOSE(freund_type,"not required","mg/L","mg/L","not required")</f>
        <v>not required</v>
      </c>
      <c r="I39" s="850" t="s">
        <v>3519</v>
      </c>
      <c r="J39" s="849"/>
      <c r="K39" s="849"/>
      <c r="L39" s="849"/>
      <c r="M39" s="849"/>
      <c r="N39" s="704"/>
      <c r="O39" s="704"/>
      <c r="P39" s="18"/>
      <c r="Q39" s="18"/>
      <c r="R39" s="18"/>
      <c r="S39" s="18"/>
      <c r="T39" s="18"/>
      <c r="U39" s="18"/>
      <c r="V39" s="18"/>
      <c r="W39" s="18"/>
      <c r="X39" s="18"/>
      <c r="Y39" s="18"/>
      <c r="Z39" s="18"/>
      <c r="AA39" s="18"/>
      <c r="AB39" s="18"/>
      <c r="AC39" s="18"/>
      <c r="AD39" s="18"/>
      <c r="AE39" s="18"/>
      <c r="AF39" s="18"/>
      <c r="AG39" s="18"/>
    </row>
    <row r="40" spans="1:33">
      <c r="A40" s="18"/>
      <c r="B40" t="b">
        <f>OR(freund_type=2,freund_type=3)</f>
        <v>0</v>
      </c>
      <c r="C40" t="b">
        <f>IF(B40,NOT(C_b=""),TRUE)</f>
        <v>1</v>
      </c>
      <c r="D40"/>
      <c r="E40" s="255" t="str">
        <f>CHOOSE(freund_type,"   no additonal input required","   Breakthrough concentration","   Breakthrough concentration","   no additonal input required")</f>
        <v xml:space="preserve">   no additonal input required</v>
      </c>
      <c r="F40" s="256" t="s">
        <v>295</v>
      </c>
      <c r="G40" s="844"/>
      <c r="H40" s="258" t="str">
        <f>CHOOSE(freund_type,"not required","mg/L","mg/L","not required")</f>
        <v>not required</v>
      </c>
      <c r="J40" s="849"/>
      <c r="K40" s="849"/>
      <c r="L40" s="849"/>
      <c r="M40" s="849"/>
      <c r="N40" s="704"/>
      <c r="O40" s="704"/>
      <c r="P40" s="18"/>
      <c r="Q40" s="18"/>
      <c r="R40" s="18"/>
      <c r="S40" s="18"/>
      <c r="T40" s="18"/>
      <c r="U40" s="18"/>
      <c r="V40" s="18"/>
      <c r="W40" s="18"/>
      <c r="X40" s="18"/>
      <c r="Y40" s="18"/>
      <c r="Z40" s="18"/>
      <c r="AA40" s="18"/>
      <c r="AB40" s="18"/>
      <c r="AC40" s="18"/>
      <c r="AD40" s="18"/>
      <c r="AE40" s="18"/>
      <c r="AF40" s="18"/>
      <c r="AG40" s="18"/>
    </row>
    <row r="41" spans="1:33" ht="15.75" customHeight="1">
      <c r="A41" s="18"/>
      <c r="B41"/>
      <c r="C41"/>
      <c r="D41"/>
      <c r="E41" s="102" t="s">
        <v>974</v>
      </c>
      <c r="F41" s="259"/>
      <c r="G41" s="281"/>
      <c r="H41" s="282"/>
      <c r="I41" s="907" t="str">
        <f>IF(AND(freund_type=4,Num_tanks&gt;1),"Important: carbon life calculation assumes bed volumes are based on "&amp;BV_definition,"")</f>
        <v>Important: carbon life calculation assumes bed volumes are based on EBCT per vessel</v>
      </c>
      <c r="J41" s="101"/>
      <c r="K41" s="101"/>
      <c r="L41" s="161"/>
      <c r="M41" s="101"/>
      <c r="N41" s="101"/>
      <c r="O41" s="18"/>
      <c r="P41" s="18"/>
      <c r="Q41" s="18"/>
      <c r="R41" s="18"/>
      <c r="S41" s="18"/>
      <c r="T41" s="18"/>
      <c r="U41" s="18"/>
      <c r="V41" s="18"/>
      <c r="W41" s="18"/>
      <c r="X41" s="18"/>
      <c r="Y41" s="18"/>
      <c r="Z41" s="18"/>
      <c r="AA41" s="18"/>
      <c r="AB41" s="18"/>
      <c r="AC41" s="18"/>
      <c r="AD41" s="18"/>
      <c r="AE41" s="18"/>
      <c r="AF41" s="18"/>
      <c r="AG41" s="18"/>
    </row>
    <row r="42" spans="1:33">
      <c r="A42" s="18"/>
      <c r="B42"/>
      <c r="C42"/>
      <c r="D42"/>
      <c r="E42" s="103" t="s">
        <v>3184</v>
      </c>
      <c r="F42" s="115"/>
      <c r="G42" s="117">
        <f>IF(AND(C43,NOT(ISERROR(bed_life))),bed_life,"")</f>
        <v>1.4093644009472368</v>
      </c>
      <c r="H42" s="261" t="s">
        <v>3471</v>
      </c>
      <c r="I42" s="820" t="str">
        <f>IF(AND(C43,NOT(ISERROR(bed_life)),NOT(ISERROR(Num_tanks))),IF(Num_tanks&gt;1,"Carbon life reflects time between change outs of the lead vessel",""),"")</f>
        <v>Carbon life reflects time between change outs of the lead vessel</v>
      </c>
      <c r="J42" s="101"/>
      <c r="K42" s="101"/>
      <c r="L42" s="161"/>
      <c r="M42" s="101"/>
      <c r="N42" s="101"/>
      <c r="O42" s="18"/>
      <c r="P42" s="18"/>
      <c r="Q42" s="18"/>
      <c r="R42" s="18"/>
      <c r="S42" s="18"/>
      <c r="T42" s="18"/>
      <c r="U42" s="18"/>
      <c r="V42" s="18"/>
      <c r="W42" s="18"/>
      <c r="X42" s="18"/>
      <c r="Y42" s="18"/>
      <c r="Z42" s="18"/>
      <c r="AA42" s="18"/>
      <c r="AB42" s="18"/>
      <c r="AC42" s="18"/>
      <c r="AD42" s="18"/>
      <c r="AE42" s="18"/>
      <c r="AF42" s="18"/>
      <c r="AG42" s="18"/>
    </row>
    <row r="43" spans="1:33" ht="15.75" customHeight="1">
      <c r="A43" s="18"/>
      <c r="B43"/>
      <c r="C43" t="b">
        <f>IF(NOT(AND(C36,C37,C38,C39,C40)),FALSE,IF(AND(freund_type=2,C_b&gt;=C_0),FALSE,IF(AND(EBCT_type=2,OR(freund_type=2,freund_type=3)),IF(C_0&lt;&gt;EBCT_I,FALSE,TRUE),TRUE)))</f>
        <v>1</v>
      </c>
      <c r="D43" s="160" t="str">
        <f>IF(NOT(AND(C36,C37,C38,C39,C40)),"Carbon life input incomplete",IF(AND(freund_type=2,C_b&gt;=C_0),"Warning: breakthrough concentration should be less than influent concentration",IF(AND(EBCT_type=2,OR(freund_type=2,freund_type=3)),IF(C_0&lt;&gt;EBCT_I,"Warning: Influent concentration should be the same as entered for EBCT calculation","Carbon life input OK"),"OK")))</f>
        <v>OK</v>
      </c>
      <c r="E43" s="142"/>
      <c r="F43" s="132"/>
      <c r="G43" s="73"/>
      <c r="H43" s="137" t="str">
        <f>IF(C43,"Carbon input OK",D43)</f>
        <v>Carbon input OK</v>
      </c>
      <c r="I43" s="159" t="str">
        <f>IF(OR(freund_type=1,freund_type=4),"",IF(OR(freund_type=2,freund_type=3),"Guidance: Low calculated carbon life value may indicate unsuitability of GAC as a treatment technique.",""))</f>
        <v/>
      </c>
      <c r="J43" s="101"/>
      <c r="K43" s="101"/>
      <c r="L43" s="101"/>
      <c r="M43" s="101"/>
      <c r="N43" s="101"/>
      <c r="O43" s="18"/>
      <c r="P43" s="18"/>
      <c r="Q43" s="18"/>
      <c r="R43" s="18"/>
      <c r="S43" s="18"/>
      <c r="T43" s="18"/>
      <c r="U43" s="18"/>
      <c r="V43" s="18"/>
      <c r="W43" s="18"/>
      <c r="X43" s="18"/>
      <c r="Y43" s="18"/>
      <c r="Z43" s="18"/>
      <c r="AA43" s="18"/>
      <c r="AB43" s="18"/>
      <c r="AC43" s="18"/>
      <c r="AD43" s="18"/>
      <c r="AE43" s="18"/>
      <c r="AF43" s="18"/>
      <c r="AG43" s="18"/>
    </row>
    <row r="44" spans="1:33">
      <c r="A44" s="18"/>
      <c r="B44"/>
      <c r="C44"/>
      <c r="D44"/>
      <c r="E44" s="18"/>
      <c r="F44" s="97"/>
      <c r="G44" s="111"/>
      <c r="H44" s="18"/>
      <c r="I44" s="101"/>
      <c r="J44" s="101"/>
      <c r="K44" s="101"/>
      <c r="L44" s="101"/>
      <c r="M44" s="101"/>
      <c r="N44" s="101"/>
      <c r="O44" s="18"/>
      <c r="P44" s="18"/>
      <c r="Q44" s="18"/>
      <c r="R44" s="18"/>
      <c r="S44" s="18"/>
      <c r="T44" s="18"/>
      <c r="U44" s="18"/>
      <c r="V44" s="18"/>
      <c r="W44" s="18"/>
      <c r="X44" s="18"/>
      <c r="Y44" s="18"/>
      <c r="Z44" s="18"/>
      <c r="AA44" s="18"/>
      <c r="AB44" s="18"/>
      <c r="AC44" s="18"/>
      <c r="AD44" s="18"/>
      <c r="AE44" s="18"/>
      <c r="AF44" s="18"/>
      <c r="AG44" s="18"/>
    </row>
    <row r="45" spans="1:33" ht="24.75" customHeight="1">
      <c r="A45" s="18"/>
      <c r="B45"/>
      <c r="C45" t="b">
        <f>NOT(EBCT_type_I="")</f>
        <v>1</v>
      </c>
      <c r="D45"/>
      <c r="E45" s="252" t="s">
        <v>2143</v>
      </c>
      <c r="F45" s="253" t="s">
        <v>2142</v>
      </c>
      <c r="G45" s="262" t="s">
        <v>194</v>
      </c>
      <c r="H45" s="254" t="s">
        <v>2141</v>
      </c>
      <c r="I45" s="845" t="str">
        <f>IF(EBCT_type&lt;&gt;3,"Warning: use this method for radon only","")</f>
        <v/>
      </c>
      <c r="J45" s="101"/>
      <c r="K45" s="101"/>
      <c r="L45" s="101"/>
      <c r="M45" s="101"/>
      <c r="N45" s="101"/>
      <c r="O45" s="18"/>
      <c r="P45" s="18"/>
      <c r="Q45" s="18"/>
      <c r="R45" s="18"/>
      <c r="S45" s="18"/>
      <c r="T45" s="18"/>
      <c r="U45" s="18"/>
      <c r="V45" s="18"/>
      <c r="W45" s="18"/>
      <c r="X45" s="18"/>
      <c r="Y45" s="18"/>
      <c r="Z45" s="18"/>
      <c r="AA45" s="18"/>
      <c r="AB45" s="18"/>
      <c r="AC45" s="18"/>
      <c r="AD45" s="18"/>
      <c r="AE45" s="18"/>
      <c r="AF45" s="18"/>
      <c r="AG45" s="18"/>
    </row>
    <row r="46" spans="1:33" ht="13.25" customHeight="1">
      <c r="A46" s="18"/>
      <c r="B46"/>
      <c r="C46" t="b">
        <f>NOT(EBCT_I="")</f>
        <v>1</v>
      </c>
      <c r="D46"/>
      <c r="E46" s="270" t="str">
        <f>IF(EBCT_type=1,"   Percent removal",IF(EBCT_type=2,"   Influent concentration",IF(EBCT_type=3,"   Total Theoretical Empty Bed Contact Time (EBCT)","")))</f>
        <v xml:space="preserve">   Total Theoretical Empty Bed Contact Time (EBCT)</v>
      </c>
      <c r="F46" s="256" t="s">
        <v>2941</v>
      </c>
      <c r="G46" s="271">
        <v>10</v>
      </c>
      <c r="H46" s="272" t="str">
        <f>IF(EBCT_type=1,"enter percentage as fraction",IF(EBCT_type=2,"mg/l",IF(EBCT_type=3,"minutes","")))</f>
        <v>minutes</v>
      </c>
      <c r="I46" s="1036" t="s">
        <v>2769</v>
      </c>
      <c r="J46" s="1037"/>
      <c r="K46" s="849"/>
      <c r="L46" s="849"/>
      <c r="M46" s="849"/>
      <c r="N46" s="704"/>
      <c r="O46" s="704"/>
      <c r="P46" s="18"/>
      <c r="Q46" s="18"/>
      <c r="R46" s="18"/>
      <c r="S46" s="18"/>
      <c r="T46" s="18"/>
      <c r="U46" s="18"/>
      <c r="V46" s="18"/>
      <c r="W46" s="18"/>
      <c r="X46" s="18"/>
      <c r="Y46" s="18"/>
      <c r="Z46" s="18"/>
      <c r="AA46" s="18"/>
      <c r="AB46" s="18"/>
      <c r="AC46" s="18"/>
      <c r="AD46" s="18"/>
      <c r="AE46" s="18"/>
      <c r="AF46" s="18"/>
      <c r="AG46" s="18"/>
    </row>
    <row r="47" spans="1:33">
      <c r="A47" s="18"/>
      <c r="B47" t="b">
        <f>EBCT_type=2</f>
        <v>0</v>
      </c>
      <c r="C47" t="b">
        <f>IF(B47,NOT(EBCT_O=""),TRUE)</f>
        <v>1</v>
      </c>
      <c r="D47"/>
      <c r="E47" s="255" t="str">
        <f>IF(EBCT_type=1,"   no additonal input required",IF(EBCT_type=2,"   Desired effluent concentration",IF(EBCT_type=3,"   no additonal input required","   no additonal input required")))</f>
        <v xml:space="preserve">   no additonal input required</v>
      </c>
      <c r="F47" s="256" t="s">
        <v>2942</v>
      </c>
      <c r="G47" s="257"/>
      <c r="H47" s="258" t="str">
        <f>IF(EBCT_type&lt;&gt;2,"not required","mg/l")</f>
        <v>not required</v>
      </c>
      <c r="I47" s="1036"/>
      <c r="J47" s="1037"/>
      <c r="K47" s="849"/>
      <c r="L47" s="849"/>
      <c r="M47" s="849"/>
      <c r="N47" s="704"/>
      <c r="O47" s="704"/>
      <c r="P47" s="18"/>
      <c r="Q47" s="18"/>
      <c r="R47" s="18"/>
      <c r="S47" s="18"/>
      <c r="T47" s="18"/>
      <c r="U47" s="18"/>
      <c r="V47" s="18"/>
      <c r="W47" s="18"/>
      <c r="X47" s="18"/>
      <c r="Y47" s="18"/>
      <c r="Z47" s="18"/>
      <c r="AA47" s="18"/>
      <c r="AB47" s="18"/>
      <c r="AC47" s="18"/>
      <c r="AD47" s="18"/>
      <c r="AE47" s="18"/>
      <c r="AF47" s="18"/>
      <c r="AG47" s="18"/>
    </row>
    <row r="48" spans="1:33">
      <c r="A48" s="18"/>
      <c r="B48" t="b">
        <f>EBCT_type&lt;&gt;3</f>
        <v>0</v>
      </c>
      <c r="C48" t="b">
        <f>IF(B48,NOT(Kss=""),TRUE)</f>
        <v>1</v>
      </c>
      <c r="D48"/>
      <c r="E48" s="255" t="str">
        <f>IF(OR(EBCT_type=1,EBCT_type=2),"   Steady state system constant (Kss)",IF(EBCT_type=3,"   no additonal input required","   no additonal input required"))</f>
        <v xml:space="preserve">   no additonal input required</v>
      </c>
      <c r="F48" s="256" t="s">
        <v>2943</v>
      </c>
      <c r="G48" s="257"/>
      <c r="H48" s="258" t="str">
        <f>IF(EBCT_type=3,"not required","1/hrs")</f>
        <v>not required</v>
      </c>
      <c r="I48" s="1036"/>
      <c r="J48" s="1037"/>
      <c r="K48" s="849"/>
      <c r="L48" s="849"/>
      <c r="M48" s="849"/>
      <c r="N48" s="704"/>
      <c r="O48" s="704"/>
      <c r="P48" s="18"/>
      <c r="Q48" s="18"/>
      <c r="R48" s="18"/>
      <c r="S48" s="18"/>
      <c r="T48" s="18"/>
      <c r="U48" s="18"/>
      <c r="V48" s="18"/>
      <c r="W48" s="18"/>
      <c r="X48" s="18"/>
      <c r="Y48" s="18"/>
      <c r="Z48" s="18"/>
      <c r="AA48" s="18"/>
      <c r="AB48" s="18"/>
      <c r="AC48" s="18"/>
      <c r="AD48" s="18"/>
      <c r="AE48" s="18"/>
      <c r="AF48" s="18"/>
      <c r="AG48" s="18"/>
    </row>
    <row r="49" spans="1:33" ht="25.5" customHeight="1">
      <c r="A49" s="18"/>
      <c r="B49" t="b">
        <f>IF(design_type=1,TRUE,FALSE)</f>
        <v>1</v>
      </c>
      <c r="C49" t="b">
        <f>IF(B49,NOT(Num_tanks_I=""),TRUE)</f>
        <v>1</v>
      </c>
      <c r="D49"/>
      <c r="E49" s="266" t="s">
        <v>1232</v>
      </c>
      <c r="F49" s="267" t="s">
        <v>3188</v>
      </c>
      <c r="G49" s="268">
        <v>2</v>
      </c>
      <c r="H49" s="265" t="s">
        <v>3185</v>
      </c>
      <c r="I49" s="269" t="str">
        <f>IF(design_type=1,"Consider multiple vessels in series for long EBCTs (&gt;10 minutes)","Parallel operation only for gravity systems")</f>
        <v>Consider multiple vessels in series for long EBCTs (&gt;10 minutes)</v>
      </c>
      <c r="J49" s="101"/>
      <c r="K49" s="163"/>
      <c r="L49" s="164"/>
      <c r="M49" s="165"/>
      <c r="N49" s="101"/>
      <c r="O49" s="18"/>
      <c r="P49" s="18"/>
      <c r="Q49" s="18"/>
      <c r="R49" s="18"/>
      <c r="S49" s="18"/>
      <c r="T49" s="18"/>
      <c r="U49" s="18"/>
      <c r="V49" s="18"/>
      <c r="W49" s="18"/>
      <c r="X49" s="18"/>
      <c r="Y49" s="18"/>
      <c r="Z49" s="18"/>
      <c r="AA49" s="18"/>
      <c r="AB49" s="18"/>
      <c r="AC49" s="18"/>
      <c r="AD49" s="18"/>
      <c r="AE49" s="18"/>
      <c r="AF49" s="18"/>
      <c r="AG49" s="18"/>
    </row>
    <row r="50" spans="1:33">
      <c r="A50" s="18"/>
      <c r="B50"/>
      <c r="C50"/>
      <c r="D50"/>
      <c r="E50" s="102" t="s">
        <v>974</v>
      </c>
      <c r="F50" s="259"/>
      <c r="G50" s="239"/>
      <c r="H50" s="260"/>
      <c r="I50" s="240"/>
      <c r="J50" s="241"/>
      <c r="K50" s="241"/>
      <c r="L50" s="241"/>
      <c r="M50" s="241"/>
      <c r="N50" s="241"/>
      <c r="O50" s="18"/>
      <c r="P50" s="18"/>
      <c r="Q50" s="18"/>
      <c r="R50" s="18"/>
      <c r="S50" s="18"/>
      <c r="T50" s="18"/>
      <c r="U50" s="18"/>
      <c r="V50" s="18"/>
      <c r="W50" s="18"/>
      <c r="X50" s="18"/>
      <c r="Y50" s="18"/>
      <c r="Z50" s="18"/>
      <c r="AA50" s="18"/>
      <c r="AB50" s="18"/>
      <c r="AC50" s="18"/>
      <c r="AD50" s="18"/>
      <c r="AE50" s="18"/>
      <c r="AF50" s="18"/>
      <c r="AG50" s="18"/>
    </row>
    <row r="51" spans="1:33">
      <c r="A51" s="18"/>
      <c r="B51"/>
      <c r="C51"/>
      <c r="D51"/>
      <c r="E51" s="103" t="s">
        <v>194</v>
      </c>
      <c r="F51" s="115"/>
      <c r="G51" s="109">
        <f>IF(C53,EBCT,"")</f>
        <v>10</v>
      </c>
      <c r="H51" s="261" t="s">
        <v>3472</v>
      </c>
      <c r="I51" s="101"/>
      <c r="J51" s="101"/>
      <c r="K51" s="101"/>
      <c r="L51" s="101"/>
      <c r="M51" s="101"/>
      <c r="N51" s="101"/>
      <c r="O51" s="18"/>
      <c r="P51" s="18"/>
      <c r="Q51" s="18"/>
      <c r="R51" s="18"/>
      <c r="S51" s="18"/>
      <c r="T51" s="18"/>
      <c r="U51" s="18"/>
      <c r="V51" s="18"/>
      <c r="W51" s="18"/>
      <c r="X51" s="18"/>
      <c r="Y51" s="18"/>
      <c r="Z51" s="18"/>
      <c r="AA51" s="18"/>
      <c r="AB51" s="18"/>
      <c r="AC51" s="18"/>
      <c r="AD51" s="18"/>
      <c r="AE51" s="18"/>
      <c r="AF51" s="18"/>
      <c r="AG51" s="18"/>
    </row>
    <row r="52" spans="1:33">
      <c r="A52" s="18"/>
      <c r="B52"/>
      <c r="C52"/>
      <c r="D52"/>
      <c r="E52" s="103" t="s">
        <v>3183</v>
      </c>
      <c r="F52" s="115"/>
      <c r="G52" s="109">
        <f>IF(C53,IF(design_type=1,EBCT_tank,EBCT),"")</f>
        <v>5</v>
      </c>
      <c r="H52" s="261" t="s">
        <v>3472</v>
      </c>
      <c r="I52" s="101"/>
      <c r="J52" s="101"/>
      <c r="K52" s="101"/>
      <c r="L52" s="101"/>
      <c r="M52" s="101"/>
      <c r="N52" s="101"/>
      <c r="O52" s="18"/>
      <c r="P52" s="18"/>
      <c r="Q52" s="18"/>
      <c r="R52" s="18"/>
      <c r="S52" s="18"/>
      <c r="T52" s="18"/>
      <c r="U52" s="18"/>
      <c r="V52" s="18"/>
      <c r="W52" s="18"/>
      <c r="X52" s="18"/>
      <c r="Y52" s="18"/>
      <c r="Z52" s="18"/>
      <c r="AA52" s="18"/>
      <c r="AB52" s="18"/>
      <c r="AC52" s="18"/>
      <c r="AD52" s="18"/>
      <c r="AE52" s="18"/>
      <c r="AF52" s="18"/>
      <c r="AG52" s="18"/>
    </row>
    <row r="53" spans="1:33">
      <c r="A53" s="18"/>
      <c r="B53"/>
      <c r="C53" t="b">
        <f>IF(NOT(AND(C45,C46,C47,C48,C49)),FALSE,IF(EBCT_type=1,IF(EBCT_I&gt;=1,FALSE,TRUE),IF(EBCT_type=2,IF(EBCT_O&gt;EBCT_I,FALSE,TRUE),TRUE)))</f>
        <v>1</v>
      </c>
      <c r="D53" t="str">
        <f>IF(NOT(AND(C45,C46,C47,C48,C49)),"Contaminant removal inputs incomplete",IF(EBCT_type=1,IF(EBCT_I&gt;=1,"Removal fraction cannot be greater than or equal to 1","OK"),IF(EBCT_type=2,IF(EBCT_O&gt;EBCT_I,"Effluent concentration cannot be greater than influent concentration","OK"),"OK")))</f>
        <v>OK</v>
      </c>
      <c r="E53" s="103"/>
      <c r="F53" s="115"/>
      <c r="G53" s="109"/>
      <c r="H53" s="264" t="str">
        <f>IF(C53,"Contaminant removal inputs OK",D53)</f>
        <v>Contaminant removal inputs OK</v>
      </c>
      <c r="I53" s="101"/>
      <c r="J53" s="101"/>
      <c r="K53" s="101"/>
      <c r="L53" s="101"/>
      <c r="M53" s="101"/>
      <c r="N53" s="101"/>
      <c r="O53" s="18"/>
      <c r="P53" s="18"/>
      <c r="Q53" s="18"/>
      <c r="R53" s="18"/>
      <c r="S53" s="18"/>
      <c r="T53" s="18"/>
      <c r="U53" s="18"/>
      <c r="V53" s="18"/>
      <c r="W53" s="18"/>
      <c r="X53" s="18"/>
      <c r="Y53" s="18"/>
      <c r="Z53" s="18"/>
      <c r="AA53" s="18"/>
      <c r="AB53" s="18"/>
      <c r="AC53" s="18"/>
      <c r="AD53" s="18"/>
      <c r="AE53" s="18"/>
      <c r="AF53" s="18"/>
      <c r="AG53" s="18"/>
    </row>
    <row r="54" spans="1:33">
      <c r="A54" s="18"/>
      <c r="B54"/>
      <c r="C54"/>
      <c r="D54"/>
      <c r="E54" s="360"/>
      <c r="F54" s="361"/>
      <c r="G54" s="362"/>
      <c r="H54" s="363"/>
      <c r="I54" s="101"/>
      <c r="J54" s="101"/>
      <c r="K54" s="101"/>
      <c r="L54" s="101"/>
      <c r="M54" s="101"/>
      <c r="N54" s="101"/>
      <c r="O54" s="18"/>
      <c r="P54" s="18"/>
      <c r="Q54" s="18"/>
      <c r="R54" s="18"/>
      <c r="S54" s="18"/>
      <c r="T54" s="18"/>
      <c r="U54" s="18"/>
      <c r="V54" s="18"/>
      <c r="W54" s="18"/>
      <c r="X54" s="18"/>
      <c r="Y54" s="18"/>
      <c r="Z54" s="18"/>
      <c r="AA54" s="18"/>
      <c r="AB54" s="18"/>
      <c r="AC54" s="18"/>
      <c r="AD54" s="18"/>
      <c r="AE54" s="18"/>
      <c r="AF54" s="18"/>
      <c r="AG54" s="18"/>
    </row>
    <row r="55" spans="1:33">
      <c r="A55" s="18"/>
      <c r="B55" t="b">
        <f>IF(design_type=1,TRUE,FALSE)</f>
        <v>1</v>
      </c>
      <c r="C55"/>
      <c r="D55"/>
      <c r="E55" s="367" t="s">
        <v>16</v>
      </c>
      <c r="F55" s="364"/>
      <c r="G55" s="365"/>
      <c r="H55" s="366"/>
      <c r="I55" s="101"/>
      <c r="J55" s="101"/>
      <c r="K55" s="101"/>
      <c r="L55" s="101"/>
      <c r="M55" s="101"/>
      <c r="N55" s="101"/>
      <c r="O55" s="18"/>
      <c r="P55" s="18"/>
      <c r="Q55" s="18"/>
      <c r="R55" s="18"/>
      <c r="S55" s="18"/>
      <c r="T55" s="18"/>
      <c r="U55" s="18"/>
      <c r="V55" s="18"/>
      <c r="W55" s="18"/>
      <c r="X55" s="18"/>
      <c r="Y55" s="18"/>
      <c r="Z55" s="18"/>
      <c r="AA55" s="18"/>
      <c r="AB55" s="18"/>
      <c r="AC55" s="18"/>
      <c r="AD55" s="18"/>
      <c r="AE55" s="18"/>
      <c r="AF55" s="18"/>
      <c r="AG55" s="18"/>
    </row>
    <row r="56" spans="1:33" ht="13.5" customHeight="1">
      <c r="A56" s="18"/>
      <c r="B56" s="414"/>
      <c r="C56" s="414" t="s">
        <v>3715</v>
      </c>
      <c r="D56"/>
      <c r="E56" s="356" t="s">
        <v>204</v>
      </c>
      <c r="F56" s="97"/>
      <c r="G56" s="929"/>
      <c r="H56" s="118"/>
      <c r="I56" s="101"/>
      <c r="J56" s="101"/>
      <c r="K56" s="101"/>
      <c r="L56" s="101"/>
      <c r="M56" s="101"/>
      <c r="N56" s="101"/>
      <c r="O56" s="18"/>
      <c r="P56" s="18"/>
      <c r="Q56" s="18"/>
      <c r="R56" s="18"/>
      <c r="S56" s="18"/>
      <c r="T56" s="18"/>
      <c r="U56" s="18"/>
      <c r="V56" s="18"/>
      <c r="W56" s="18"/>
      <c r="X56" s="18"/>
      <c r="Y56" s="18"/>
      <c r="Z56" s="18"/>
      <c r="AA56" s="18"/>
      <c r="AB56" s="18"/>
      <c r="AC56" s="18"/>
      <c r="AD56" s="18"/>
      <c r="AE56" s="18"/>
      <c r="AF56" s="18"/>
      <c r="AG56" s="18"/>
    </row>
    <row r="57" spans="1:33">
      <c r="A57" s="18"/>
      <c r="B57"/>
      <c r="C57" t="b">
        <f>IF(NOT(B55),TRUE,NOT(bed_depth=""))</f>
        <v>1</v>
      </c>
      <c r="D57"/>
      <c r="E57" s="275" t="s">
        <v>2217</v>
      </c>
      <c r="F57" s="249" t="s">
        <v>2223</v>
      </c>
      <c r="G57" s="279">
        <v>6.3999999999999995</v>
      </c>
      <c r="H57" s="136" t="s">
        <v>2219</v>
      </c>
      <c r="I57" s="162" t="s">
        <v>1351</v>
      </c>
      <c r="J57" s="101"/>
      <c r="K57" s="101"/>
      <c r="L57" s="101"/>
      <c r="M57" s="101"/>
      <c r="N57" s="101"/>
      <c r="O57" s="18"/>
      <c r="P57" s="18"/>
      <c r="Q57" s="18"/>
      <c r="R57" s="18"/>
      <c r="S57" s="18"/>
      <c r="T57" s="18"/>
      <c r="U57" s="18"/>
      <c r="V57" s="18"/>
      <c r="W57" s="18"/>
      <c r="X57" s="18"/>
      <c r="Y57" s="18"/>
      <c r="Z57" s="18"/>
      <c r="AA57" s="18"/>
      <c r="AB57" s="18"/>
      <c r="AC57" s="18"/>
      <c r="AD57" s="18"/>
      <c r="AE57" s="18"/>
      <c r="AF57" s="18"/>
      <c r="AG57" s="18"/>
    </row>
    <row r="58" spans="1:33">
      <c r="A58" s="18"/>
      <c r="B58"/>
      <c r="C58" t="b">
        <f>IF(NOT(B55),TRUE,NOT(tank_geom_I=""))</f>
        <v>1</v>
      </c>
      <c r="D58"/>
      <c r="E58" s="276" t="s">
        <v>3186</v>
      </c>
      <c r="F58" s="249" t="s">
        <v>3153</v>
      </c>
      <c r="G58" s="277" t="s">
        <v>4642</v>
      </c>
      <c r="H58" s="125" t="s">
        <v>2141</v>
      </c>
      <c r="I58" s="722" t="s">
        <v>3294</v>
      </c>
      <c r="J58" s="101"/>
      <c r="K58" s="101"/>
      <c r="L58" s="101"/>
      <c r="M58" s="101"/>
      <c r="N58" s="101"/>
      <c r="O58" s="18"/>
      <c r="P58" s="18"/>
      <c r="Q58" s="18"/>
      <c r="R58" s="18"/>
      <c r="S58" s="18"/>
      <c r="T58" s="18"/>
      <c r="U58" s="18"/>
      <c r="V58" s="18"/>
      <c r="W58" s="18"/>
      <c r="X58" s="18"/>
      <c r="Y58" s="18"/>
      <c r="Z58" s="18"/>
      <c r="AA58" s="18"/>
      <c r="AB58" s="18"/>
      <c r="AC58" s="18"/>
      <c r="AD58" s="18"/>
      <c r="AE58" s="18"/>
      <c r="AF58" s="18"/>
      <c r="AG58" s="18"/>
    </row>
    <row r="59" spans="1:33">
      <c r="A59" s="18"/>
      <c r="B59"/>
      <c r="C59" t="b">
        <f>IF(NOT(B55),TRUE,NOT(comm_height_length=""))</f>
        <v>1</v>
      </c>
      <c r="D59"/>
      <c r="E59" s="278" t="str">
        <f>IF(tank_geom=1,"Height (straight)",IF(tank_geom=2,"Length (straight)",""))</f>
        <v>Height (straight)</v>
      </c>
      <c r="F59" s="249" t="s">
        <v>2909</v>
      </c>
      <c r="G59" s="279">
        <v>10.5</v>
      </c>
      <c r="H59" s="119" t="str">
        <f>IF(tank_geom&lt;&gt;"","feet","")</f>
        <v>feet</v>
      </c>
      <c r="I59" s="162" t="s">
        <v>3295</v>
      </c>
      <c r="J59" s="101"/>
      <c r="K59" s="101"/>
      <c r="L59" s="101"/>
      <c r="M59" s="101"/>
      <c r="N59" s="101"/>
      <c r="O59" s="18"/>
      <c r="P59" s="18"/>
      <c r="Q59" s="18"/>
      <c r="R59" s="18"/>
      <c r="S59" s="18"/>
      <c r="T59" s="18"/>
      <c r="U59" s="18"/>
      <c r="V59" s="18"/>
      <c r="W59" s="18"/>
      <c r="X59" s="18"/>
      <c r="Y59" s="18"/>
      <c r="Z59" s="18"/>
      <c r="AA59" s="18"/>
      <c r="AB59" s="18"/>
      <c r="AC59" s="18"/>
      <c r="AD59" s="18"/>
      <c r="AE59" s="18"/>
      <c r="AF59" s="18"/>
      <c r="AG59" s="18"/>
    </row>
    <row r="60" spans="1:33">
      <c r="A60" s="18"/>
      <c r="B60"/>
      <c r="C60" t="b">
        <f>IF(NOT(B55),TRUE,NOT(comm_diam=""))</f>
        <v>1</v>
      </c>
      <c r="D60"/>
      <c r="E60" s="278" t="str">
        <f>IF(tank_geom&lt;&gt;"","   Diameter","")</f>
        <v xml:space="preserve">   Diameter</v>
      </c>
      <c r="F60" s="249" t="s">
        <v>2910</v>
      </c>
      <c r="G60" s="280">
        <v>10</v>
      </c>
      <c r="H60" s="119" t="str">
        <f>IF(tank_geom&lt;&gt;"","feet","")</f>
        <v>feet</v>
      </c>
      <c r="I60" s="166" t="s">
        <v>3296</v>
      </c>
      <c r="J60" s="167"/>
      <c r="K60" s="167"/>
      <c r="L60" s="167"/>
      <c r="M60" s="101"/>
      <c r="N60" s="101"/>
      <c r="O60" s="18"/>
      <c r="P60" s="18"/>
      <c r="Q60" s="18"/>
      <c r="R60" s="18"/>
      <c r="S60" s="18"/>
      <c r="T60" s="18"/>
      <c r="U60" s="18"/>
      <c r="V60" s="18"/>
      <c r="W60" s="18"/>
      <c r="X60" s="18"/>
      <c r="Y60" s="18"/>
      <c r="Z60" s="18"/>
      <c r="AA60" s="18"/>
      <c r="AB60" s="18"/>
      <c r="AC60" s="18"/>
      <c r="AD60" s="18"/>
      <c r="AE60" s="18"/>
      <c r="AF60" s="18"/>
      <c r="AG60" s="18"/>
    </row>
    <row r="61" spans="1:33" ht="14">
      <c r="A61" s="18"/>
      <c r="B61"/>
      <c r="C61"/>
      <c r="D61"/>
      <c r="E61" s="122" t="s">
        <v>3154</v>
      </c>
      <c r="F61" s="97"/>
      <c r="G61" s="133"/>
      <c r="H61" s="135"/>
      <c r="I61" s="167"/>
      <c r="J61" s="167"/>
      <c r="K61" s="167"/>
      <c r="L61" s="167"/>
      <c r="M61" s="101"/>
      <c r="N61" s="101"/>
      <c r="O61" s="18"/>
      <c r="P61" s="18"/>
      <c r="Q61" s="18"/>
      <c r="R61" s="18"/>
      <c r="S61" s="18"/>
      <c r="T61" s="18"/>
      <c r="U61" s="18"/>
      <c r="V61" s="18"/>
      <c r="W61" s="18"/>
      <c r="X61" s="18"/>
      <c r="Y61" s="18"/>
      <c r="Z61" s="18"/>
      <c r="AA61" s="18"/>
      <c r="AB61" s="18"/>
      <c r="AC61" s="18"/>
      <c r="AD61" s="18"/>
      <c r="AE61" s="18"/>
      <c r="AF61" s="18"/>
      <c r="AG61" s="18"/>
    </row>
    <row r="62" spans="1:33" ht="14">
      <c r="A62" s="18"/>
      <c r="B62"/>
      <c r="C62"/>
      <c r="D62"/>
      <c r="E62" s="123" t="s">
        <v>3155</v>
      </c>
      <c r="F62" s="97"/>
      <c r="G62" s="134">
        <f>IF(OR(NOT(B55),ISERROR(num_treat_lines)),"",num_treat_lines)</f>
        <v>2</v>
      </c>
      <c r="H62" s="314" t="s">
        <v>3196</v>
      </c>
      <c r="I62" s="167"/>
      <c r="J62" s="167"/>
      <c r="K62" s="167"/>
      <c r="L62" s="167"/>
      <c r="M62" s="101"/>
      <c r="N62" s="101"/>
      <c r="O62" s="18"/>
      <c r="P62" s="18"/>
      <c r="Q62" s="18"/>
      <c r="R62" s="18"/>
      <c r="S62" s="18"/>
      <c r="T62" s="18"/>
      <c r="U62" s="18"/>
      <c r="V62" s="18"/>
      <c r="W62" s="18"/>
      <c r="X62" s="18"/>
      <c r="Y62" s="18"/>
      <c r="Z62" s="18"/>
      <c r="AA62" s="18"/>
      <c r="AB62" s="18"/>
      <c r="AC62" s="18"/>
      <c r="AD62" s="18"/>
      <c r="AE62" s="18"/>
      <c r="AF62" s="18"/>
      <c r="AG62" s="18"/>
    </row>
    <row r="63" spans="1:33" ht="14">
      <c r="A63" s="18"/>
      <c r="B63"/>
      <c r="C63"/>
      <c r="D63"/>
      <c r="E63" s="123" t="s">
        <v>2449</v>
      </c>
      <c r="F63" s="97"/>
      <c r="G63" s="133">
        <f>IF(OR(NOT(B55),ISERROR(op_num_tanks)),"",op_num_tanks)</f>
        <v>4</v>
      </c>
      <c r="H63" s="314" t="s">
        <v>2222</v>
      </c>
      <c r="I63" s="167"/>
      <c r="J63" s="167"/>
      <c r="K63" s="167"/>
      <c r="L63" s="167"/>
      <c r="M63" s="101"/>
      <c r="N63" s="101"/>
      <c r="O63" s="18"/>
      <c r="P63" s="18"/>
      <c r="Q63" s="18"/>
      <c r="R63" s="18"/>
      <c r="S63" s="18"/>
      <c r="T63" s="18"/>
      <c r="U63" s="18"/>
      <c r="V63" s="18"/>
      <c r="W63" s="18"/>
      <c r="X63" s="18"/>
      <c r="Y63" s="18"/>
      <c r="Z63" s="18"/>
      <c r="AA63" s="18"/>
      <c r="AB63" s="18"/>
      <c r="AC63" s="18"/>
      <c r="AD63" s="18"/>
      <c r="AE63" s="18"/>
      <c r="AF63" s="18"/>
      <c r="AG63" s="18"/>
    </row>
    <row r="64" spans="1:33">
      <c r="A64" s="18"/>
      <c r="B64"/>
      <c r="C64"/>
      <c r="D64"/>
      <c r="E64" s="124" t="s">
        <v>3187</v>
      </c>
      <c r="F64" s="97"/>
      <c r="G64" s="133">
        <f>IF(OR(NOT(B55),ISERROR(final_num_tanks)),"",final_num_tanks)</f>
        <v>5</v>
      </c>
      <c r="H64" s="314" t="s">
        <v>2222</v>
      </c>
      <c r="I64" s="139"/>
      <c r="J64" s="138"/>
      <c r="K64" s="138"/>
      <c r="L64" s="138"/>
      <c r="M64" s="18"/>
      <c r="N64" s="18"/>
      <c r="O64" s="18"/>
      <c r="P64" s="18"/>
      <c r="Q64" s="18"/>
      <c r="R64" s="18"/>
      <c r="S64" s="18"/>
      <c r="T64" s="18"/>
      <c r="U64" s="18"/>
      <c r="V64" s="18"/>
      <c r="W64" s="18"/>
      <c r="X64" s="18"/>
      <c r="Y64" s="18"/>
      <c r="Z64" s="18"/>
      <c r="AA64" s="18"/>
      <c r="AB64" s="18"/>
      <c r="AC64" s="18"/>
      <c r="AD64" s="18"/>
      <c r="AE64" s="18"/>
      <c r="AF64" s="18"/>
      <c r="AG64" s="18"/>
    </row>
    <row r="65" spans="1:33">
      <c r="A65" s="18"/>
      <c r="B65"/>
      <c r="C65" t="b">
        <f>IF(NOT(B55),TRUE,IF(NOT(AND(C57:C60)),FALSE,IF(bed_depth&gt;max_bed_depth,FALSE,IF(bed_depth&gt;2*comm_diam,FALSE,IF(bed_depth&lt;min_bed_depth,FALSE,TRUE)))))</f>
        <v>1</v>
      </c>
      <c r="D65" t="str">
        <f>IF(NOT(B55),"OK",IF(NOT(AND(C57:C60)),"Input incomplete",IF(bed_depth&gt;max_bed_depth,"Warning: bed depth too great",IF(bed_depth&gt;2*comm_diam,"Warning: bed depth should be less than twice the vessel diameter",IF(bed_depth&lt;min_bed_depth,"Warning: bed depth too shallow","OK")))))</f>
        <v>OK</v>
      </c>
      <c r="E65" s="130"/>
      <c r="F65" s="97"/>
      <c r="G65" s="929"/>
      <c r="H65" s="126" t="str">
        <f>IF(NOT(B55),"",IF(C65,"Bed Depth OK",D65))</f>
        <v>Bed Depth OK</v>
      </c>
      <c r="I65" s="316" t="s">
        <v>146</v>
      </c>
      <c r="J65" s="138"/>
      <c r="K65" s="138"/>
      <c r="L65" s="138"/>
      <c r="M65" s="18"/>
      <c r="N65" s="18"/>
      <c r="O65" s="18"/>
      <c r="P65" s="18"/>
      <c r="Q65" s="18"/>
      <c r="R65" s="18"/>
      <c r="S65" s="18"/>
      <c r="T65" s="18"/>
      <c r="U65" s="18"/>
      <c r="V65" s="18"/>
      <c r="W65" s="18"/>
      <c r="X65" s="18"/>
      <c r="Y65" s="18"/>
      <c r="Z65" s="18"/>
      <c r="AA65" s="18"/>
      <c r="AB65" s="18"/>
      <c r="AC65" s="18"/>
      <c r="AD65" s="18"/>
      <c r="AE65" s="18"/>
      <c r="AF65" s="18"/>
      <c r="AG65" s="18"/>
    </row>
    <row r="66" spans="1:33">
      <c r="A66" s="18"/>
      <c r="B66"/>
      <c r="C66" t="b">
        <f>IF(NOT(B55),TRUE,IF(NOT(AND(C57:C60)),FALSE,IF(tank_geom=1,IF(IF(AND(comm_diam&gt;=min_diam,comm_diam&lt;=max_diam_std_size),(OR(comm_height_length&gt;=max_comm_height,comm_height_length&gt;max_height)),comm_height_length&gt;max_height),FALSE,IF(IF(AND(comm_diam&gt;=min_diam,comm_diam&lt;=max_diam_std_size),(AND(comm_height_length&gt;=min_comm_height,comm_height_length&gt;=height)),comm_height_length&gt;=height),TRUE,FALSE)),IF(tank_geom=2,IF(comm_height_length&gt;max_length,FALSE,TRUE),FALSE))))</f>
        <v>1</v>
      </c>
      <c r="D66" t="str">
        <f>IF(NOT(B55),"OK",IF(NOT(AND(C57:C60)),"",IF(tank_geom=1,IF(IF(AND(comm_diam&gt;=min_diam,comm_diam&lt;=max_diam_std_size),(OR(comm_height_length&gt;=max_comm_height,comm_height_length&gt;max_height)),comm_height_length&gt;max_height),"Warning: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E66" s="130"/>
      <c r="F66" s="97"/>
      <c r="G66" s="18"/>
      <c r="H66" s="126" t="str">
        <f>IF(NOT(B55),"",D66)</f>
        <v>Height OK</v>
      </c>
      <c r="I66" s="316" t="s">
        <v>2771</v>
      </c>
      <c r="J66" s="138"/>
      <c r="K66" s="138"/>
      <c r="L66" s="138"/>
      <c r="M66" s="18"/>
      <c r="N66" s="18"/>
      <c r="O66" s="18"/>
      <c r="P66" s="18"/>
      <c r="Q66" s="18"/>
      <c r="R66" s="18"/>
      <c r="S66" s="18"/>
      <c r="T66" s="18"/>
      <c r="U66" s="18"/>
      <c r="V66" s="18"/>
      <c r="W66" s="18"/>
      <c r="X66" s="18"/>
      <c r="Y66" s="18"/>
      <c r="Z66" s="18"/>
      <c r="AA66" s="18"/>
      <c r="AB66" s="18"/>
      <c r="AC66" s="18"/>
      <c r="AD66" s="18"/>
      <c r="AE66" s="18"/>
      <c r="AF66" s="18"/>
      <c r="AG66" s="18"/>
    </row>
    <row r="67" spans="1:33">
      <c r="A67" s="18"/>
      <c r="B67"/>
      <c r="C67" t="b">
        <f>IF(NOT(B55),TRUE,IF(ISERROR(final_num_tanks),FALSE,IF(tank_geom=1,IF(comm_diam&gt;max_diam,FALSE,IF(comm_diam&lt;diameter,FALSE,TRUE)),IF(tank_geom=2,IF(comm_diam&gt;max_diam,FALSE,IF(comm_diam&gt;max_height,FALSE,IF(comm_SA&lt;SA,FALSE,IF(comm_diam&lt;height,FALSE,TRUE)))),FALSE))))</f>
        <v>1</v>
      </c>
      <c r="D67" t="str">
        <f>IF(NOT(B55),"OK",IF(ISERROR(final_num_tanks),"",IF(tank_geom=1,IF(comm_diam&gt;max_diam,"Warning: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small","OK")))),""))))</f>
        <v>Diameter OK</v>
      </c>
      <c r="E67" s="130"/>
      <c r="F67" s="97"/>
      <c r="G67" s="18"/>
      <c r="H67" s="126" t="str">
        <f>IF(NOT(B55),"",IF(C67,"Diameter OK",D67))</f>
        <v>Diameter OK</v>
      </c>
      <c r="I67" s="138"/>
      <c r="J67" s="138"/>
      <c r="K67" s="138"/>
      <c r="L67" s="138"/>
      <c r="M67" s="18"/>
      <c r="N67" s="18"/>
      <c r="O67" s="18"/>
      <c r="P67" s="18"/>
      <c r="Q67" s="18"/>
      <c r="R67" s="18"/>
      <c r="S67" s="18"/>
      <c r="T67" s="18"/>
      <c r="U67" s="18"/>
      <c r="V67" s="18"/>
      <c r="W67" s="18"/>
      <c r="X67" s="18"/>
      <c r="Y67" s="18"/>
      <c r="Z67" s="18"/>
      <c r="AA67" s="18"/>
      <c r="AB67" s="18"/>
      <c r="AC67" s="18"/>
      <c r="AD67" s="18"/>
      <c r="AE67" s="18"/>
      <c r="AF67" s="18"/>
      <c r="AG67" s="18"/>
    </row>
    <row r="68" spans="1:33">
      <c r="A68" s="18"/>
      <c r="B68"/>
      <c r="C68" t="b">
        <f>IF(NOT(B55),TRUE,IF(NOT(AND(C57:C60)),FALSE,IF(input_vol_vess&lt;media_volume_expanded,FALSE,TRUE)))</f>
        <v>1</v>
      </c>
      <c r="D68" t="str">
        <f>IF(NOT(B55),"OK",IF(D65="Input incomplete","",IF(input_vol_vess&lt;media_volume_expanded,"Warning: vessel too small for this bed depth","OK")))</f>
        <v>OK</v>
      </c>
      <c r="E68" s="130"/>
      <c r="F68" s="97"/>
      <c r="G68" s="18"/>
      <c r="H68" s="126" t="str">
        <f>IF(NOT(B55),"",IF(C68,"Volume OK",D68))</f>
        <v>Volume OK</v>
      </c>
      <c r="I68" s="138"/>
      <c r="J68" s="138"/>
      <c r="K68" s="138"/>
      <c r="L68" s="138"/>
      <c r="M68" s="18"/>
      <c r="N68" s="18"/>
      <c r="O68" s="18"/>
      <c r="P68" s="18"/>
      <c r="Q68" s="18"/>
      <c r="R68" s="18"/>
      <c r="S68" s="18"/>
      <c r="T68" s="18"/>
      <c r="U68" s="18"/>
      <c r="V68" s="18"/>
      <c r="W68" s="18"/>
      <c r="X68" s="18"/>
      <c r="Y68" s="18"/>
      <c r="Z68" s="18"/>
      <c r="AA68" s="18"/>
      <c r="AB68" s="18"/>
      <c r="AC68" s="18"/>
      <c r="AD68" s="18"/>
      <c r="AE68" s="18"/>
      <c r="AF68" s="18"/>
      <c r="AG68" s="18"/>
    </row>
    <row r="69" spans="1:33">
      <c r="A69" s="18"/>
      <c r="B69"/>
      <c r="C69"/>
      <c r="D69"/>
      <c r="E69" s="130"/>
      <c r="F69" s="97"/>
      <c r="G69" s="929"/>
      <c r="H69" s="126" t="str">
        <f>IF(H65="Input incomplete","",IF(input_vol_vess&lt;media_volume_expanded,CHOOSE(tank_geom,"Hint: reduce bed depth or increase diameter or height","Hint: reduce bed depth or increase diameter"),""))</f>
        <v/>
      </c>
      <c r="I69" s="138"/>
      <c r="J69" s="138"/>
      <c r="K69" s="138"/>
      <c r="L69" s="138"/>
      <c r="M69" s="18"/>
      <c r="N69" s="18"/>
      <c r="O69" s="18"/>
      <c r="P69" s="18"/>
      <c r="Q69" s="18"/>
      <c r="R69" s="18"/>
      <c r="S69" s="18"/>
      <c r="T69" s="18"/>
      <c r="U69" s="18"/>
      <c r="V69" s="18"/>
      <c r="W69" s="18"/>
      <c r="X69" s="18"/>
      <c r="Y69" s="18"/>
      <c r="Z69" s="18"/>
      <c r="AA69" s="18"/>
      <c r="AB69" s="18"/>
      <c r="AC69" s="18"/>
      <c r="AD69" s="18"/>
      <c r="AE69" s="18"/>
      <c r="AF69" s="18"/>
      <c r="AG69" s="18"/>
    </row>
    <row r="70" spans="1:33">
      <c r="A70" s="18"/>
      <c r="B70"/>
      <c r="C70" t="b">
        <f>IF(NOT(B55),TRUE,IF(ISERROR(final_num_tanks),FALSE,IF(tank_geom=1,IF(comm_load_rate&gt;load_max,FALSE,IF(comm_load_rate&lt;load_min,FALSE,TRUE)),IF(comm_load_rate&gt;load_max,FALSE,IF(comm_load_rate&lt;load_min,FALSE,TRUE)))))</f>
        <v>1</v>
      </c>
      <c r="D70" t="str">
        <f>IF(NOT(B55),"OK",IF(ISERROR(final_num_tanks),"",IF(tank_geom=1,IF(comm_load_rate&gt;load_max,"Warning: design exceeds maximum loading",IF(comm_load_rate&lt;load_min,"Warning: design below minimum loading","OK")),IF(comm_load_rate&gt;load_max,"Warning: design exceeds maximum loading",IF(comm_load_rate&lt;load_min,"Warning: design below minimum loading","OK")))))</f>
        <v>OK</v>
      </c>
      <c r="E70" s="130"/>
      <c r="F70" s="97"/>
      <c r="G70" s="929"/>
      <c r="H70" s="126" t="str">
        <f>IF(NOT(B55),"",IF(C70,"Loading OK",D70))</f>
        <v>Loading OK</v>
      </c>
      <c r="I70" s="316" t="s">
        <v>2772</v>
      </c>
      <c r="J70" s="138"/>
      <c r="K70" s="138"/>
      <c r="L70" s="138"/>
      <c r="M70" s="18"/>
      <c r="N70" s="18"/>
      <c r="O70" s="18"/>
      <c r="P70" s="18"/>
      <c r="Q70" s="18"/>
      <c r="R70" s="18"/>
      <c r="S70" s="18"/>
      <c r="T70" s="18"/>
      <c r="U70" s="18"/>
      <c r="V70" s="18"/>
      <c r="W70" s="18"/>
      <c r="X70" s="18"/>
      <c r="Y70" s="18"/>
      <c r="Z70" s="18"/>
      <c r="AA70" s="18"/>
      <c r="AB70" s="18"/>
      <c r="AC70" s="18"/>
      <c r="AD70" s="18"/>
      <c r="AE70" s="18"/>
      <c r="AF70" s="18"/>
      <c r="AG70" s="18"/>
    </row>
    <row r="71" spans="1:33">
      <c r="A71" s="18"/>
      <c r="B71"/>
      <c r="C71"/>
      <c r="D71"/>
      <c r="E71" s="131"/>
      <c r="F71" s="132"/>
      <c r="G71" s="111"/>
      <c r="H71" s="107" t="str">
        <f>IF(OR(NOT(B55),ISERROR(final_num_tanks)),"",IF(tank_geom=1,IF(comm_load_rate&gt;load_max,"Hint: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I71" s="134"/>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c r="A72" s="18"/>
      <c r="B72"/>
      <c r="C72"/>
      <c r="D72"/>
      <c r="E72" s="273"/>
      <c r="F72" s="97"/>
      <c r="G72" s="929"/>
      <c r="H72" s="113"/>
      <c r="I72" s="134"/>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c r="A73" s="18"/>
      <c r="B73" t="b">
        <f>IF(design_type=2,TRUE,FALSE)</f>
        <v>0</v>
      </c>
      <c r="C73"/>
      <c r="D73"/>
      <c r="E73" s="375" t="s">
        <v>2094</v>
      </c>
      <c r="F73" s="376"/>
      <c r="G73" s="930"/>
      <c r="H73" s="377"/>
      <c r="I73" s="134"/>
      <c r="J73" s="18"/>
      <c r="K73" s="18"/>
      <c r="L73" s="18"/>
      <c r="M73" s="18"/>
      <c r="N73" s="18"/>
      <c r="O73" s="18"/>
      <c r="P73" s="18"/>
      <c r="Q73" s="18"/>
      <c r="R73" s="18"/>
      <c r="S73" s="18"/>
      <c r="T73" s="18"/>
      <c r="U73" s="18"/>
      <c r="V73" s="18"/>
      <c r="W73" s="18"/>
      <c r="X73" s="18"/>
      <c r="Y73" s="18"/>
      <c r="Z73" s="18"/>
      <c r="AA73" s="18"/>
      <c r="AB73" s="18"/>
      <c r="AC73" s="18"/>
      <c r="AD73" s="18"/>
      <c r="AE73" s="18"/>
      <c r="AF73" s="18"/>
      <c r="AG73" s="18"/>
    </row>
    <row r="74" spans="1:33">
      <c r="A74" s="18"/>
      <c r="B74" s="414"/>
      <c r="C74" s="414" t="s">
        <v>3715</v>
      </c>
      <c r="D74"/>
      <c r="E74" s="846" t="s">
        <v>203</v>
      </c>
      <c r="F74" s="847"/>
      <c r="G74" s="847"/>
      <c r="H74" s="848"/>
      <c r="I74" s="134"/>
      <c r="J74" s="18"/>
      <c r="K74" s="18"/>
      <c r="L74" s="18"/>
      <c r="M74" s="18"/>
      <c r="N74" s="18"/>
      <c r="O74" s="18"/>
      <c r="P74" s="18"/>
      <c r="Q74" s="18"/>
      <c r="R74" s="18"/>
      <c r="S74" s="18"/>
      <c r="T74" s="18"/>
      <c r="U74" s="18"/>
      <c r="V74" s="18"/>
      <c r="W74" s="18"/>
      <c r="X74" s="18"/>
      <c r="Y74" s="18"/>
      <c r="Z74" s="18"/>
      <c r="AA74" s="18"/>
      <c r="AB74" s="18"/>
      <c r="AC74" s="18"/>
      <c r="AD74" s="18"/>
      <c r="AE74" s="18"/>
      <c r="AF74" s="18"/>
      <c r="AG74" s="18"/>
    </row>
    <row r="75" spans="1:33">
      <c r="A75" s="18"/>
      <c r="B75"/>
      <c r="C75" t="b">
        <f>IF(NOT(B73),TRUE,NOT(basin_width=""))</f>
        <v>1</v>
      </c>
      <c r="D75"/>
      <c r="E75" s="276" t="s">
        <v>3512</v>
      </c>
      <c r="F75" s="249" t="s">
        <v>941</v>
      </c>
      <c r="G75" s="368"/>
      <c r="H75" s="369" t="s">
        <v>2219</v>
      </c>
      <c r="I75" s="379" t="s">
        <v>2125</v>
      </c>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c r="A76" s="18"/>
      <c r="B76"/>
      <c r="C76" t="b">
        <f>IF(NOT(B73),TRUE,NOT(basin_length=""))</f>
        <v>1</v>
      </c>
      <c r="D76"/>
      <c r="E76" s="275" t="s">
        <v>3513</v>
      </c>
      <c r="F76" s="249" t="s">
        <v>1864</v>
      </c>
      <c r="G76" s="368"/>
      <c r="H76" s="369" t="s">
        <v>2219</v>
      </c>
      <c r="I76" s="147"/>
      <c r="J76" s="18"/>
      <c r="K76" s="18"/>
      <c r="L76" s="18"/>
      <c r="M76" s="18"/>
      <c r="N76" s="18"/>
      <c r="O76" s="18"/>
      <c r="P76" s="18"/>
      <c r="Q76" s="18"/>
      <c r="R76" s="18"/>
      <c r="S76" s="18"/>
      <c r="T76" s="18"/>
      <c r="U76" s="18"/>
      <c r="V76" s="18"/>
      <c r="W76" s="18"/>
      <c r="X76" s="18"/>
      <c r="Y76" s="18"/>
      <c r="Z76" s="18"/>
      <c r="AA76" s="18"/>
      <c r="AB76" s="18"/>
      <c r="AC76" s="18"/>
      <c r="AD76" s="18"/>
      <c r="AE76" s="18"/>
      <c r="AF76" s="18"/>
      <c r="AG76" s="18"/>
    </row>
    <row r="77" spans="1:33">
      <c r="A77" s="18"/>
      <c r="B77"/>
      <c r="C77" t="b">
        <f>IF(NOT(B73),TRUE,NOT(basin_op_depth=""))</f>
        <v>1</v>
      </c>
      <c r="D77"/>
      <c r="E77" s="275" t="s">
        <v>2217</v>
      </c>
      <c r="F77" s="249" t="s">
        <v>1865</v>
      </c>
      <c r="G77" s="370"/>
      <c r="H77" s="369" t="s">
        <v>2219</v>
      </c>
      <c r="I77" s="379" t="s">
        <v>1876</v>
      </c>
      <c r="J77" s="18"/>
      <c r="K77" s="18"/>
      <c r="L77" s="18"/>
      <c r="M77" s="18"/>
      <c r="N77" s="18"/>
      <c r="O77" s="18"/>
      <c r="P77" s="18"/>
      <c r="Q77" s="18"/>
      <c r="R77" s="18"/>
      <c r="S77" s="18"/>
      <c r="T77" s="18"/>
      <c r="U77" s="18"/>
      <c r="V77" s="18"/>
      <c r="W77" s="18"/>
      <c r="X77" s="18"/>
      <c r="Y77" s="18"/>
      <c r="Z77" s="18"/>
      <c r="AA77" s="18"/>
      <c r="AB77" s="18"/>
      <c r="AC77" s="18"/>
      <c r="AD77" s="18"/>
      <c r="AE77" s="18"/>
      <c r="AF77" s="18"/>
      <c r="AG77" s="18"/>
    </row>
    <row r="78" spans="1:33" ht="14">
      <c r="A78" s="18"/>
      <c r="B78"/>
      <c r="C78" t="b">
        <f>IF(NOT(B73),TRUE,IF(NOT(AND(C75,C76,C77)),FALSE,IF(basin_op_depth&gt;max_depth,FALSE,IF(basin_op_depth&lt;min_depth,FALSE,TRUE))))</f>
        <v>1</v>
      </c>
      <c r="D78" t="str">
        <f>IF(NOT(B73),"OK",IF(NOT(AND(C75,C76,C77)),"Input incomplete",IF(basin_op_depth&gt;max_depth,"Warning: basin too deep",IF(basin_op_depth&lt;min_depth,"Warning: basin too shallow","OK"))))</f>
        <v>OK</v>
      </c>
      <c r="E78" s="122" t="s">
        <v>3154</v>
      </c>
      <c r="F78" s="97"/>
      <c r="G78" s="372"/>
      <c r="H78" s="126" t="str">
        <f>IF(NOT(B73),"",IF(C78,"Bed Depth OK",D78))</f>
        <v/>
      </c>
      <c r="I78" s="380" t="s">
        <v>146</v>
      </c>
      <c r="J78" s="18"/>
      <c r="K78" s="18"/>
      <c r="L78" s="18"/>
      <c r="M78" s="18"/>
      <c r="N78" s="18"/>
      <c r="O78" s="18"/>
      <c r="P78" s="18"/>
      <c r="Q78" s="18"/>
      <c r="R78" s="18"/>
      <c r="S78" s="18"/>
      <c r="T78" s="18"/>
      <c r="U78" s="18"/>
      <c r="V78" s="18"/>
      <c r="W78" s="18"/>
      <c r="X78" s="18"/>
      <c r="Y78" s="18"/>
      <c r="Z78" s="18"/>
      <c r="AA78" s="18"/>
      <c r="AB78" s="18"/>
      <c r="AC78" s="18"/>
      <c r="AD78" s="18"/>
      <c r="AE78" s="18"/>
      <c r="AF78" s="18"/>
      <c r="AG78" s="18"/>
    </row>
    <row r="79" spans="1:33">
      <c r="A79" s="18"/>
      <c r="B79"/>
      <c r="C79" t="b">
        <f>IF(NOT(B73),TRUE,IF(basin_width&gt;max_width,FALSE,IF(basin_width&lt;min_width,FALSE,TRUE)))</f>
        <v>1</v>
      </c>
      <c r="D79" t="str">
        <f>IF(NOT(B73),"OK",IF(NOT(AND(C75,C76,C77)),"",IF(basin_width&gt;max_width,"Warning: basin too wide",IF(basin_width&lt;min_width,"Warning: basin too narrow","OK"))))</f>
        <v>OK</v>
      </c>
      <c r="E79" s="124" t="s">
        <v>2089</v>
      </c>
      <c r="F79" s="97"/>
      <c r="G79" s="133" t="str">
        <f>IF(OR(NOT(B73),ISERROR(total_num_basins)),"",total_num_basins)</f>
        <v/>
      </c>
      <c r="H79" s="126" t="str">
        <f>IF(NOT(B73),"",IF(C79,"Width OK",D79))</f>
        <v/>
      </c>
      <c r="I79" s="380" t="s">
        <v>2126</v>
      </c>
      <c r="J79" s="18"/>
      <c r="K79" s="18"/>
      <c r="L79" s="18"/>
      <c r="M79" s="18"/>
      <c r="N79" s="18"/>
      <c r="O79" s="18"/>
      <c r="P79" s="18"/>
      <c r="Q79" s="18"/>
      <c r="R79" s="18"/>
      <c r="S79" s="18"/>
      <c r="T79" s="18"/>
      <c r="U79" s="18"/>
      <c r="V79" s="18"/>
      <c r="W79" s="18"/>
      <c r="X79" s="18"/>
      <c r="Y79" s="18"/>
      <c r="Z79" s="18"/>
      <c r="AA79" s="18"/>
      <c r="AB79" s="18"/>
      <c r="AC79" s="18"/>
      <c r="AD79" s="18"/>
      <c r="AE79" s="18"/>
      <c r="AF79" s="18"/>
      <c r="AG79" s="18"/>
    </row>
    <row r="80" spans="1:33">
      <c r="A80" s="18"/>
      <c r="B80"/>
      <c r="C80" t="b">
        <f>IF(NOT(B73),TRUE,IF(basin_length&gt;max_length_g,FALSE,IF(basin_length&lt;min_length_g,FALSE,TRUE)))</f>
        <v>1</v>
      </c>
      <c r="D80" t="str">
        <f>IF(NOT(B73),"OK",IF(ISERROR(total_num_basins),"",IF(H59="input incomplete","",IF(basin_length&gt;max_length_g,"Warning: basin too long",IF(OR(basin_length&lt;min_length_g,basin_length&lt;(min_basin_vol/op_num_basins/basin_op_depth/basin_width)),"Warning: basin too short","OK")))))</f>
        <v>OK</v>
      </c>
      <c r="E80" s="89"/>
      <c r="F80" s="97"/>
      <c r="G80" s="373"/>
      <c r="H80" s="126" t="str">
        <f>IF(NOT(B73),"",IF(C80,"Length OK",D80))</f>
        <v/>
      </c>
      <c r="I80" s="380" t="s">
        <v>536</v>
      </c>
      <c r="J80" s="18"/>
      <c r="K80" s="18"/>
      <c r="L80" s="18"/>
      <c r="M80" s="18"/>
      <c r="N80" s="18"/>
      <c r="O80" s="18"/>
      <c r="P80" s="18"/>
      <c r="Q80" s="18"/>
      <c r="R80" s="18"/>
      <c r="S80" s="18"/>
      <c r="T80" s="18"/>
      <c r="U80" s="18"/>
      <c r="V80" s="18"/>
      <c r="W80" s="18"/>
      <c r="X80" s="18"/>
      <c r="Y80" s="18"/>
      <c r="Z80" s="18"/>
      <c r="AA80" s="18"/>
      <c r="AB80" s="18"/>
      <c r="AC80" s="18"/>
      <c r="AD80" s="18"/>
      <c r="AE80" s="18"/>
      <c r="AF80" s="18"/>
      <c r="AG80" s="18"/>
    </row>
    <row r="81" spans="1:33">
      <c r="A81" s="18"/>
      <c r="B81"/>
      <c r="C81" t="b">
        <f>IF(NOT(B73),TRUE,IF(ISERROR(total_num_basins),"",IF(H78="input incomplete",FALSE,IF(surface_loading_rate_g&gt;load_max,FALSE,IF(surface_loading_rate_g&lt;load_min,FALSE,TRUE)))))</f>
        <v>1</v>
      </c>
      <c r="D81" t="str">
        <f>IF(NOT(B73),"OK",IF(ISERROR(total_num_basins),"",IF(H78="input incomplete","",IF(surface_loading_rate_g&gt;load_max,"Warning: design exceeds maximum loading",IF(surface_loading_rate_g&lt;load_min,"Warning: design below minimum loading","OK")))))</f>
        <v>OK</v>
      </c>
      <c r="E81" s="131"/>
      <c r="F81" s="132"/>
      <c r="G81" s="378"/>
      <c r="H81" s="107" t="str">
        <f>IF(NOT(B73),"",IF(ISERROR(total_num_basins),"",IF(C81,"Loading OK",D81)))</f>
        <v/>
      </c>
      <c r="I81" s="316" t="s">
        <v>2772</v>
      </c>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c r="A82" s="18"/>
      <c r="B82"/>
      <c r="C82"/>
      <c r="D82"/>
      <c r="E82" s="273"/>
      <c r="F82" s="97"/>
      <c r="G82" s="929"/>
      <c r="H82" s="113"/>
      <c r="I82" s="134"/>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38.25" customHeight="1">
      <c r="A83" s="18"/>
      <c r="B83"/>
      <c r="C83" t="b">
        <f>NOT(back_interval_I="")</f>
        <v>1</v>
      </c>
      <c r="D83"/>
      <c r="E83" s="286" t="s">
        <v>4643</v>
      </c>
      <c r="F83" s="287" t="s">
        <v>1293</v>
      </c>
      <c r="G83" s="288">
        <v>168</v>
      </c>
      <c r="H83" s="289" t="s">
        <v>2816</v>
      </c>
      <c r="I83" s="1033" t="s">
        <v>1964</v>
      </c>
      <c r="J83" s="1027"/>
      <c r="K83" s="1027"/>
      <c r="L83" s="1027"/>
      <c r="M83" s="1027"/>
      <c r="N83" s="1027"/>
      <c r="O83" s="1027"/>
      <c r="P83" s="18"/>
      <c r="Q83" s="18"/>
      <c r="R83" s="18"/>
      <c r="S83" s="18"/>
      <c r="T83" s="18"/>
      <c r="U83" s="18"/>
      <c r="V83" s="18"/>
      <c r="W83" s="18"/>
      <c r="X83" s="18"/>
      <c r="Y83" s="18"/>
      <c r="Z83" s="18"/>
      <c r="AA83" s="18"/>
      <c r="AB83" s="18"/>
      <c r="AC83" s="18"/>
      <c r="AD83" s="18"/>
      <c r="AE83" s="18"/>
      <c r="AF83" s="18"/>
      <c r="AG83" s="18"/>
    </row>
    <row r="84" spans="1:33">
      <c r="A84" s="18"/>
      <c r="B84"/>
      <c r="C84" t="b">
        <f>NOT(res_s2_opt_I="")</f>
        <v>1</v>
      </c>
      <c r="D84"/>
      <c r="E84" s="248" t="s">
        <v>4644</v>
      </c>
      <c r="F84" s="249" t="s">
        <v>1778</v>
      </c>
      <c r="G84" s="283" t="s">
        <v>4646</v>
      </c>
      <c r="H84" s="284" t="s">
        <v>2141</v>
      </c>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c r="A85" s="18"/>
      <c r="B85" t="b">
        <f>OR(res_s2_opt=1,res_s2_opt=2)</f>
        <v>0</v>
      </c>
      <c r="C85" t="b">
        <f>IF(B85,NOT(res_s1_opt_I=""),TRUE)</f>
        <v>1</v>
      </c>
      <c r="D85"/>
      <c r="E85" s="248" t="s">
        <v>336</v>
      </c>
      <c r="F85" s="249" t="s">
        <v>1779</v>
      </c>
      <c r="G85" s="283" t="s">
        <v>1377</v>
      </c>
      <c r="H85" s="284" t="str">
        <f>IF(res_s2_opt=3,"always included",IF(OR(res_s2_opt=4,res_s2_opt=5),"not required","&lt;-- pick one"))</f>
        <v>always included</v>
      </c>
      <c r="I85" s="157" t="str">
        <f>IF(OR(res_s2_opt=4,res_s2_opt=5),"",IF(res_s1_opt_I="Holding tank","Model selects between holding tank or basin based upon priority lookups on the Output sheet",""))</f>
        <v/>
      </c>
      <c r="J85" s="18"/>
      <c r="K85" s="18"/>
      <c r="L85" s="18"/>
      <c r="M85" s="18"/>
      <c r="N85" s="18"/>
      <c r="O85" s="18"/>
      <c r="P85" s="18"/>
      <c r="Q85" s="18"/>
      <c r="R85" s="18"/>
      <c r="S85" s="18"/>
      <c r="T85" s="18"/>
      <c r="U85" s="18"/>
      <c r="V85" s="18"/>
      <c r="W85" s="18"/>
      <c r="X85" s="18"/>
      <c r="Y85" s="18"/>
      <c r="Z85" s="18"/>
      <c r="AA85" s="18"/>
      <c r="AB85" s="18"/>
      <c r="AC85" s="18"/>
      <c r="AD85" s="18"/>
      <c r="AE85" s="18"/>
      <c r="AF85" s="18"/>
      <c r="AG85" s="18"/>
    </row>
    <row r="86" spans="1:33" ht="14">
      <c r="A86" s="18"/>
      <c r="B86"/>
      <c r="C86" t="b">
        <f>NOT(regen_type_I="")</f>
        <v>1</v>
      </c>
      <c r="D86"/>
      <c r="E86" s="248" t="s">
        <v>2450</v>
      </c>
      <c r="F86" s="249" t="s">
        <v>1225</v>
      </c>
      <c r="G86" s="317" t="s">
        <v>4647</v>
      </c>
      <c r="H86" s="284" t="s">
        <v>2141</v>
      </c>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row>
    <row r="87" spans="1:33">
      <c r="A87" s="18"/>
      <c r="B87"/>
      <c r="C87" t="b">
        <f>NOT(transfer_method_I="")</f>
        <v>1</v>
      </c>
      <c r="D87"/>
      <c r="E87" s="248" t="s">
        <v>1352</v>
      </c>
      <c r="F87" s="249" t="s">
        <v>352</v>
      </c>
      <c r="G87" s="285" t="s">
        <v>499</v>
      </c>
      <c r="H87" s="284" t="s">
        <v>2141</v>
      </c>
      <c r="I87" s="313"/>
      <c r="J87" s="18"/>
      <c r="K87" s="18"/>
      <c r="L87" s="18"/>
      <c r="M87" s="22"/>
      <c r="N87" s="18"/>
      <c r="O87" s="18"/>
      <c r="P87" s="18"/>
      <c r="Q87" s="18"/>
      <c r="R87" s="18"/>
      <c r="S87" s="18"/>
      <c r="T87" s="18"/>
      <c r="U87" s="18"/>
      <c r="V87" s="18"/>
      <c r="W87" s="18"/>
      <c r="X87" s="18"/>
      <c r="Y87" s="18"/>
      <c r="Z87" s="18"/>
      <c r="AA87" s="18"/>
      <c r="AB87" s="18"/>
      <c r="AC87" s="18"/>
      <c r="AD87" s="18"/>
      <c r="AE87" s="18"/>
      <c r="AF87" s="18"/>
      <c r="AG87" s="18"/>
    </row>
    <row r="88" spans="1:33">
      <c r="A88" s="18"/>
      <c r="B88" t="b">
        <f>OR(res_s2_opt=5,res_s1_opt=1)</f>
        <v>1</v>
      </c>
      <c r="C88" t="b">
        <f>IF(B88,NOT(solids_haz_I=""),TRUE)</f>
        <v>1</v>
      </c>
      <c r="D88"/>
      <c r="E88" s="248" t="str">
        <f>IF(res_s2_opt=5,"Characteristics of evaporation pond solids","Characteristics of holding tank solids")</f>
        <v>Characteristics of holding tank solids</v>
      </c>
      <c r="F88" s="249" t="s">
        <v>1780</v>
      </c>
      <c r="G88" s="285" t="s">
        <v>4648</v>
      </c>
      <c r="H88" s="284" t="str">
        <f>IF(OR(res_s1_opt=1,res_s2_opt=5),"&lt;-- pick one","not required")</f>
        <v>&lt;-- pick one</v>
      </c>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row>
    <row r="89" spans="1:33">
      <c r="A89" s="18"/>
      <c r="B89"/>
      <c r="C89" t="b">
        <f>IF(NOT(AND(C83:C88)),FALSE,TRUE)</f>
        <v>1</v>
      </c>
      <c r="D89" t="str">
        <f>IF(NOT(AND(C83:C88)),"Input incomplete","OK")</f>
        <v>OK</v>
      </c>
      <c r="E89" s="91"/>
      <c r="F89" s="111"/>
      <c r="G89" s="141"/>
      <c r="H89" s="381" t="str">
        <f>IF(C89,"Residuals Input OK",D89)</f>
        <v>Residuals Input OK</v>
      </c>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row>
    <row r="90" spans="1:33">
      <c r="A90" s="18"/>
      <c r="B90"/>
      <c r="C90"/>
      <c r="D90"/>
      <c r="E90" s="18"/>
      <c r="F90" s="18"/>
      <c r="G90" s="274"/>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row>
    <row r="91" spans="1:33" s="803" customFormat="1">
      <c r="A91" s="294"/>
      <c r="B91" s="358"/>
      <c r="C91" s="358"/>
      <c r="D91" s="358"/>
      <c r="E91" s="286" t="s">
        <v>4645</v>
      </c>
      <c r="F91" s="287" t="s">
        <v>399</v>
      </c>
      <c r="G91" s="295"/>
      <c r="H91" s="289" t="s">
        <v>2689</v>
      </c>
      <c r="I91" s="157" t="s">
        <v>747</v>
      </c>
      <c r="J91" s="294"/>
      <c r="K91" s="294"/>
      <c r="L91" s="294"/>
      <c r="M91" s="294"/>
      <c r="N91" s="294"/>
      <c r="O91" s="294"/>
      <c r="P91" s="294"/>
      <c r="Q91" s="294"/>
      <c r="R91" s="294"/>
      <c r="S91" s="294"/>
      <c r="T91" s="294"/>
      <c r="U91" s="294"/>
      <c r="V91" s="294"/>
      <c r="W91" s="294"/>
      <c r="X91" s="294"/>
      <c r="Y91" s="294"/>
      <c r="Z91" s="294"/>
      <c r="AA91" s="294"/>
      <c r="AB91" s="294"/>
      <c r="AC91" s="294"/>
      <c r="AD91" s="294"/>
      <c r="AE91" s="294"/>
      <c r="AF91" s="294"/>
      <c r="AG91" s="294"/>
    </row>
    <row r="92" spans="1:33" ht="18" customHeight="1">
      <c r="A92" s="18"/>
      <c r="B92"/>
      <c r="C92"/>
      <c r="D92"/>
      <c r="E92" s="143" t="s">
        <v>2624</v>
      </c>
      <c r="F92" s="3"/>
      <c r="G92" s="144">
        <f>IF(ISERROR(booster_pumps),"",booster_pumps)</f>
        <v>1</v>
      </c>
      <c r="H92" s="145" t="s">
        <v>2689</v>
      </c>
      <c r="I92" s="134"/>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c r="A93" s="18"/>
      <c r="B93"/>
      <c r="C93"/>
      <c r="D93"/>
      <c r="E93" s="248" t="s">
        <v>2118</v>
      </c>
      <c r="F93" s="249" t="s">
        <v>2226</v>
      </c>
      <c r="G93" s="290"/>
      <c r="H93" s="284" t="s">
        <v>2222</v>
      </c>
      <c r="I93" s="157" t="s">
        <v>501</v>
      </c>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8.75" customHeight="1">
      <c r="A94" s="18"/>
      <c r="B94"/>
      <c r="C94"/>
      <c r="D94"/>
      <c r="E94" s="143" t="s">
        <v>2119</v>
      </c>
      <c r="F94" s="3"/>
      <c r="G94" s="144">
        <f>IF(design_type=1,IF(ISERROR(NRD),"",NRD),IF(ISERROR(NRD_g),"",NRD_g))</f>
        <v>1</v>
      </c>
      <c r="H94" s="315" t="s">
        <v>2222</v>
      </c>
      <c r="I94" s="134"/>
      <c r="J94" s="18"/>
      <c r="K94" s="18"/>
      <c r="L94" s="18"/>
      <c r="M94" s="18"/>
      <c r="N94" s="18"/>
      <c r="O94" s="18"/>
      <c r="P94" s="18"/>
      <c r="Q94" s="18"/>
      <c r="R94" s="18"/>
      <c r="S94" s="18"/>
      <c r="T94" s="18"/>
      <c r="U94" s="18"/>
      <c r="V94" s="18"/>
      <c r="W94" s="18"/>
      <c r="X94" s="18"/>
      <c r="Y94" s="18"/>
      <c r="Z94" s="18"/>
      <c r="AA94" s="18"/>
      <c r="AB94" s="18"/>
      <c r="AC94" s="18"/>
      <c r="AD94" s="18"/>
      <c r="AE94" s="18"/>
      <c r="AF94" s="18"/>
      <c r="AG94" s="18"/>
    </row>
    <row r="95" spans="1:33">
      <c r="A95" s="18"/>
      <c r="B95"/>
      <c r="C95"/>
      <c r="D95"/>
      <c r="E95" s="404" t="s">
        <v>847</v>
      </c>
      <c r="F95" s="249" t="s">
        <v>2633</v>
      </c>
      <c r="G95" s="291"/>
      <c r="H95" s="292" t="s">
        <v>2631</v>
      </c>
      <c r="I95" s="157" t="s">
        <v>1554</v>
      </c>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c r="A96" s="18"/>
      <c r="B96"/>
      <c r="C96"/>
      <c r="D96"/>
      <c r="E96" s="404" t="s">
        <v>848</v>
      </c>
      <c r="F96" s="249" t="s">
        <v>849</v>
      </c>
      <c r="G96" s="291"/>
      <c r="H96" s="292" t="s">
        <v>2631</v>
      </c>
      <c r="I96" s="157" t="s">
        <v>2733</v>
      </c>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ht="14">
      <c r="A97" s="18"/>
      <c r="B97"/>
      <c r="C97"/>
      <c r="D97"/>
      <c r="E97" s="143" t="s">
        <v>1555</v>
      </c>
      <c r="F97" s="427"/>
      <c r="G97" s="432">
        <f>IF(ISERROR(backwash_pumps),"",backwash_pumps)</f>
        <v>2</v>
      </c>
      <c r="H97" s="428" t="s">
        <v>2222</v>
      </c>
      <c r="I97" s="157"/>
      <c r="J97" s="18"/>
      <c r="K97" s="18"/>
      <c r="L97" s="18"/>
      <c r="M97" s="18"/>
      <c r="N97" s="18"/>
      <c r="O97" s="18"/>
      <c r="P97" s="18"/>
      <c r="Q97" s="18"/>
      <c r="R97" s="18"/>
      <c r="S97" s="18"/>
      <c r="T97" s="18"/>
      <c r="U97" s="18"/>
      <c r="V97" s="18"/>
      <c r="W97" s="18"/>
      <c r="X97" s="18"/>
      <c r="Y97" s="18"/>
      <c r="Z97" s="18"/>
      <c r="AA97" s="18"/>
      <c r="AB97" s="18"/>
      <c r="AC97" s="18"/>
      <c r="AD97" s="18"/>
      <c r="AE97" s="18"/>
      <c r="AF97" s="18"/>
      <c r="AG97" s="18"/>
    </row>
    <row r="98" spans="1:33" ht="19.5" customHeight="1">
      <c r="A98" s="18"/>
      <c r="B98"/>
      <c r="C98"/>
      <c r="D98"/>
      <c r="E98" s="430" t="str">
        <f>"# of backwash "&amp;IF(OUTPUT!L53=1,"basins","tanks")</f>
        <v># of backwash tanks</v>
      </c>
      <c r="F98" s="431"/>
      <c r="G98" s="433">
        <f>IF(ISERROR(num_back_tanks),"",IF(OUTPUT!L53=1,back_basins,num_back_tanks))</f>
        <v>1</v>
      </c>
      <c r="H98" s="429" t="s">
        <v>2222</v>
      </c>
      <c r="I98" s="157"/>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c r="A99" s="18"/>
      <c r="B99"/>
      <c r="C99"/>
      <c r="D99"/>
      <c r="E99" s="248" t="s">
        <v>692</v>
      </c>
      <c r="F99" s="249" t="s">
        <v>2632</v>
      </c>
      <c r="G99" s="293"/>
      <c r="H99" s="292" t="s">
        <v>2631</v>
      </c>
      <c r="I99" s="158" t="s">
        <v>502</v>
      </c>
      <c r="J99" s="18"/>
      <c r="K99" s="18"/>
      <c r="L99" s="18"/>
      <c r="M99" s="18"/>
      <c r="N99" s="18"/>
      <c r="O99" s="18"/>
      <c r="P99" s="18"/>
      <c r="Q99" s="18"/>
      <c r="R99" s="18"/>
      <c r="S99" s="18"/>
      <c r="T99" s="18"/>
      <c r="U99" s="18"/>
      <c r="V99" s="18"/>
      <c r="W99" s="18"/>
      <c r="X99" s="18"/>
      <c r="Y99" s="18"/>
      <c r="Z99" s="18"/>
      <c r="AA99" s="18"/>
      <c r="AB99" s="18"/>
      <c r="AC99" s="18"/>
      <c r="AD99" s="18"/>
      <c r="AE99" s="18"/>
      <c r="AF99" s="18"/>
      <c r="AG99" s="18"/>
    </row>
    <row r="100" spans="1:33">
      <c r="A100" s="18"/>
      <c r="B100"/>
      <c r="C100"/>
      <c r="D100"/>
      <c r="E100" s="248" t="s">
        <v>1342</v>
      </c>
      <c r="F100" s="249" t="s">
        <v>693</v>
      </c>
      <c r="G100" s="293"/>
      <c r="H100" s="292" t="s">
        <v>2631</v>
      </c>
      <c r="I100" s="157" t="s">
        <v>503</v>
      </c>
      <c r="J100" s="140"/>
      <c r="K100" s="140"/>
      <c r="L100" s="140"/>
      <c r="M100" s="18"/>
      <c r="N100" s="18"/>
      <c r="O100" s="18"/>
      <c r="P100" s="18"/>
      <c r="Q100" s="18"/>
      <c r="R100" s="18"/>
      <c r="S100" s="18"/>
      <c r="T100" s="18"/>
      <c r="U100" s="18"/>
      <c r="V100" s="18"/>
      <c r="W100" s="18"/>
      <c r="X100" s="18"/>
      <c r="Y100" s="18"/>
      <c r="Z100" s="18"/>
      <c r="AA100" s="18"/>
      <c r="AB100" s="18"/>
      <c r="AC100" s="18"/>
      <c r="AD100" s="18"/>
      <c r="AE100" s="18"/>
      <c r="AF100" s="18"/>
      <c r="AG100" s="18"/>
    </row>
    <row r="101" spans="1:33">
      <c r="A101" s="18"/>
      <c r="B101"/>
      <c r="C101"/>
      <c r="D101"/>
      <c r="E101" s="836" t="s">
        <v>3493</v>
      </c>
      <c r="F101" s="837" t="s">
        <v>3494</v>
      </c>
      <c r="G101" s="838" t="s">
        <v>3492</v>
      </c>
      <c r="H101" s="839" t="s">
        <v>2631</v>
      </c>
      <c r="I101" s="158" t="s">
        <v>3495</v>
      </c>
      <c r="J101" s="140"/>
      <c r="K101" s="140"/>
      <c r="L101" s="140"/>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c r="A102" s="18"/>
      <c r="B102"/>
      <c r="C102"/>
      <c r="D102"/>
      <c r="E102" s="840" t="s">
        <v>3496</v>
      </c>
      <c r="F102" s="841" t="s">
        <v>3497</v>
      </c>
      <c r="G102" s="838"/>
      <c r="H102" s="443" t="s">
        <v>2631</v>
      </c>
      <c r="I102" s="158" t="s">
        <v>3498</v>
      </c>
      <c r="J102" s="140"/>
      <c r="K102" s="140"/>
      <c r="L102" s="140"/>
      <c r="M102" s="18"/>
      <c r="N102" s="18"/>
      <c r="O102" s="18"/>
      <c r="P102" s="18"/>
      <c r="Q102" s="18"/>
      <c r="R102" s="18"/>
      <c r="S102" s="18"/>
      <c r="T102" s="18"/>
      <c r="U102" s="18"/>
      <c r="V102" s="18"/>
      <c r="W102" s="18"/>
      <c r="X102" s="18"/>
      <c r="Y102" s="18"/>
      <c r="Z102" s="18"/>
      <c r="AA102" s="18"/>
      <c r="AB102" s="18"/>
      <c r="AC102" s="18"/>
      <c r="AD102" s="18"/>
      <c r="AE102" s="18"/>
      <c r="AF102" s="18"/>
      <c r="AG102" s="18"/>
    </row>
    <row r="103" spans="1:33">
      <c r="A103" s="18"/>
      <c r="B103"/>
      <c r="C103"/>
      <c r="D103"/>
      <c r="E103" s="836" t="s">
        <v>3499</v>
      </c>
      <c r="F103" s="837" t="s">
        <v>3500</v>
      </c>
      <c r="G103" s="838" t="s">
        <v>3492</v>
      </c>
      <c r="H103" s="839" t="s">
        <v>2631</v>
      </c>
      <c r="I103" s="158" t="s">
        <v>3501</v>
      </c>
      <c r="J103" s="140"/>
      <c r="K103" s="140"/>
      <c r="L103" s="140"/>
      <c r="M103" s="18"/>
      <c r="N103" s="18"/>
      <c r="O103" s="18"/>
      <c r="P103" s="18"/>
      <c r="Q103" s="18"/>
      <c r="R103" s="18"/>
      <c r="S103" s="18"/>
      <c r="T103" s="18"/>
      <c r="U103" s="18"/>
      <c r="V103" s="18"/>
      <c r="W103" s="18"/>
      <c r="X103" s="18"/>
      <c r="Y103" s="18"/>
      <c r="Z103" s="18"/>
      <c r="AA103" s="18"/>
      <c r="AB103" s="18"/>
      <c r="AC103" s="18"/>
      <c r="AD103" s="18"/>
      <c r="AE103" s="18"/>
      <c r="AF103" s="18"/>
      <c r="AG103" s="18"/>
    </row>
    <row r="104" spans="1:33" ht="14">
      <c r="A104" s="18"/>
      <c r="B104"/>
      <c r="C104"/>
      <c r="D104"/>
      <c r="E104" s="741" t="s">
        <v>3315</v>
      </c>
      <c r="F104" s="466"/>
      <c r="G104" s="737" t="str">
        <f>IF(component_level=2,"high cost",IF(component_level=1,"mid cost","low cost"))</f>
        <v>low cost</v>
      </c>
      <c r="H104" s="738"/>
      <c r="I104" s="157"/>
      <c r="J104" s="140"/>
      <c r="K104" s="140"/>
      <c r="L104" s="140"/>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ht="14">
      <c r="A105" s="18"/>
      <c r="B105"/>
      <c r="C105"/>
      <c r="D105"/>
      <c r="E105" s="742" t="s">
        <v>3314</v>
      </c>
      <c r="F105" s="466"/>
      <c r="G105" s="739" t="str">
        <f>IF(manual=1,"manual",IF(manual=2,"semi-automated",IF(manual=3,"fully automated")))</f>
        <v>manual</v>
      </c>
      <c r="H105" s="740"/>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row>
    <row r="106" spans="1:33">
      <c r="A106" s="18"/>
      <c r="B106"/>
      <c r="C106"/>
      <c r="D106"/>
      <c r="E106" s="462" t="s">
        <v>2172</v>
      </c>
      <c r="F106" s="463" t="s">
        <v>2173</v>
      </c>
      <c r="G106" s="464"/>
      <c r="H106" s="465" t="s">
        <v>2631</v>
      </c>
      <c r="I106" s="178" t="s">
        <v>154</v>
      </c>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row>
    <row r="107" spans="1:33">
      <c r="A107" s="18"/>
      <c r="B107"/>
      <c r="C107" t="b">
        <f>IF(ISERROR(pump_rating),FALSE,IF(pump_rating&gt;max_pump_size,FALSE,TRUE))</f>
        <v>1</v>
      </c>
      <c r="D107" s="18" t="str">
        <f>IF(ISERROR(pump_rating),"Input incomplete",IF(pump_rating&gt;max_pump_size,"Warning: insufficent number of pumps.","OK"))</f>
        <v>OK</v>
      </c>
      <c r="E107" s="91"/>
      <c r="F107" s="111"/>
      <c r="G107" s="111"/>
      <c r="H107" s="296" t="str">
        <f>IF(C107,"Optional Inputs OK",D107)</f>
        <v>Optional Inputs OK</v>
      </c>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row>
    <row r="108" spans="1:33">
      <c r="A108" s="18"/>
      <c r="B108"/>
      <c r="C108"/>
      <c r="D10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row>
    <row r="109" spans="1:33">
      <c r="A109" s="18"/>
      <c r="B109"/>
      <c r="C109"/>
      <c r="D109"/>
      <c r="E109" s="435" t="s">
        <v>1023</v>
      </c>
      <c r="F109" s="436" t="s">
        <v>1020</v>
      </c>
      <c r="G109" s="437"/>
      <c r="H109" s="289" t="s">
        <v>2631</v>
      </c>
      <c r="I109" s="178" t="s">
        <v>1022</v>
      </c>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row>
    <row r="110" spans="1:33" ht="26.25" customHeight="1">
      <c r="A110" s="18"/>
      <c r="B110" t="b">
        <f>IF(retrofit=1,TRUE,FALSE)</f>
        <v>0</v>
      </c>
      <c r="C110" t="b">
        <f>IF(B110,NOT(r_freund_type_I=""),TRUE)</f>
        <v>1</v>
      </c>
      <c r="D110"/>
      <c r="E110" s="444" t="s">
        <v>1033</v>
      </c>
      <c r="F110" s="441" t="s">
        <v>1026</v>
      </c>
      <c r="G110" s="442"/>
      <c r="H110" s="443" t="str">
        <f>IF(retrofit=1,"&lt;-- pick one","not required")</f>
        <v>not required</v>
      </c>
      <c r="I110" s="1026" t="s">
        <v>2687</v>
      </c>
      <c r="J110" s="1027"/>
      <c r="K110" s="1027"/>
      <c r="L110" s="1027"/>
      <c r="M110" s="1027"/>
      <c r="N110" s="1027"/>
      <c r="O110" s="18"/>
      <c r="P110" s="18"/>
      <c r="Q110" s="18"/>
      <c r="R110" s="18"/>
      <c r="S110" s="18"/>
      <c r="T110" s="18"/>
      <c r="U110" s="18"/>
      <c r="V110" s="18"/>
      <c r="W110" s="18"/>
      <c r="X110" s="18"/>
      <c r="Y110" s="18"/>
      <c r="Z110" s="18"/>
      <c r="AA110" s="18"/>
      <c r="AB110" s="18"/>
      <c r="AC110" s="18"/>
      <c r="AD110" s="18"/>
      <c r="AE110" s="18"/>
      <c r="AF110" s="18"/>
      <c r="AG110" s="18"/>
    </row>
    <row r="111" spans="1:33">
      <c r="A111" s="18"/>
      <c r="B111" t="b">
        <f>IF(retrofit=1,TRUE,FALSE)</f>
        <v>0</v>
      </c>
      <c r="C111" t="b">
        <f>IF(B111,NOT(r_freund_1=""),TRUE)</f>
        <v>1</v>
      </c>
      <c r="D111"/>
      <c r="E111" s="439" t="str">
        <f>CHOOSE(r_freund_type,"New carbon life","1st Freundlich constant (Kf)","Sorption capacity","New carbon life")</f>
        <v>New carbon life</v>
      </c>
      <c r="F111" s="249" t="s">
        <v>1027</v>
      </c>
      <c r="G111" s="285"/>
      <c r="H111" s="440" t="str">
        <f>IF(retrofit=0,"not required",CHOOSE(r_freund_type,"months","(ug/g)(L/ug)^(1/n)","mg/g","bed volumes"))</f>
        <v>not required</v>
      </c>
      <c r="I111" s="1026"/>
      <c r="J111" s="1027"/>
      <c r="K111" s="1027"/>
      <c r="L111" s="1027"/>
      <c r="M111" s="1027"/>
      <c r="N111" s="1027"/>
      <c r="O111" s="18"/>
      <c r="P111" s="18"/>
      <c r="Q111" s="18"/>
      <c r="R111" s="18"/>
      <c r="S111" s="18"/>
      <c r="T111" s="18"/>
      <c r="U111" s="18"/>
      <c r="V111" s="18"/>
      <c r="W111" s="18"/>
      <c r="X111" s="18"/>
      <c r="Y111" s="18"/>
      <c r="Z111" s="18"/>
      <c r="AA111" s="18"/>
      <c r="AB111" s="18"/>
      <c r="AC111" s="18"/>
      <c r="AD111" s="18"/>
      <c r="AE111" s="18"/>
      <c r="AF111" s="18"/>
      <c r="AG111" s="18"/>
    </row>
    <row r="112" spans="1:33">
      <c r="A112" s="18"/>
      <c r="B112" t="b">
        <f>AND(retrofit=1,OR(r_freund_type=2,r_freund_type=3))</f>
        <v>0</v>
      </c>
      <c r="C112" t="b">
        <f>IF(B112,NOT(r_freund_2=""),TRUE)</f>
        <v>1</v>
      </c>
      <c r="D112"/>
      <c r="E112" s="439" t="str">
        <f>CHOOSE(r_freund_type,"no additonal input required","2nd Freundlich constant (1/n)","Bohart and Adams quasi-chemical rate constant (k)","no additonal input required")</f>
        <v>no additonal input required</v>
      </c>
      <c r="F112" s="249" t="s">
        <v>1028</v>
      </c>
      <c r="G112" s="285"/>
      <c r="H112" s="440" t="str">
        <f>CHOOSE(r_freund_type,"not required","dimensionless","L/mg-sec","not required")</f>
        <v>not required</v>
      </c>
      <c r="I112" s="1026"/>
      <c r="J112" s="1027"/>
      <c r="K112" s="1027"/>
      <c r="L112" s="1027"/>
      <c r="M112" s="1027"/>
      <c r="N112" s="1027"/>
      <c r="O112" s="18"/>
      <c r="P112" s="18"/>
      <c r="Q112" s="18"/>
      <c r="R112" s="18"/>
      <c r="S112" s="18"/>
      <c r="T112" s="18"/>
      <c r="U112" s="18"/>
      <c r="V112" s="18"/>
      <c r="W112" s="18"/>
      <c r="X112" s="18"/>
      <c r="Y112" s="18"/>
      <c r="Z112" s="18"/>
      <c r="AA112" s="18"/>
      <c r="AB112" s="18"/>
      <c r="AC112" s="18"/>
      <c r="AD112" s="18"/>
      <c r="AE112" s="18"/>
      <c r="AF112" s="18"/>
      <c r="AG112" s="18"/>
    </row>
    <row r="113" spans="1:33">
      <c r="A113" s="18"/>
      <c r="B113" t="b">
        <f>AND(retrofit=1,OR(r_freund_type=2,r_freund_type=3))</f>
        <v>0</v>
      </c>
      <c r="C113" t="b">
        <f>IF(B113,NOT(r_C_0=""),TRUE)</f>
        <v>1</v>
      </c>
      <c r="D113"/>
      <c r="E113" s="439" t="str">
        <f>CHOOSE(r_freund_type,"no additonal input required","New influent concentration","New influent concentration","no additonal input required")</f>
        <v>no additonal input required</v>
      </c>
      <c r="F113" s="249" t="s">
        <v>1029</v>
      </c>
      <c r="G113" s="285"/>
      <c r="H113" s="440" t="str">
        <f>CHOOSE(r_freund_type,"not required","mg/L","mg/L","not required")</f>
        <v>not required</v>
      </c>
      <c r="I113" s="1026"/>
      <c r="J113" s="1027"/>
      <c r="K113" s="1027"/>
      <c r="L113" s="1027"/>
      <c r="M113" s="1027"/>
      <c r="N113" s="1027"/>
      <c r="O113" s="18"/>
      <c r="P113" s="18"/>
      <c r="Q113" s="18"/>
      <c r="R113" s="18"/>
      <c r="S113" s="18"/>
      <c r="T113" s="18"/>
      <c r="U113" s="18"/>
      <c r="V113" s="18"/>
      <c r="W113" s="18"/>
      <c r="X113" s="18"/>
      <c r="Y113" s="18"/>
      <c r="Z113" s="18"/>
      <c r="AA113" s="18"/>
      <c r="AB113" s="18"/>
      <c r="AC113" s="18"/>
      <c r="AD113" s="18"/>
      <c r="AE113" s="18"/>
      <c r="AF113" s="18"/>
      <c r="AG113" s="18"/>
    </row>
    <row r="114" spans="1:33">
      <c r="A114" s="18"/>
      <c r="B114" t="b">
        <f>AND(retrofit=1,OR(r_freund_type=2,r_freund_type=3))</f>
        <v>0</v>
      </c>
      <c r="C114" t="b">
        <f>IF(B114,NOT(r_C_b=""),TRUE)</f>
        <v>1</v>
      </c>
      <c r="D114"/>
      <c r="E114" s="439" t="str">
        <f>CHOOSE(r_freund_type,"no additonal input required","New breakthrough concentration","New breakthrough concentration","no additonal input required")</f>
        <v>no additonal input required</v>
      </c>
      <c r="F114" s="249" t="s">
        <v>1030</v>
      </c>
      <c r="G114" s="285"/>
      <c r="H114" s="440" t="str">
        <f>CHOOSE(r_freund_type,"not required","mg/L","mg/L","not required")</f>
        <v>not required</v>
      </c>
      <c r="I114" s="1026"/>
      <c r="J114" s="1027"/>
      <c r="K114" s="1027"/>
      <c r="L114" s="1027"/>
      <c r="M114" s="1027"/>
      <c r="N114" s="1027"/>
      <c r="O114" s="18"/>
      <c r="P114" s="18"/>
      <c r="Q114" s="18"/>
      <c r="R114" s="18"/>
      <c r="S114" s="18"/>
      <c r="T114" s="18"/>
      <c r="U114" s="18"/>
      <c r="V114" s="18"/>
      <c r="W114" s="18"/>
      <c r="X114" s="18"/>
      <c r="Y114" s="18"/>
      <c r="Z114" s="18"/>
      <c r="AA114" s="18"/>
      <c r="AB114" s="18"/>
      <c r="AC114" s="18"/>
      <c r="AD114" s="18"/>
      <c r="AE114" s="18"/>
      <c r="AF114" s="18"/>
      <c r="AG114" s="18"/>
    </row>
    <row r="115" spans="1:33">
      <c r="A115" s="18"/>
      <c r="B115"/>
      <c r="C115"/>
      <c r="D115"/>
      <c r="E115" s="102" t="s">
        <v>974</v>
      </c>
      <c r="F115" s="259"/>
      <c r="G115" s="281"/>
      <c r="H115" s="282"/>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row>
    <row r="116" spans="1:33">
      <c r="A116" s="18"/>
      <c r="B116"/>
      <c r="C116"/>
      <c r="D116"/>
      <c r="E116" s="103" t="s">
        <v>741</v>
      </c>
      <c r="F116" s="115"/>
      <c r="G116" s="117" t="str">
        <f>IF(AND(C117,retrofit=1),r_bed_life,"")</f>
        <v/>
      </c>
      <c r="H116" s="261" t="s">
        <v>2498</v>
      </c>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c r="A117" s="18"/>
      <c r="B117"/>
      <c r="C117" t="b">
        <f>IF(NOT(AND(C110,C111,C112,C113,C114)),FALSE,IF(AND(r_freund_type=2,r_C_b&gt;=r_C_0),FALSE,TRUE))</f>
        <v>1</v>
      </c>
      <c r="D117" s="160" t="str">
        <f>IF(NOT(AND(C110,C111,C112,C113,C114)),"Retrofit input incomplete",IF(AND(r_freund_type=2,r_C_b&gt;=r_C_0),"Warning: breakthrough concentration should be less than influent concentration","OK"))</f>
        <v>OK</v>
      </c>
      <c r="E117" s="142"/>
      <c r="F117" s="132"/>
      <c r="G117" s="73"/>
      <c r="H117" s="137" t="str">
        <f>IF(C117,"Retrofit input OK",D117)</f>
        <v>Retrofit input OK</v>
      </c>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c r="A118" s="18"/>
      <c r="B118"/>
      <c r="C118"/>
      <c r="D1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row>
    <row r="119" spans="1:33">
      <c r="A119" s="18"/>
      <c r="B119"/>
      <c r="C119"/>
      <c r="D119"/>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row>
    <row r="120" spans="1:33">
      <c r="A120" s="18"/>
      <c r="B120"/>
      <c r="C120"/>
      <c r="D120"/>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row>
    <row r="121" spans="1:33">
      <c r="A121" s="18"/>
      <c r="B121"/>
      <c r="C121"/>
      <c r="D121"/>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row>
    <row r="122" spans="1:33">
      <c r="A122" s="18"/>
      <c r="B122"/>
      <c r="C122"/>
      <c r="D122"/>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row>
  </sheetData>
  <mergeCells count="6">
    <mergeCell ref="I110:N114"/>
    <mergeCell ref="G19:H20"/>
    <mergeCell ref="I19:I20"/>
    <mergeCell ref="I83:O83"/>
    <mergeCell ref="I36:J37"/>
    <mergeCell ref="I46:J48"/>
  </mergeCells>
  <phoneticPr fontId="0" type="noConversion"/>
  <conditionalFormatting sqref="H34">
    <cfRule type="expression" dxfId="138" priority="2" stopIfTrue="1">
      <formula>NOT($C34)</formula>
    </cfRule>
  </conditionalFormatting>
  <conditionalFormatting sqref="E88">
    <cfRule type="expression" dxfId="137" priority="3" stopIfTrue="1">
      <formula>IF($B$88,FALSE,TRUE)</formula>
    </cfRule>
  </conditionalFormatting>
  <conditionalFormatting sqref="H89">
    <cfRule type="cellIs" dxfId="136" priority="4" stopIfTrue="1" operator="equal">
      <formula>"Residuals Input OK"</formula>
    </cfRule>
  </conditionalFormatting>
  <conditionalFormatting sqref="H78 H65">
    <cfRule type="cellIs" dxfId="135" priority="5" stopIfTrue="1" operator="equal">
      <formula>"bed depth ok"</formula>
    </cfRule>
  </conditionalFormatting>
  <conditionalFormatting sqref="H66">
    <cfRule type="cellIs" dxfId="134" priority="6" stopIfTrue="1" operator="equal">
      <formula>"height ok"</formula>
    </cfRule>
    <cfRule type="cellIs" dxfId="133" priority="7" stopIfTrue="1" operator="equal">
      <formula>"length ok"</formula>
    </cfRule>
  </conditionalFormatting>
  <conditionalFormatting sqref="H67">
    <cfRule type="cellIs" dxfId="132" priority="8" stopIfTrue="1" operator="equal">
      <formula>"diameter ok"</formula>
    </cfRule>
  </conditionalFormatting>
  <conditionalFormatting sqref="H71">
    <cfRule type="cellIs" dxfId="131" priority="9" stopIfTrue="1" operator="equal">
      <formula>"height ok"</formula>
    </cfRule>
  </conditionalFormatting>
  <conditionalFormatting sqref="H68:H69">
    <cfRule type="cellIs" dxfId="130" priority="10" stopIfTrue="1" operator="equal">
      <formula>"volume ok"</formula>
    </cfRule>
  </conditionalFormatting>
  <conditionalFormatting sqref="H70 H81">
    <cfRule type="cellIs" dxfId="129" priority="11" stopIfTrue="1" operator="equal">
      <formula>"loading ok"</formula>
    </cfRule>
  </conditionalFormatting>
  <conditionalFormatting sqref="H85 E85">
    <cfRule type="expression" dxfId="128" priority="12" stopIfTrue="1">
      <formula>res_s2_opt&gt;2</formula>
    </cfRule>
  </conditionalFormatting>
  <conditionalFormatting sqref="G85">
    <cfRule type="expression" dxfId="127" priority="13" stopIfTrue="1">
      <formula>res_s2_opt&gt;2</formula>
    </cfRule>
  </conditionalFormatting>
  <conditionalFormatting sqref="H88">
    <cfRule type="expression" dxfId="126" priority="14" stopIfTrue="1">
      <formula>IF($B$88,FALSE,TRUE)</formula>
    </cfRule>
  </conditionalFormatting>
  <conditionalFormatting sqref="H107">
    <cfRule type="cellIs" dxfId="125" priority="15" stopIfTrue="1" operator="equal">
      <formula>"Optional Inputs OK"</formula>
    </cfRule>
  </conditionalFormatting>
  <conditionalFormatting sqref="G88">
    <cfRule type="expression" dxfId="124" priority="16" stopIfTrue="1">
      <formula>IF($B$88,FALSE,TRUE)</formula>
    </cfRule>
  </conditionalFormatting>
  <conditionalFormatting sqref="H53">
    <cfRule type="cellIs" dxfId="123" priority="17" stopIfTrue="1" operator="equal">
      <formula>"Contaminant removal inputs OK"</formula>
    </cfRule>
  </conditionalFormatting>
  <conditionalFormatting sqref="G38:G40">
    <cfRule type="expression" dxfId="122" priority="18" stopIfTrue="1">
      <formula>OR(freund_type=1,freund_type=4)</formula>
    </cfRule>
  </conditionalFormatting>
  <conditionalFormatting sqref="H38:H41 H115">
    <cfRule type="expression" dxfId="121" priority="19" stopIfTrue="1">
      <formula>OR(freund_type=1,freund_type=4)</formula>
    </cfRule>
  </conditionalFormatting>
  <conditionalFormatting sqref="H43">
    <cfRule type="cellIs" dxfId="120" priority="20" stopIfTrue="1" operator="equal">
      <formula>"Carbon input ok"</formula>
    </cfRule>
  </conditionalFormatting>
  <conditionalFormatting sqref="E47 H47">
    <cfRule type="expression" dxfId="119" priority="21" stopIfTrue="1">
      <formula>EBCT_type&lt;&gt;2</formula>
    </cfRule>
  </conditionalFormatting>
  <conditionalFormatting sqref="G47">
    <cfRule type="expression" dxfId="118" priority="22" stopIfTrue="1">
      <formula>EBCT_type&lt;&gt;2</formula>
    </cfRule>
  </conditionalFormatting>
  <conditionalFormatting sqref="H48 E48">
    <cfRule type="expression" dxfId="117" priority="23" stopIfTrue="1">
      <formula>EBCT_type=3</formula>
    </cfRule>
  </conditionalFormatting>
  <conditionalFormatting sqref="G48">
    <cfRule type="expression" dxfId="116" priority="24" stopIfTrue="1">
      <formula>EBCT_type=3</formula>
    </cfRule>
  </conditionalFormatting>
  <conditionalFormatting sqref="H35">
    <cfRule type="cellIs" dxfId="115" priority="25" stopIfTrue="1" operator="equal">
      <formula>"Flow Input OK"</formula>
    </cfRule>
  </conditionalFormatting>
  <conditionalFormatting sqref="E38:E40">
    <cfRule type="expression" dxfId="114" priority="26" stopIfTrue="1">
      <formula>OR(freund_type=1,freund_type=4)</formula>
    </cfRule>
  </conditionalFormatting>
  <conditionalFormatting sqref="F23">
    <cfRule type="cellIs" dxfId="113" priority="27" stopIfTrue="1" operator="equal">
      <formula>"Results are ready (no need to click button)"</formula>
    </cfRule>
  </conditionalFormatting>
  <conditionalFormatting sqref="G19:H20">
    <cfRule type="cellIs" dxfId="112" priority="28" stopIfTrue="1" operator="notEqual">
      <formula>"input complete -- results ready"</formula>
    </cfRule>
  </conditionalFormatting>
  <conditionalFormatting sqref="H79">
    <cfRule type="cellIs" dxfId="111" priority="29" stopIfTrue="1" operator="equal">
      <formula>"width ok"</formula>
    </cfRule>
  </conditionalFormatting>
  <conditionalFormatting sqref="H80">
    <cfRule type="cellIs" dxfId="110" priority="30" stopIfTrue="1" operator="equal">
      <formula>"length ok"</formula>
    </cfRule>
  </conditionalFormatting>
  <conditionalFormatting sqref="E73 E55">
    <cfRule type="expression" dxfId="109" priority="31" stopIfTrue="1">
      <formula>NOT(B55)</formula>
    </cfRule>
  </conditionalFormatting>
  <conditionalFormatting sqref="E74:H74 E56">
    <cfRule type="expression" dxfId="108" priority="32" stopIfTrue="1">
      <formula>NOT(B55)</formula>
    </cfRule>
  </conditionalFormatting>
  <conditionalFormatting sqref="E75">
    <cfRule type="expression" dxfId="107" priority="33" stopIfTrue="1">
      <formula>NOT(B73)</formula>
    </cfRule>
  </conditionalFormatting>
  <conditionalFormatting sqref="G75">
    <cfRule type="expression" dxfId="106" priority="34" stopIfTrue="1">
      <formula>NOT(B73)</formula>
    </cfRule>
  </conditionalFormatting>
  <conditionalFormatting sqref="H75">
    <cfRule type="expression" dxfId="105" priority="35" stopIfTrue="1">
      <formula>NOT(B73)</formula>
    </cfRule>
  </conditionalFormatting>
  <conditionalFormatting sqref="I75:I76">
    <cfRule type="expression" dxfId="104" priority="36" stopIfTrue="1">
      <formula>NOT(B73)</formula>
    </cfRule>
  </conditionalFormatting>
  <conditionalFormatting sqref="G76">
    <cfRule type="expression" dxfId="103" priority="37" stopIfTrue="1">
      <formula>NOT(B73)</formula>
    </cfRule>
  </conditionalFormatting>
  <conditionalFormatting sqref="G77">
    <cfRule type="expression" dxfId="102" priority="38" stopIfTrue="1">
      <formula>NOT(B73)</formula>
    </cfRule>
  </conditionalFormatting>
  <conditionalFormatting sqref="E76">
    <cfRule type="expression" dxfId="101" priority="39" stopIfTrue="1">
      <formula>NOT(B73)</formula>
    </cfRule>
  </conditionalFormatting>
  <conditionalFormatting sqref="E77">
    <cfRule type="expression" dxfId="100" priority="40" stopIfTrue="1">
      <formula>NOT(B73)</formula>
    </cfRule>
  </conditionalFormatting>
  <conditionalFormatting sqref="E78">
    <cfRule type="expression" dxfId="99" priority="41" stopIfTrue="1">
      <formula>NOT(B73)</formula>
    </cfRule>
  </conditionalFormatting>
  <conditionalFormatting sqref="E79">
    <cfRule type="expression" dxfId="98" priority="42" stopIfTrue="1">
      <formula>NOT(B73)</formula>
    </cfRule>
  </conditionalFormatting>
  <conditionalFormatting sqref="H76">
    <cfRule type="expression" dxfId="97" priority="43" stopIfTrue="1">
      <formula>NOT(B73)</formula>
    </cfRule>
  </conditionalFormatting>
  <conditionalFormatting sqref="H77">
    <cfRule type="expression" dxfId="96" priority="44" stopIfTrue="1">
      <formula>NOT(B73)</formula>
    </cfRule>
  </conditionalFormatting>
  <conditionalFormatting sqref="E57:E64">
    <cfRule type="expression" dxfId="95" priority="45" stopIfTrue="1">
      <formula>NOT(B$55)</formula>
    </cfRule>
  </conditionalFormatting>
  <conditionalFormatting sqref="H57:H60 H63:H64">
    <cfRule type="expression" dxfId="94" priority="46" stopIfTrue="1">
      <formula>NOT(B$55)</formula>
    </cfRule>
  </conditionalFormatting>
  <conditionalFormatting sqref="H62">
    <cfRule type="expression" dxfId="93" priority="47" stopIfTrue="1">
      <formula>NOT(B55)</formula>
    </cfRule>
  </conditionalFormatting>
  <conditionalFormatting sqref="G57:G60">
    <cfRule type="expression" dxfId="92" priority="48" stopIfTrue="1">
      <formula>NOT(B$55)</formula>
    </cfRule>
  </conditionalFormatting>
  <conditionalFormatting sqref="I77">
    <cfRule type="expression" dxfId="91" priority="49" stopIfTrue="1">
      <formula>NOT(B73)</formula>
    </cfRule>
  </conditionalFormatting>
  <conditionalFormatting sqref="I57:I60">
    <cfRule type="expression" dxfId="90" priority="50" stopIfTrue="1">
      <formula>NOT(B$55)</formula>
    </cfRule>
  </conditionalFormatting>
  <conditionalFormatting sqref="E49">
    <cfRule type="expression" dxfId="89" priority="51" stopIfTrue="1">
      <formula>NOT($B$49)</formula>
    </cfRule>
  </conditionalFormatting>
  <conditionalFormatting sqref="G49">
    <cfRule type="expression" dxfId="88" priority="52" stopIfTrue="1">
      <formula>NOT(B49)</formula>
    </cfRule>
  </conditionalFormatting>
  <conditionalFormatting sqref="H49">
    <cfRule type="expression" dxfId="87" priority="53" stopIfTrue="1">
      <formula>NOT(B49)</formula>
    </cfRule>
  </conditionalFormatting>
  <conditionalFormatting sqref="E110:E114">
    <cfRule type="expression" dxfId="86" priority="54" stopIfTrue="1">
      <formula>NOT(B110)</formula>
    </cfRule>
  </conditionalFormatting>
  <conditionalFormatting sqref="G110:G114">
    <cfRule type="expression" dxfId="85" priority="55" stopIfTrue="1">
      <formula>NOT(B110)</formula>
    </cfRule>
  </conditionalFormatting>
  <conditionalFormatting sqref="H110:H114">
    <cfRule type="expression" dxfId="84" priority="56" stopIfTrue="1">
      <formula>NOT(B110)</formula>
    </cfRule>
  </conditionalFormatting>
  <conditionalFormatting sqref="H117">
    <cfRule type="cellIs" dxfId="83" priority="57" stopIfTrue="1" operator="equal">
      <formula>"Retrofit input ok"</formula>
    </cfRule>
  </conditionalFormatting>
  <conditionalFormatting sqref="E23">
    <cfRule type="cellIs" dxfId="82" priority="58" stopIfTrue="1" operator="equal">
      <formula>"Results are ready (no need to click button)"</formula>
    </cfRule>
  </conditionalFormatting>
  <conditionalFormatting sqref="I45">
    <cfRule type="expression" dxfId="81" priority="1">
      <formula>IF(contam_type=3,TRUE,FALSE)</formula>
    </cfRule>
  </conditionalFormatting>
  <dataValidations count="20">
    <dataValidation type="list" allowBlank="1" showInputMessage="1" showErrorMessage="1" sqref="G87" xr:uid="{00000000-0002-0000-0300-000000000000}">
      <formula1>"eductors,manual transfer"</formula1>
    </dataValidation>
    <dataValidation type="list" allowBlank="1" showInputMessage="1" showErrorMessage="1" sqref="G84" xr:uid="{00000000-0002-0000-0300-000001000000}">
      <formula1>"surface water, POTW, recycle, septic system, evaporation pond"</formula1>
    </dataValidation>
    <dataValidation type="list" allowBlank="1" showInputMessage="1" showErrorMessage="1" sqref="G85" xr:uid="{00000000-0002-0000-0300-000002000000}">
      <formula1>res_s1_valid</formula1>
    </dataValidation>
    <dataValidation type="list" allowBlank="1" showInputMessage="1" showErrorMessage="1" sqref="G88" xr:uid="{00000000-0002-0000-0300-000003000000}">
      <formula1>res_sol_validation</formula1>
    </dataValidation>
    <dataValidation type="list" allowBlank="1" showInputMessage="1" showErrorMessage="1" sqref="G95" xr:uid="{00000000-0002-0000-0300-000004000000}">
      <formula1>backwash_pump_valid</formula1>
    </dataValidation>
    <dataValidation type="list" allowBlank="1" showInputMessage="1" showErrorMessage="1" sqref="G99" xr:uid="{00000000-0002-0000-0300-000005000000}">
      <formula1>comp_level_valid</formula1>
    </dataValidation>
    <dataValidation type="list" allowBlank="1" showInputMessage="1" showErrorMessage="1" sqref="G100" xr:uid="{00000000-0002-0000-0300-000006000000}">
      <formula1>system_automation_valid</formula1>
    </dataValidation>
    <dataValidation type="decimal" operator="greaterThan" allowBlank="1" showInputMessage="1" showErrorMessage="1" sqref="G83 G59:G60 G57 G29:G30 G37:G40 G46:G48 G75:G77 G111:G114" xr:uid="{00000000-0002-0000-0300-000007000000}">
      <formula1>0</formula1>
    </dataValidation>
    <dataValidation type="whole" operator="greaterThanOrEqual" allowBlank="1" showInputMessage="1" showErrorMessage="1" sqref="G91 G93" xr:uid="{00000000-0002-0000-0300-000008000000}">
      <formula1>0</formula1>
    </dataValidation>
    <dataValidation type="list" allowBlank="1" showInputMessage="1" showErrorMessage="1" sqref="G86" xr:uid="{00000000-0002-0000-0300-000009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G58" xr:uid="{00000000-0002-0000-0300-00000A000000}">
      <formula1>"upright,horizontal"</formula1>
    </dataValidation>
    <dataValidation type="list" allowBlank="1" showInputMessage="1" showErrorMessage="1" sqref="G36 G110" xr:uid="{00000000-0002-0000-0300-00000B000000}">
      <formula1>"carbon life value- months, calculation from Freundlich isotherm, carbon life value- bed volumes"</formula1>
    </dataValidation>
    <dataValidation type="list" allowBlank="1" showInputMessage="1" showErrorMessage="1" sqref="G45" xr:uid="{00000000-0002-0000-0300-00000C000000}">
      <formula1>"contaminant removal %, influent and effluent concentrations, EBCT"</formula1>
    </dataValidation>
    <dataValidation type="whole" operator="greaterThan" allowBlank="1" showInputMessage="1" showErrorMessage="1" sqref="G49" xr:uid="{00000000-0002-0000-0300-00000D000000}">
      <formula1>0</formula1>
    </dataValidation>
    <dataValidation type="list" allowBlank="1" showInputMessage="1" showErrorMessage="1" error="Invalid selection" sqref="H29" xr:uid="{00000000-0002-0000-0300-00000E000000}">
      <formula1>"MGD,gpm"</formula1>
    </dataValidation>
    <dataValidation type="list" allowBlank="1" showInputMessage="1" showErrorMessage="1" error="Invalid selection" sqref="H30" xr:uid="{00000000-0002-0000-0300-00000F000000}">
      <formula1>"MGD,gpm,fraction of design flow"</formula1>
    </dataValidation>
    <dataValidation type="list" allowBlank="1" showInputMessage="1" showErrorMessage="1" sqref="G96" xr:uid="{00000000-0002-0000-0300-000010000000}">
      <formula1>backwash_storage_valid</formula1>
    </dataValidation>
    <dataValidation type="list" allowBlank="1" showInputMessage="1" showErrorMessage="1" sqref="G109" xr:uid="{00000000-0002-0000-0300-000011000000}">
      <formula1>retrofit_valid</formula1>
    </dataValidation>
    <dataValidation type="list" allowBlank="1" showInputMessage="1" showErrorMessage="1" sqref="G106" xr:uid="{00000000-0002-0000-0300-000012000000}">
      <formula1>add_on_valid</formula1>
    </dataValidation>
    <dataValidation type="list" allowBlank="1" showInputMessage="1" showErrorMessage="1" sqref="G101:G103" xr:uid="{00000000-0002-0000-0300-000013000000}">
      <formula1>yes_no_valid</formula1>
    </dataValidation>
  </dataValidations>
  <hyperlinks>
    <hyperlink ref="I22" location="link_output" display="Results summary (see OUTPUT sheet for details)" xr:uid="{00000000-0004-0000-0300-000000000000}"/>
    <hyperlink ref="I34" location="bp_pct" display="Adjust bypass percentage" xr:uid="{00000000-0004-0000-0300-000001000000}"/>
    <hyperlink ref="I66" location="link_dim_constraints" display="Adjust vessel size constraints" xr:uid="{00000000-0004-0000-0300-000002000000}"/>
    <hyperlink ref="I70" location="link_load" display="Adjust loading constraints" xr:uid="{00000000-0004-0000-0300-000003000000}"/>
    <hyperlink ref="I65" location="link_bed_constraints" display="Adjust bed depth constraints" xr:uid="{00000000-0004-0000-0300-000004000000}"/>
    <hyperlink ref="I78" location="link_bed_depth" display="Adjust bed depth constraints" xr:uid="{00000000-0004-0000-0300-000005000000}"/>
    <hyperlink ref="I79" location="link_width" display="Adjust width constraints" xr:uid="{00000000-0004-0000-0300-000006000000}"/>
    <hyperlink ref="I80" location="link_length" display="Adjust length constraints" xr:uid="{00000000-0004-0000-0300-000007000000}"/>
    <hyperlink ref="I81" location="link_load" display="Adjust loading constraints" xr:uid="{00000000-0004-0000-0300-000008000000}"/>
    <hyperlink ref="I38" location="'Freundlich Reference'!A1" display="See Freundlich isotherm reference data" xr:uid="{00000000-0004-0000-0300-000009000000}"/>
    <hyperlink ref="I39" location="'PFAS Reference'!A1" display="See PFAS breakthrough reference data" xr:uid="{00000000-0004-0000-0300-00000A000000}"/>
  </hyperlinks>
  <pageMargins left="0.75" right="0.75" top="1" bottom="1" header="0.5" footer="0.5"/>
  <pageSetup orientation="landscape" r:id="rId1"/>
  <headerFooter alignWithMargins="0"/>
  <ignoredErrors>
    <ignoredError sqref="G32:H3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402" r:id="rId4" name="ddResinChoice">
              <controlPr defaultSize="0" autoLine="0" autoPict="0" macro="[0]!ddMediaType_Change" altText="Select Design Type">
                <anchor moveWithCells="1">
                  <from>
                    <xdr:col>5</xdr:col>
                    <xdr:colOff>0</xdr:colOff>
                    <xdr:row>6</xdr:row>
                    <xdr:rowOff>12700</xdr:rowOff>
                  </from>
                  <to>
                    <xdr:col>6</xdr:col>
                    <xdr:colOff>2311400</xdr:colOff>
                    <xdr:row>7</xdr:row>
                    <xdr:rowOff>12700</xdr:rowOff>
                  </to>
                </anchor>
              </controlPr>
            </control>
          </mc:Choice>
        </mc:AlternateContent>
        <mc:AlternateContent xmlns:mc="http://schemas.openxmlformats.org/markup-compatibility/2006">
          <mc:Choice Requires="x14">
            <control shapeId="7405" r:id="rId5" name="Drop Down 237">
              <controlPr defaultSize="0" autoLine="0" autoPict="0" macro="[0]!ddMediaType_Change" altText="Select Target Contaminant">
                <anchor moveWithCells="1">
                  <from>
                    <xdr:col>5</xdr:col>
                    <xdr:colOff>0</xdr:colOff>
                    <xdr:row>3</xdr:row>
                    <xdr:rowOff>38100</xdr:rowOff>
                  </from>
                  <to>
                    <xdr:col>6</xdr:col>
                    <xdr:colOff>2311400</xdr:colOff>
                    <xdr:row>4</xdr:row>
                    <xdr:rowOff>76200</xdr:rowOff>
                  </to>
                </anchor>
              </controlPr>
            </control>
          </mc:Choice>
        </mc:AlternateContent>
        <mc:AlternateContent xmlns:mc="http://schemas.openxmlformats.org/markup-compatibility/2006">
          <mc:Choice Requires="x14">
            <control shapeId="7450" r:id="rId6" name="cmdCompSelect">
              <controlPr defaultSize="0" print="0" autoFill="0" autoPict="0" macro="[0]!Sheet1.cmdCompSelect_Click">
                <anchor moveWithCells="1" sizeWithCells="1">
                  <from>
                    <xdr:col>6</xdr:col>
                    <xdr:colOff>50800</xdr:colOff>
                    <xdr:row>20</xdr:row>
                    <xdr:rowOff>165100</xdr:rowOff>
                  </from>
                  <to>
                    <xdr:col>8</xdr:col>
                    <xdr:colOff>0</xdr:colOff>
                    <xdr:row>25</xdr:row>
                    <xdr:rowOff>12700</xdr:rowOff>
                  </to>
                </anchor>
              </controlPr>
            </control>
          </mc:Choice>
        </mc:AlternateContent>
        <mc:AlternateContent xmlns:mc="http://schemas.openxmlformats.org/markup-compatibility/2006">
          <mc:Choice Requires="x14">
            <control shapeId="7452" r:id="rId7" name="CommandButton1">
              <controlPr defaultSize="0" print="0" autoFill="0" autoPict="0" macro="[0]!Sheet1.CommandButton1_Click">
                <anchor moveWithCells="1" sizeWithCells="1">
                  <from>
                    <xdr:col>6</xdr:col>
                    <xdr:colOff>25400</xdr:colOff>
                    <xdr:row>8</xdr:row>
                    <xdr:rowOff>25400</xdr:rowOff>
                  </from>
                  <to>
                    <xdr:col>6</xdr:col>
                    <xdr:colOff>2044700</xdr:colOff>
                    <xdr:row>9</xdr:row>
                    <xdr:rowOff>12700</xdr:rowOff>
                  </to>
                </anchor>
              </controlPr>
            </control>
          </mc:Choice>
        </mc:AlternateContent>
        <mc:AlternateContent xmlns:mc="http://schemas.openxmlformats.org/markup-compatibility/2006">
          <mc:Choice Requires="x14">
            <control shapeId="7453" r:id="rId8" name="CommandButton2">
              <controlPr defaultSize="0" print="0" autoFill="0" autoPict="0" macro="[0]!Sheet1.CommandButton2_Click">
                <anchor moveWithCells="1" sizeWithCells="1">
                  <from>
                    <xdr:col>6</xdr:col>
                    <xdr:colOff>25400</xdr:colOff>
                    <xdr:row>9</xdr:row>
                    <xdr:rowOff>25400</xdr:rowOff>
                  </from>
                  <to>
                    <xdr:col>6</xdr:col>
                    <xdr:colOff>2044700</xdr:colOff>
                    <xdr:row>10</xdr:row>
                    <xdr:rowOff>12700</xdr:rowOff>
                  </to>
                </anchor>
              </controlPr>
            </control>
          </mc:Choice>
        </mc:AlternateContent>
        <mc:AlternateContent xmlns:mc="http://schemas.openxmlformats.org/markup-compatibility/2006">
          <mc:Choice Requires="x14">
            <control shapeId="7454" r:id="rId9" name="CommandButton3">
              <controlPr defaultSize="0" print="0" autoFill="0" autoPict="0" macro="[0]!Sheet1.CommandButton3_Click">
                <anchor moveWithCells="1" sizeWithCells="1">
                  <from>
                    <xdr:col>6</xdr:col>
                    <xdr:colOff>25400</xdr:colOff>
                    <xdr:row>10</xdr:row>
                    <xdr:rowOff>25400</xdr:rowOff>
                  </from>
                  <to>
                    <xdr:col>6</xdr:col>
                    <xdr:colOff>2044700</xdr:colOff>
                    <xdr:row>11</xdr:row>
                    <xdr:rowOff>12700</xdr:rowOff>
                  </to>
                </anchor>
              </controlPr>
            </control>
          </mc:Choice>
        </mc:AlternateContent>
        <mc:AlternateContent xmlns:mc="http://schemas.openxmlformats.org/markup-compatibility/2006">
          <mc:Choice Requires="x14">
            <control shapeId="7455" r:id="rId10" name="CommandButton4">
              <controlPr defaultSize="0" print="0" autoFill="0" autoPict="0" macro="[0]!Sheet1.CommandButton4_Click">
                <anchor moveWithCells="1" sizeWithCells="1">
                  <from>
                    <xdr:col>6</xdr:col>
                    <xdr:colOff>25400</xdr:colOff>
                    <xdr:row>11</xdr:row>
                    <xdr:rowOff>25400</xdr:rowOff>
                  </from>
                  <to>
                    <xdr:col>6</xdr:col>
                    <xdr:colOff>2044700</xdr:colOff>
                    <xdr:row>12</xdr:row>
                    <xdr:rowOff>12700</xdr:rowOff>
                  </to>
                </anchor>
              </controlPr>
            </control>
          </mc:Choice>
        </mc:AlternateContent>
        <mc:AlternateContent xmlns:mc="http://schemas.openxmlformats.org/markup-compatibility/2006">
          <mc:Choice Requires="x14">
            <control shapeId="7456" r:id="rId11" name="CommandButton5">
              <controlPr defaultSize="0" print="0" autoFill="0" autoPict="0" macro="[0]!Sheet1.CommandButton5_Click">
                <anchor moveWithCells="1" sizeWithCells="1">
                  <from>
                    <xdr:col>6</xdr:col>
                    <xdr:colOff>25400</xdr:colOff>
                    <xdr:row>12</xdr:row>
                    <xdr:rowOff>25400</xdr:rowOff>
                  </from>
                  <to>
                    <xdr:col>6</xdr:col>
                    <xdr:colOff>2044700</xdr:colOff>
                    <xdr:row>13</xdr:row>
                    <xdr:rowOff>12700</xdr:rowOff>
                  </to>
                </anchor>
              </controlPr>
            </control>
          </mc:Choice>
        </mc:AlternateContent>
        <mc:AlternateContent xmlns:mc="http://schemas.openxmlformats.org/markup-compatibility/2006">
          <mc:Choice Requires="x14">
            <control shapeId="7457" r:id="rId12" name="CommandButton6">
              <controlPr defaultSize="0" print="0" autoFill="0" autoPict="0" macro="[0]!Sheet1.CommandButton6_Click">
                <anchor moveWithCells="1" sizeWithCells="1">
                  <from>
                    <xdr:col>6</xdr:col>
                    <xdr:colOff>25400</xdr:colOff>
                    <xdr:row>13</xdr:row>
                    <xdr:rowOff>25400</xdr:rowOff>
                  </from>
                  <to>
                    <xdr:col>6</xdr:col>
                    <xdr:colOff>2044700</xdr:colOff>
                    <xdr:row>14</xdr:row>
                    <xdr:rowOff>12700</xdr:rowOff>
                  </to>
                </anchor>
              </controlPr>
            </control>
          </mc:Choice>
        </mc:AlternateContent>
        <mc:AlternateContent xmlns:mc="http://schemas.openxmlformats.org/markup-compatibility/2006">
          <mc:Choice Requires="x14">
            <control shapeId="7458" r:id="rId13" name="CommandButton7">
              <controlPr defaultSize="0" print="0" autoFill="0" autoPict="0" macro="[0]!Sheet1.CommandButton7_Click">
                <anchor moveWithCells="1" sizeWithCells="1">
                  <from>
                    <xdr:col>6</xdr:col>
                    <xdr:colOff>25400</xdr:colOff>
                    <xdr:row>14</xdr:row>
                    <xdr:rowOff>25400</xdr:rowOff>
                  </from>
                  <to>
                    <xdr:col>6</xdr:col>
                    <xdr:colOff>2044700</xdr:colOff>
                    <xdr:row>15</xdr:row>
                    <xdr:rowOff>12700</xdr:rowOff>
                  </to>
                </anchor>
              </controlPr>
            </control>
          </mc:Choice>
        </mc:AlternateContent>
        <mc:AlternateContent xmlns:mc="http://schemas.openxmlformats.org/markup-compatibility/2006">
          <mc:Choice Requires="x14">
            <control shapeId="7459" r:id="rId14" name="CommandButton8">
              <controlPr defaultSize="0" print="0" autoFill="0" autoPict="0" macro="[0]!Sheet1.CommandButton8_Click">
                <anchor moveWithCells="1" sizeWithCells="1">
                  <from>
                    <xdr:col>6</xdr:col>
                    <xdr:colOff>25400</xdr:colOff>
                    <xdr:row>15</xdr:row>
                    <xdr:rowOff>25400</xdr:rowOff>
                  </from>
                  <to>
                    <xdr:col>6</xdr:col>
                    <xdr:colOff>2044700</xdr:colOff>
                    <xdr:row>16</xdr:row>
                    <xdr:rowOff>12700</xdr:rowOff>
                  </to>
                </anchor>
              </controlPr>
            </control>
          </mc:Choice>
        </mc:AlternateContent>
        <mc:AlternateContent xmlns:mc="http://schemas.openxmlformats.org/markup-compatibility/2006">
          <mc:Choice Requires="x14">
            <control shapeId="7460" r:id="rId15" name="cmdClearDesign">
              <controlPr defaultSize="0" print="0" autoFill="0" autoPict="0" macro="[0]!Sheet1.cmdClearDesign_Click">
                <anchor moveWithCells="1" sizeWithCells="1">
                  <from>
                    <xdr:col>6</xdr:col>
                    <xdr:colOff>25400</xdr:colOff>
                    <xdr:row>16</xdr:row>
                    <xdr:rowOff>25400</xdr:rowOff>
                  </from>
                  <to>
                    <xdr:col>6</xdr:col>
                    <xdr:colOff>2044700</xdr:colOff>
                    <xdr:row>16</xdr:row>
                    <xdr:rowOff>317500</xdr:rowOff>
                  </to>
                </anchor>
              </controlPr>
            </control>
          </mc:Choice>
        </mc:AlternateContent>
        <mc:AlternateContent xmlns:mc="http://schemas.openxmlformats.org/markup-compatibility/2006">
          <mc:Choice Requires="x14">
            <control shapeId="7462" r:id="rId16" name="Button 294">
              <controlPr defaultSize="0" print="0" autoFill="0" autoPict="0" macro="[0]!Sheet1.cmdTDB_Click">
                <anchor moveWithCells="1" sizeWithCells="1">
                  <from>
                    <xdr:col>7</xdr:col>
                    <xdr:colOff>12700</xdr:colOff>
                    <xdr:row>0</xdr:row>
                    <xdr:rowOff>76200</xdr:rowOff>
                  </from>
                  <to>
                    <xdr:col>8</xdr:col>
                    <xdr:colOff>0</xdr:colOff>
                    <xdr:row>2</xdr:row>
                    <xdr:rowOff>139700</xdr:rowOff>
                  </to>
                </anchor>
              </controlPr>
            </control>
          </mc:Choice>
        </mc:AlternateContent>
        <mc:AlternateContent xmlns:mc="http://schemas.openxmlformats.org/markup-compatibility/2006">
          <mc:Choice Requires="x14">
            <control shapeId="7451" r:id="rId17" name="cmdAutosize">
              <controlPr defaultSize="0" print="0" autoFill="0" autoPict="0" macro="[0]!Sheet1.cmdAutoSize_Click">
                <anchor moveWithCells="1" sizeWithCells="1">
                  <from>
                    <xdr:col>4</xdr:col>
                    <xdr:colOff>50800</xdr:colOff>
                    <xdr:row>56</xdr:row>
                    <xdr:rowOff>38100</xdr:rowOff>
                  </from>
                  <to>
                    <xdr:col>4</xdr:col>
                    <xdr:colOff>1701800</xdr:colOff>
                    <xdr:row>59</xdr:row>
                    <xdr:rowOff>139700</xdr:rowOff>
                  </to>
                </anchor>
              </controlPr>
            </control>
          </mc:Choice>
        </mc:AlternateContent>
        <mc:AlternateContent xmlns:mc="http://schemas.openxmlformats.org/markup-compatibility/2006">
          <mc:Choice Requires="x14">
            <control shapeId="7461" r:id="rId18" name="cmdAutosizeA">
              <controlPr defaultSize="0" print="0" autoFill="0" autoPict="0" macro="[0]!Sheet1.cmdAutoSizeA_Click">
                <anchor moveWithCells="1" sizeWithCells="1">
                  <from>
                    <xdr:col>4</xdr:col>
                    <xdr:colOff>88900</xdr:colOff>
                    <xdr:row>74</xdr:row>
                    <xdr:rowOff>63500</xdr:rowOff>
                  </from>
                  <to>
                    <xdr:col>4</xdr:col>
                    <xdr:colOff>1727200</xdr:colOff>
                    <xdr:row>77</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Z444"/>
  <sheetViews>
    <sheetView tabSelected="1" topLeftCell="A374" zoomScale="144" zoomScaleNormal="100" workbookViewId="0">
      <selection activeCell="C401" sqref="C401"/>
    </sheetView>
  </sheetViews>
  <sheetFormatPr baseColWidth="10" defaultColWidth="9.1640625" defaultRowHeight="13"/>
  <cols>
    <col min="1" max="1" width="9" customWidth="1"/>
    <col min="2" max="2" width="62.6640625" style="5" customWidth="1"/>
    <col min="3" max="3" width="16" customWidth="1"/>
    <col min="4" max="4" width="10.1640625" style="235" customWidth="1"/>
    <col min="5" max="5" width="23.33203125" customWidth="1"/>
    <col min="6" max="6" width="8.5" customWidth="1"/>
    <col min="7" max="7" width="26.1640625" customWidth="1"/>
    <col min="8" max="8" width="9.83203125" customWidth="1"/>
    <col min="9" max="10" width="13.83203125" customWidth="1"/>
    <col min="11" max="11" width="11.6640625" customWidth="1"/>
    <col min="12" max="12" width="7.6640625" customWidth="1"/>
    <col min="13" max="13" width="55.1640625" customWidth="1"/>
    <col min="14" max="14" width="14.83203125" customWidth="1"/>
    <col min="15" max="18" width="7" bestFit="1" customWidth="1"/>
    <col min="19" max="19" width="6" bestFit="1" customWidth="1"/>
    <col min="20" max="20" width="6.5" customWidth="1"/>
    <col min="21" max="21" width="6.83203125" bestFit="1" customWidth="1"/>
    <col min="22" max="22" width="7.33203125" customWidth="1"/>
    <col min="24" max="32" width="9.1640625" style="414"/>
    <col min="34" max="34" width="11.6640625" customWidth="1"/>
  </cols>
  <sheetData>
    <row r="1" spans="1:52" ht="16">
      <c r="A1" s="634" t="s">
        <v>249</v>
      </c>
      <c r="B1" s="635"/>
      <c r="C1" s="636"/>
      <c r="D1" s="655"/>
      <c r="E1" s="656"/>
      <c r="F1" s="18"/>
      <c r="G1" s="18"/>
      <c r="H1" s="18"/>
      <c r="I1" s="18"/>
      <c r="J1" s="18"/>
      <c r="K1" s="18"/>
      <c r="L1" s="18"/>
      <c r="M1" s="18"/>
      <c r="N1" s="639"/>
      <c r="O1" s="639"/>
      <c r="P1" s="639"/>
      <c r="Q1" s="639"/>
      <c r="R1" s="639"/>
      <c r="S1" s="639"/>
      <c r="T1" s="639"/>
      <c r="U1" s="639"/>
      <c r="V1" s="639"/>
      <c r="W1" s="639"/>
      <c r="X1" s="651"/>
      <c r="Y1" s="651"/>
      <c r="Z1" s="651"/>
      <c r="AA1" s="651"/>
      <c r="AB1" s="651"/>
      <c r="AC1" s="651"/>
      <c r="AD1" s="651"/>
      <c r="AE1" s="651"/>
      <c r="AF1" s="651"/>
      <c r="AG1" s="639"/>
      <c r="AH1" s="639"/>
      <c r="AI1" s="639"/>
      <c r="AJ1" s="639"/>
      <c r="AK1" s="639"/>
      <c r="AL1" s="639"/>
      <c r="AM1" s="639"/>
      <c r="AN1" s="639"/>
      <c r="AO1" s="639"/>
      <c r="AP1" s="639"/>
      <c r="AQ1" s="639"/>
      <c r="AR1" s="639"/>
      <c r="AS1" s="639"/>
      <c r="AT1" s="639"/>
      <c r="AU1" s="639"/>
      <c r="AV1" s="639"/>
      <c r="AW1" s="639"/>
      <c r="AX1" s="639"/>
      <c r="AY1" s="639"/>
      <c r="AZ1" s="639"/>
    </row>
    <row r="2" spans="1:52">
      <c r="A2" s="714"/>
      <c r="B2" s="709" t="s">
        <v>3273</v>
      </c>
      <c r="C2" s="710" t="s">
        <v>1370</v>
      </c>
      <c r="D2" s="709" t="s">
        <v>1371</v>
      </c>
      <c r="E2" s="711"/>
      <c r="F2" s="639"/>
      <c r="G2" s="639"/>
      <c r="H2" s="18"/>
      <c r="I2" s="18"/>
      <c r="J2" s="18"/>
      <c r="K2" s="18"/>
      <c r="L2" s="18"/>
      <c r="M2" s="18"/>
      <c r="N2" s="639"/>
      <c r="O2" s="639"/>
      <c r="P2" s="639"/>
      <c r="Q2" s="639"/>
      <c r="R2" s="639"/>
      <c r="S2" s="639"/>
      <c r="T2" s="639"/>
      <c r="U2" s="639"/>
      <c r="V2" s="639"/>
      <c r="W2" s="639"/>
      <c r="X2" s="651"/>
      <c r="Y2" s="651"/>
      <c r="Z2" s="651"/>
      <c r="AA2" s="651"/>
      <c r="AB2" s="651"/>
      <c r="AC2" s="651"/>
      <c r="AD2" s="651"/>
      <c r="AE2" s="651"/>
      <c r="AF2" s="651"/>
      <c r="AG2" s="639"/>
      <c r="AH2" s="639"/>
      <c r="AI2" s="639"/>
      <c r="AJ2" s="639"/>
      <c r="AK2" s="639"/>
      <c r="AL2" s="639"/>
      <c r="AM2" s="639"/>
      <c r="AN2" s="639"/>
      <c r="AO2" s="639"/>
      <c r="AP2" s="639"/>
      <c r="AQ2" s="639"/>
      <c r="AR2" s="639"/>
      <c r="AS2" s="639"/>
      <c r="AT2" s="639"/>
      <c r="AU2" s="639"/>
      <c r="AV2" s="639"/>
      <c r="AW2" s="639"/>
      <c r="AX2" s="639"/>
      <c r="AY2" s="639"/>
      <c r="AZ2" s="639"/>
    </row>
    <row r="3" spans="1:52">
      <c r="A3" s="808"/>
      <c r="B3" s="809" t="s">
        <v>255</v>
      </c>
      <c r="C3" s="810" t="str">
        <f>IF(VLOOKUP(contam_type,contam_lookup,2,FALSE)="","",VLOOKUP(contam_type,contam_lookup,2,FALSE))</f>
        <v>Other</v>
      </c>
      <c r="D3" s="811"/>
      <c r="E3" s="812"/>
      <c r="F3" s="639"/>
      <c r="G3" s="639"/>
      <c r="H3" s="18"/>
      <c r="I3" s="18"/>
      <c r="J3" s="18"/>
      <c r="K3" s="18"/>
      <c r="L3" s="18"/>
      <c r="M3" s="18"/>
      <c r="N3" s="639"/>
      <c r="O3" s="639"/>
      <c r="P3" s="639"/>
      <c r="Q3" s="639"/>
      <c r="R3" s="639"/>
      <c r="S3" s="639"/>
      <c r="T3" s="639"/>
      <c r="U3" s="639"/>
      <c r="V3" s="639"/>
      <c r="W3" s="639"/>
      <c r="X3" s="651"/>
      <c r="Y3" s="651"/>
      <c r="Z3" s="651"/>
      <c r="AA3" s="651"/>
      <c r="AB3" s="651"/>
      <c r="AC3" s="651"/>
      <c r="AD3" s="651"/>
      <c r="AE3" s="651"/>
      <c r="AF3" s="651"/>
      <c r="AG3" s="639"/>
      <c r="AH3" s="639"/>
      <c r="AI3" s="639"/>
      <c r="AJ3" s="639"/>
      <c r="AK3" s="639"/>
      <c r="AL3" s="639"/>
      <c r="AM3" s="639"/>
      <c r="AN3" s="639"/>
      <c r="AO3" s="639"/>
      <c r="AP3" s="639"/>
      <c r="AQ3" s="639"/>
      <c r="AR3" s="639"/>
      <c r="AS3" s="639"/>
      <c r="AT3" s="639"/>
      <c r="AU3" s="639"/>
      <c r="AV3" s="639"/>
      <c r="AW3" s="639"/>
      <c r="AX3" s="639"/>
      <c r="AY3" s="639"/>
      <c r="AZ3" s="639"/>
    </row>
    <row r="4" spans="1:52" s="639" customFormat="1">
      <c r="A4" s="807"/>
      <c r="B4" s="641" t="s">
        <v>2523</v>
      </c>
      <c r="C4" s="646" t="str">
        <f>IF(ss_cat2=1,"small","large")</f>
        <v>large</v>
      </c>
      <c r="D4" s="642"/>
      <c r="E4" s="643"/>
      <c r="H4" s="18"/>
      <c r="I4" s="18"/>
      <c r="J4" s="18"/>
      <c r="K4" s="18"/>
      <c r="L4" s="18"/>
      <c r="M4" s="18"/>
      <c r="X4" s="651"/>
      <c r="Y4" s="651"/>
      <c r="Z4" s="651"/>
      <c r="AA4" s="651"/>
      <c r="AB4" s="651"/>
      <c r="AC4" s="651"/>
      <c r="AD4" s="651"/>
      <c r="AE4" s="651"/>
      <c r="AF4" s="651"/>
    </row>
    <row r="5" spans="1:52" s="639" customFormat="1">
      <c r="A5" s="807"/>
      <c r="B5" s="641" t="s">
        <v>1817</v>
      </c>
      <c r="C5" s="646" t="s">
        <v>1772</v>
      </c>
      <c r="D5" s="642"/>
      <c r="E5" s="643"/>
      <c r="H5" s="18"/>
      <c r="I5" s="18"/>
      <c r="J5" s="18"/>
      <c r="K5" s="18"/>
      <c r="L5" s="18"/>
      <c r="M5" s="18"/>
      <c r="X5" s="651"/>
      <c r="Y5" s="651"/>
      <c r="Z5" s="651"/>
      <c r="AA5" s="651"/>
      <c r="AB5" s="651"/>
      <c r="AC5" s="651"/>
      <c r="AD5" s="651"/>
      <c r="AE5" s="651"/>
      <c r="AF5" s="651"/>
    </row>
    <row r="6" spans="1:52" s="639" customFormat="1">
      <c r="A6" s="807"/>
      <c r="B6" s="641" t="s">
        <v>2881</v>
      </c>
      <c r="C6" s="646" t="str">
        <f>IF(design_type=1,"Pressure","Gravity")</f>
        <v>Pressure</v>
      </c>
      <c r="D6" s="642"/>
      <c r="E6" s="643"/>
      <c r="H6" s="18"/>
      <c r="I6" s="18"/>
      <c r="J6" s="18"/>
      <c r="K6" s="18"/>
      <c r="L6" s="18"/>
      <c r="M6" s="18"/>
      <c r="X6" s="651"/>
      <c r="Y6" s="651"/>
      <c r="Z6" s="651"/>
      <c r="AA6" s="651"/>
      <c r="AB6" s="651"/>
      <c r="AC6" s="651"/>
      <c r="AD6" s="651"/>
      <c r="AE6" s="651"/>
      <c r="AF6" s="651"/>
    </row>
    <row r="7" spans="1:52" s="639" customFormat="1">
      <c r="A7" s="807"/>
      <c r="B7" s="641" t="s">
        <v>190</v>
      </c>
      <c r="C7" s="639">
        <f>design_flow</f>
        <v>2.1520000000000001</v>
      </c>
      <c r="D7" s="651" t="s">
        <v>3150</v>
      </c>
      <c r="E7" s="643"/>
      <c r="H7" s="18"/>
      <c r="I7" s="18"/>
      <c r="J7" s="18"/>
      <c r="K7" s="18"/>
      <c r="L7" s="18"/>
      <c r="M7" s="18"/>
      <c r="X7" s="651"/>
      <c r="Y7" s="651"/>
      <c r="Z7" s="651"/>
      <c r="AA7" s="651"/>
      <c r="AB7" s="651"/>
      <c r="AC7" s="651"/>
      <c r="AD7" s="651"/>
      <c r="AE7" s="651"/>
      <c r="AF7" s="651"/>
    </row>
    <row r="8" spans="1:52" s="639" customFormat="1">
      <c r="A8" s="807"/>
      <c r="B8" s="641" t="s">
        <v>192</v>
      </c>
      <c r="C8" s="639">
        <f>average_flow</f>
        <v>2.1520000000000001</v>
      </c>
      <c r="D8" s="651" t="s">
        <v>3150</v>
      </c>
      <c r="E8" s="643"/>
      <c r="H8" s="18"/>
      <c r="I8" s="18"/>
      <c r="J8" s="18"/>
      <c r="K8" s="18"/>
      <c r="L8" s="18"/>
      <c r="M8" s="18"/>
      <c r="X8" s="651"/>
      <c r="Y8" s="651"/>
      <c r="Z8" s="651"/>
      <c r="AA8" s="651"/>
      <c r="AB8" s="651"/>
      <c r="AC8" s="651"/>
      <c r="AD8" s="651"/>
      <c r="AE8" s="651"/>
      <c r="AF8" s="651"/>
    </row>
    <row r="9" spans="1:52" s="639" customFormat="1">
      <c r="A9" s="807"/>
      <c r="B9" s="639" t="s">
        <v>1886</v>
      </c>
      <c r="C9" s="639">
        <f>IF(design_type=1,num_treat_lines,op_num_basins)</f>
        <v>2</v>
      </c>
      <c r="D9" s="651" t="s">
        <v>3196</v>
      </c>
      <c r="E9" s="643"/>
      <c r="H9" s="18"/>
      <c r="I9" s="18"/>
      <c r="J9" s="18"/>
      <c r="K9" s="18"/>
      <c r="L9" s="18"/>
      <c r="M9" s="18"/>
      <c r="X9" s="651"/>
      <c r="Y9" s="651"/>
      <c r="Z9" s="651"/>
      <c r="AA9" s="651"/>
      <c r="AB9" s="651"/>
      <c r="AC9" s="651"/>
      <c r="AD9" s="651"/>
      <c r="AE9" s="651"/>
      <c r="AF9" s="651"/>
    </row>
    <row r="10" spans="1:52" s="639" customFormat="1">
      <c r="A10" s="807"/>
      <c r="B10" s="639" t="s">
        <v>2882</v>
      </c>
      <c r="C10" s="639">
        <f>Num_tanks</f>
        <v>2</v>
      </c>
      <c r="D10" s="639" t="s">
        <v>1888</v>
      </c>
      <c r="E10" s="643"/>
      <c r="H10" s="18"/>
      <c r="I10" s="18"/>
      <c r="J10" s="18"/>
      <c r="K10" s="18"/>
      <c r="L10" s="18"/>
      <c r="M10" s="18"/>
      <c r="X10" s="651"/>
      <c r="Y10" s="651"/>
      <c r="Z10" s="651"/>
      <c r="AA10" s="651"/>
      <c r="AB10" s="651"/>
      <c r="AC10" s="651"/>
      <c r="AD10" s="651"/>
      <c r="AE10" s="651"/>
      <c r="AF10" s="651"/>
    </row>
    <row r="11" spans="1:52" s="639" customFormat="1">
      <c r="A11" s="807"/>
      <c r="B11" s="639" t="s">
        <v>1946</v>
      </c>
      <c r="C11" s="639">
        <f>IF(design_type=1,final_num_tanks,total_num_basins)</f>
        <v>5</v>
      </c>
      <c r="D11" s="639" t="s">
        <v>1947</v>
      </c>
      <c r="E11" s="643"/>
      <c r="H11" s="18"/>
      <c r="I11" s="18"/>
      <c r="J11" s="18"/>
      <c r="K11" s="18"/>
      <c r="L11" s="18"/>
      <c r="M11" s="18"/>
      <c r="X11" s="651"/>
      <c r="Y11" s="651"/>
      <c r="Z11" s="651"/>
      <c r="AA11" s="651"/>
      <c r="AB11" s="651"/>
      <c r="AC11" s="651"/>
      <c r="AD11" s="651"/>
      <c r="AE11" s="651"/>
      <c r="AF11" s="651"/>
    </row>
    <row r="12" spans="1:52" s="639" customFormat="1">
      <c r="A12" s="807"/>
      <c r="B12" s="639" t="s">
        <v>1887</v>
      </c>
      <c r="C12" s="639">
        <f>EBCT</f>
        <v>10</v>
      </c>
      <c r="D12" s="651" t="s">
        <v>3472</v>
      </c>
      <c r="E12" s="643"/>
      <c r="H12" s="18"/>
      <c r="I12" s="18"/>
      <c r="J12" s="18"/>
      <c r="K12" s="18"/>
      <c r="L12" s="18"/>
      <c r="M12" s="18"/>
      <c r="X12" s="651"/>
      <c r="Y12" s="651"/>
      <c r="Z12" s="651"/>
      <c r="AA12" s="651"/>
      <c r="AB12" s="651"/>
      <c r="AC12" s="651"/>
      <c r="AD12" s="651"/>
      <c r="AE12" s="651"/>
      <c r="AF12" s="651"/>
    </row>
    <row r="13" spans="1:52" s="639" customFormat="1">
      <c r="A13" s="807"/>
      <c r="B13" s="639" t="s">
        <v>3183</v>
      </c>
      <c r="C13" s="639">
        <f>IF(design_type=1,EBCT_tank,EBCT)</f>
        <v>5</v>
      </c>
      <c r="D13" s="651" t="s">
        <v>3472</v>
      </c>
      <c r="E13" s="643"/>
      <c r="H13" s="18"/>
      <c r="I13" s="18"/>
      <c r="J13" s="18"/>
      <c r="K13" s="18"/>
      <c r="L13" s="18"/>
      <c r="M13" s="18"/>
      <c r="X13" s="651"/>
      <c r="Y13" s="651"/>
      <c r="Z13" s="651"/>
      <c r="AA13" s="651"/>
      <c r="AB13" s="651"/>
      <c r="AC13" s="651"/>
      <c r="AD13" s="651"/>
      <c r="AE13" s="651"/>
      <c r="AF13" s="651"/>
    </row>
    <row r="14" spans="1:52" s="639" customFormat="1">
      <c r="A14" s="807"/>
      <c r="B14" s="651" t="str">
        <f>IF(retrofit=1,"Initial carbon life","Carbon life")</f>
        <v>Carbon life</v>
      </c>
      <c r="C14" s="921">
        <f>IFERROR(bed_life,"")</f>
        <v>1.4093644009472368</v>
      </c>
      <c r="D14" s="651" t="s">
        <v>3471</v>
      </c>
      <c r="E14" s="643"/>
      <c r="H14" s="18"/>
      <c r="I14" s="18"/>
      <c r="J14" s="18"/>
      <c r="K14" s="18"/>
      <c r="L14" s="18"/>
      <c r="M14" s="18"/>
      <c r="X14" s="651"/>
      <c r="Y14" s="651"/>
      <c r="Z14" s="651"/>
      <c r="AA14" s="651"/>
      <c r="AB14" s="651"/>
      <c r="AC14" s="651"/>
      <c r="AD14" s="651"/>
      <c r="AE14" s="651"/>
      <c r="AF14" s="651"/>
    </row>
    <row r="15" spans="1:52" s="639" customFormat="1">
      <c r="A15" s="807"/>
      <c r="B15" s="639" t="s">
        <v>2217</v>
      </c>
      <c r="C15" s="639">
        <f>IF(design_type=1,bed_depth,basin_op_depth)</f>
        <v>6.3999999999999995</v>
      </c>
      <c r="D15" s="639" t="s">
        <v>2219</v>
      </c>
      <c r="E15" s="643"/>
      <c r="H15" s="18"/>
      <c r="I15" s="18"/>
      <c r="J15" s="18"/>
      <c r="K15" s="18"/>
      <c r="L15" s="18"/>
      <c r="M15" s="18"/>
      <c r="X15" s="651"/>
      <c r="Y15" s="651"/>
      <c r="Z15" s="651"/>
      <c r="AA15" s="651"/>
      <c r="AB15" s="651"/>
      <c r="AC15" s="651"/>
      <c r="AD15" s="651"/>
      <c r="AE15" s="651"/>
      <c r="AF15" s="651"/>
    </row>
    <row r="16" spans="1:52" s="639" customFormat="1">
      <c r="A16" s="807"/>
      <c r="B16" s="651" t="s">
        <v>3186</v>
      </c>
      <c r="C16" s="646" t="str">
        <f>IF(design_type=1,tank_geom_I,"basins")</f>
        <v>upright</v>
      </c>
      <c r="E16" s="643"/>
      <c r="H16" s="18"/>
      <c r="I16" s="18"/>
      <c r="J16" s="18"/>
      <c r="K16" s="18"/>
      <c r="L16" s="18"/>
      <c r="M16" s="18"/>
      <c r="X16" s="651"/>
      <c r="Y16" s="651"/>
      <c r="Z16" s="651"/>
      <c r="AA16" s="651"/>
      <c r="AB16" s="651"/>
      <c r="AC16" s="651"/>
      <c r="AD16" s="651"/>
      <c r="AE16" s="651"/>
      <c r="AF16" s="651"/>
    </row>
    <row r="17" spans="1:32" s="639" customFormat="1">
      <c r="A17" s="807"/>
      <c r="B17" s="639" t="str">
        <f>IF(design_type=2,"Basin width",IF(tank_geom=1,"Height (straight)",IF(tank_geom=2,"Length (straight)","")))</f>
        <v>Height (straight)</v>
      </c>
      <c r="C17" s="639">
        <f>IF(design_type=1,comm_height_length,basin_width)</f>
        <v>10.5</v>
      </c>
      <c r="D17" s="639" t="s">
        <v>2219</v>
      </c>
      <c r="E17" s="643"/>
      <c r="H17" s="18"/>
      <c r="I17" s="18"/>
      <c r="J17" s="18"/>
      <c r="K17" s="18"/>
      <c r="L17" s="18"/>
      <c r="M17" s="18"/>
      <c r="X17" s="651"/>
      <c r="Y17" s="651"/>
      <c r="Z17" s="651"/>
      <c r="AA17" s="651"/>
      <c r="AB17" s="651"/>
      <c r="AC17" s="651"/>
      <c r="AD17" s="651"/>
      <c r="AE17" s="651"/>
      <c r="AF17" s="651"/>
    </row>
    <row r="18" spans="1:32" s="639" customFormat="1">
      <c r="A18" s="807"/>
      <c r="B18" s="639" t="str">
        <f>IF(design_type=1,"Diameter","Basin length")</f>
        <v>Diameter</v>
      </c>
      <c r="C18" s="639">
        <f>IF(design_type=1,comm_diam,basin_length)</f>
        <v>10</v>
      </c>
      <c r="D18" s="639" t="s">
        <v>2219</v>
      </c>
      <c r="E18" s="643"/>
      <c r="H18" s="18"/>
      <c r="I18" s="18"/>
      <c r="J18" s="18"/>
      <c r="K18" s="18"/>
      <c r="L18" s="18"/>
      <c r="M18" s="18"/>
      <c r="X18" s="651"/>
      <c r="Y18" s="651"/>
      <c r="Z18" s="651"/>
      <c r="AA18" s="651"/>
      <c r="AB18" s="651"/>
      <c r="AC18" s="651"/>
      <c r="AD18" s="651"/>
      <c r="AE18" s="651"/>
      <c r="AF18" s="651"/>
    </row>
    <row r="19" spans="1:32" s="639" customFormat="1">
      <c r="A19" s="807"/>
      <c r="B19" s="651" t="s">
        <v>692</v>
      </c>
      <c r="C19" s="646" t="str">
        <f>IF(component_level=2,"high cost",IF(component_level=1,"mid cost","low cost"))</f>
        <v>low cost</v>
      </c>
      <c r="E19" s="643"/>
      <c r="H19" s="18"/>
      <c r="I19" s="18"/>
      <c r="J19" s="18"/>
      <c r="K19" s="18"/>
      <c r="L19" s="18"/>
      <c r="M19" s="18"/>
      <c r="X19" s="651"/>
      <c r="Y19" s="651"/>
      <c r="Z19" s="651"/>
      <c r="AA19" s="651"/>
      <c r="AB19" s="651"/>
      <c r="AC19" s="651"/>
      <c r="AD19" s="651"/>
      <c r="AE19" s="651"/>
      <c r="AF19" s="651"/>
    </row>
    <row r="20" spans="1:32" s="639" customFormat="1">
      <c r="A20" s="807"/>
      <c r="B20" s="651" t="s">
        <v>1342</v>
      </c>
      <c r="C20" s="646" t="str">
        <f>IF(manual=1,"manual",IF(manual=2,"semi-automated",IF(manual=3,"fully automated")))</f>
        <v>manual</v>
      </c>
      <c r="E20" s="643"/>
      <c r="H20" s="18"/>
      <c r="I20" s="18"/>
      <c r="J20" s="18"/>
      <c r="K20" s="18"/>
      <c r="L20" s="18"/>
      <c r="M20" s="18"/>
      <c r="X20" s="651"/>
      <c r="Y20" s="651"/>
      <c r="Z20" s="651"/>
      <c r="AA20" s="651"/>
      <c r="AB20" s="651"/>
      <c r="AC20" s="651"/>
      <c r="AD20" s="651"/>
      <c r="AE20" s="651"/>
      <c r="AF20" s="651"/>
    </row>
    <row r="21" spans="1:32" s="639" customFormat="1">
      <c r="A21" s="807"/>
      <c r="B21" s="651" t="s">
        <v>3810</v>
      </c>
      <c r="C21" s="922" t="str">
        <f>IF(retrofit=1,"yes","no")</f>
        <v>no</v>
      </c>
      <c r="D21" s="651"/>
      <c r="E21" s="643"/>
      <c r="H21" s="18"/>
      <c r="I21" s="18"/>
      <c r="J21" s="18"/>
      <c r="K21" s="18"/>
      <c r="L21" s="18"/>
      <c r="M21" s="18"/>
      <c r="X21" s="651"/>
      <c r="Y21" s="651"/>
      <c r="Z21" s="651"/>
      <c r="AA21" s="651"/>
      <c r="AB21" s="651"/>
      <c r="AC21" s="651"/>
      <c r="AD21" s="651"/>
      <c r="AE21" s="651"/>
      <c r="AF21" s="651"/>
    </row>
    <row r="22" spans="1:32" s="639" customFormat="1">
      <c r="A22" s="807"/>
      <c r="B22" s="651" t="s">
        <v>3811</v>
      </c>
      <c r="C22" s="922" t="str">
        <f>IF(retrofit=1,r_bed_life,"not applicable")</f>
        <v>not applicable</v>
      </c>
      <c r="D22" s="651" t="str">
        <f>IF(retrofit=1,"months at average flow","")</f>
        <v/>
      </c>
      <c r="E22" s="643"/>
      <c r="H22" s="18"/>
      <c r="I22" s="18"/>
      <c r="J22" s="18"/>
      <c r="K22" s="18"/>
      <c r="L22" s="18"/>
      <c r="M22" s="18"/>
      <c r="X22" s="651"/>
      <c r="Y22" s="651"/>
      <c r="Z22" s="651"/>
      <c r="AA22" s="651"/>
      <c r="AB22" s="651"/>
      <c r="AC22" s="651"/>
      <c r="AD22" s="651"/>
      <c r="AE22" s="651"/>
      <c r="AF22" s="651"/>
    </row>
    <row r="23" spans="1:32" s="639" customFormat="1">
      <c r="A23" s="807"/>
      <c r="B23" s="640" t="str">
        <f>"Resulting Costs (in year "&amp;TEXT(current_year_cl,0)&amp;" dollars)"</f>
        <v>Resulting Costs (in year 2021 dollars)</v>
      </c>
      <c r="D23" s="642"/>
      <c r="E23" s="643"/>
      <c r="H23" s="18"/>
      <c r="I23" s="18"/>
      <c r="J23" s="18"/>
      <c r="K23" s="18"/>
      <c r="L23" s="18"/>
      <c r="M23" s="18"/>
      <c r="X23" s="651"/>
      <c r="Y23" s="651"/>
      <c r="Z23" s="651"/>
      <c r="AA23" s="651"/>
      <c r="AB23" s="651"/>
      <c r="AC23" s="651"/>
      <c r="AD23" s="651"/>
      <c r="AE23" s="651"/>
      <c r="AF23" s="651"/>
    </row>
    <row r="24" spans="1:32" s="639" customFormat="1">
      <c r="A24" s="807"/>
      <c r="B24" s="641" t="s">
        <v>250</v>
      </c>
      <c r="C24" s="644">
        <f>IF(input_status&lt;&gt;"input complete -- results ready","Action required",IF(Missing_Cost,"Missing cost!",IF(cost_buildup_error,"Error in buildup!",direct_cost)))</f>
        <v>821979.17064227711</v>
      </c>
      <c r="D24" s="645" t="s">
        <v>1885</v>
      </c>
      <c r="E24" s="826"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24" s="18"/>
      <c r="I24" s="18"/>
      <c r="J24" s="18"/>
      <c r="K24" s="18"/>
      <c r="L24" s="18"/>
      <c r="M24" s="18"/>
      <c r="X24" s="651"/>
      <c r="Y24" s="651"/>
      <c r="Z24" s="651"/>
      <c r="AA24" s="651"/>
      <c r="AB24" s="651"/>
      <c r="AC24" s="651"/>
      <c r="AD24" s="651"/>
      <c r="AE24" s="651"/>
      <c r="AF24" s="651"/>
    </row>
    <row r="25" spans="1:32" s="639" customFormat="1">
      <c r="A25" s="807"/>
      <c r="B25" s="641" t="s">
        <v>251</v>
      </c>
      <c r="C25" s="644">
        <f>IF(input_status&lt;&gt;"input complete -- results ready","Action required",addon_cost)</f>
        <v>71106.676495493652</v>
      </c>
      <c r="D25" s="645" t="s">
        <v>1885</v>
      </c>
      <c r="E25" s="643"/>
      <c r="H25" s="18"/>
      <c r="I25" s="18"/>
      <c r="J25" s="18"/>
      <c r="K25" s="18"/>
      <c r="L25" s="18"/>
      <c r="M25" s="18"/>
      <c r="N25" s="660"/>
      <c r="X25" s="651"/>
      <c r="Y25" s="651"/>
      <c r="Z25" s="651"/>
      <c r="AA25" s="651"/>
      <c r="AB25" s="651"/>
      <c r="AC25" s="651"/>
      <c r="AD25" s="651"/>
      <c r="AE25" s="651"/>
      <c r="AF25" s="651"/>
    </row>
    <row r="26" spans="1:32" s="639" customFormat="1">
      <c r="A26" s="807"/>
      <c r="B26" s="650" t="s">
        <v>252</v>
      </c>
      <c r="C26" s="652">
        <f>IF(input_status&lt;&gt;"input complete -- results ready","Action required",indirect_cost)</f>
        <v>545150.54964713077</v>
      </c>
      <c r="D26" s="645" t="s">
        <v>1885</v>
      </c>
      <c r="E26" s="643"/>
      <c r="H26" s="18"/>
      <c r="I26" s="18"/>
      <c r="J26" s="18"/>
      <c r="K26" s="18"/>
      <c r="L26" s="18"/>
      <c r="M26" s="18"/>
      <c r="X26" s="651"/>
      <c r="Y26" s="651"/>
      <c r="Z26" s="651"/>
      <c r="AA26" s="651"/>
      <c r="AB26" s="651"/>
      <c r="AC26" s="651"/>
      <c r="AD26" s="651"/>
      <c r="AE26" s="651"/>
      <c r="AF26" s="651"/>
    </row>
    <row r="27" spans="1:32" s="639" customFormat="1">
      <c r="A27" s="807"/>
      <c r="B27" s="647" t="s">
        <v>253</v>
      </c>
      <c r="C27" s="644">
        <f>IF(input_status&lt;&gt;"input complete -- results ready","Action required",IF(Missing_Cost,"Missing cost!",IF(cost_buildup_error,"Error in buildup!",system_cost)))</f>
        <v>1438236.3967849016</v>
      </c>
      <c r="D27" s="645" t="s">
        <v>1885</v>
      </c>
      <c r="E27" s="643"/>
      <c r="H27" s="18"/>
      <c r="I27" s="18"/>
      <c r="J27" s="18"/>
      <c r="K27" s="18"/>
      <c r="L27" s="18"/>
      <c r="M27" s="18"/>
      <c r="X27" s="651"/>
      <c r="Y27" s="651"/>
      <c r="Z27" s="651"/>
      <c r="AA27" s="651"/>
      <c r="AB27" s="651"/>
      <c r="AC27" s="651"/>
      <c r="AD27" s="651"/>
      <c r="AE27" s="651"/>
      <c r="AF27" s="651"/>
    </row>
    <row r="28" spans="1:32" s="639" customFormat="1">
      <c r="A28" s="807"/>
      <c r="B28" s="421" t="str">
        <f>"Annualized Capital Cost "&amp;IF(OR(input_status&lt;&gt;"input complete -- results ready",Missing_Cost,cost_buildup_error),"","(per year over "&amp;useful_life&amp;" years at "&amp;Discount_rate*100&amp;"%)")</f>
        <v>Annualized Capital Cost (per year over 27.5 years at 7%)</v>
      </c>
      <c r="C28" s="834">
        <f>IF(input_status&lt;&gt;"input complete -- results ready","Action required",Annualized_Capital_Cost)</f>
        <v>119225.29178698656</v>
      </c>
      <c r="D28" s="645" t="s">
        <v>1885</v>
      </c>
      <c r="E28" s="643"/>
      <c r="H28" s="18"/>
      <c r="I28" s="18"/>
      <c r="J28" s="18"/>
      <c r="K28" s="18"/>
      <c r="L28" s="18"/>
      <c r="M28" s="18"/>
      <c r="X28" s="651"/>
      <c r="Y28" s="651"/>
      <c r="Z28" s="651"/>
      <c r="AA28" s="651"/>
      <c r="AB28" s="651"/>
      <c r="AC28" s="651"/>
      <c r="AD28" s="651"/>
      <c r="AE28" s="651"/>
      <c r="AF28" s="651"/>
    </row>
    <row r="29" spans="1:32" s="639" customFormat="1">
      <c r="A29" s="807"/>
      <c r="B29" s="153" t="s">
        <v>3489</v>
      </c>
      <c r="C29" s="644">
        <f>IF(input_status&lt;&gt;"input complete -- results ready","Action required",OM_cost)</f>
        <v>607474.17842155846</v>
      </c>
      <c r="D29" s="645" t="s">
        <v>1885</v>
      </c>
      <c r="E29" s="643"/>
      <c r="H29" s="18"/>
      <c r="I29" s="18"/>
      <c r="J29" s="149"/>
      <c r="K29" s="18"/>
      <c r="L29" s="18"/>
      <c r="M29" s="18"/>
      <c r="X29" s="651"/>
      <c r="Y29" s="651"/>
      <c r="Z29" s="651"/>
      <c r="AA29" s="651"/>
      <c r="AB29" s="651"/>
      <c r="AC29" s="651"/>
      <c r="AD29" s="651"/>
      <c r="AE29" s="651"/>
      <c r="AF29" s="651"/>
    </row>
    <row r="30" spans="1:32" s="639" customFormat="1">
      <c r="A30" s="807"/>
      <c r="B30" s="153" t="str">
        <f>"Total Annualized Cost (per year"&amp;IF(OR(input_status&lt;&gt;"input complete -- results ready",ISERROR(OR(TAC_pct_cap,TAC_pct_OM))),"",", "&amp;TEXT(TAC_pct_cap,"0%")&amp;" capital, "&amp;TEXT(TAC_pct_OM,"0%")&amp;" O&amp;M")&amp;")"</f>
        <v>Total Annualized Cost (per year, 16% capital, 84% O&amp;M)</v>
      </c>
      <c r="C30" s="648">
        <f>IF(input_status&lt;&gt;"input complete -- results ready","Action required",IF(Missing_Cost,"Missing cost!",IF(cost_buildup_error,"Error in buildup!",Annualized_Cost)))</f>
        <v>726699.47020854498</v>
      </c>
      <c r="D30" s="645" t="s">
        <v>1885</v>
      </c>
      <c r="E30" s="657"/>
      <c r="F30" s="641"/>
      <c r="G30" s="641"/>
      <c r="H30" s="147"/>
      <c r="I30" s="18"/>
      <c r="J30" s="149"/>
      <c r="K30" s="18"/>
      <c r="L30" s="18"/>
      <c r="M30" s="18"/>
      <c r="X30" s="651"/>
      <c r="Y30" s="651"/>
      <c r="Z30" s="651"/>
      <c r="AA30" s="651"/>
      <c r="AB30" s="651"/>
      <c r="AC30" s="651"/>
      <c r="AD30" s="651"/>
      <c r="AE30" s="651"/>
      <c r="AF30" s="651"/>
    </row>
    <row r="31" spans="1:32" s="639" customFormat="1">
      <c r="A31" s="807"/>
      <c r="B31" s="653" t="s">
        <v>3053</v>
      </c>
      <c r="C31" s="649">
        <f>IF(input_status&lt;&gt;"input complete -- results ready","Action required",IF(Missing_Cost,"Missing cost!",IF(cost_buildup_error,"Error in buildup!",C418)))</f>
        <v>0.92516610252144549</v>
      </c>
      <c r="D31" s="641"/>
      <c r="E31" s="657"/>
      <c r="F31" s="641"/>
      <c r="G31" s="641"/>
      <c r="H31" s="147"/>
      <c r="I31" s="18"/>
      <c r="J31" s="149"/>
      <c r="K31" s="18"/>
      <c r="L31" s="18"/>
      <c r="M31" s="18"/>
      <c r="W31" s="661"/>
      <c r="X31" s="651"/>
      <c r="Y31" s="651"/>
      <c r="Z31" s="651"/>
      <c r="AA31" s="651"/>
      <c r="AB31" s="651"/>
      <c r="AC31" s="651"/>
      <c r="AD31" s="651"/>
      <c r="AE31" s="651"/>
      <c r="AF31" s="651"/>
    </row>
    <row r="32" spans="1:32" s="639" customFormat="1">
      <c r="A32" s="813"/>
      <c r="B32" s="654" t="s">
        <v>3274</v>
      </c>
      <c r="C32" s="997">
        <f>IF(input_status&lt;&gt;"input complete -- results ready","Action required",IF(Missing_Cost,"Missing cost!",IF(cost_buildup_error,"Error in buildup!",C419)))</f>
        <v>127.88301584574934</v>
      </c>
      <c r="D32" s="650"/>
      <c r="E32" s="658"/>
      <c r="F32" s="641"/>
      <c r="G32" s="641"/>
      <c r="H32" s="147"/>
      <c r="I32" s="18"/>
      <c r="J32" s="149"/>
      <c r="K32" s="18"/>
      <c r="L32" s="18"/>
      <c r="M32" s="18"/>
      <c r="X32" s="651"/>
      <c r="Y32" s="651"/>
      <c r="Z32" s="651"/>
      <c r="AA32" s="651"/>
      <c r="AB32" s="651"/>
      <c r="AC32" s="651"/>
      <c r="AD32" s="651"/>
      <c r="AE32" s="651"/>
      <c r="AF32" s="651"/>
    </row>
    <row r="33" spans="1:34" s="639" customFormat="1">
      <c r="A33" s="18"/>
      <c r="B33" s="147"/>
      <c r="C33" s="18"/>
      <c r="D33" s="148"/>
      <c r="E33" s="18"/>
      <c r="F33" s="18"/>
      <c r="G33" s="18"/>
      <c r="H33" s="18"/>
      <c r="I33" s="18"/>
      <c r="J33" s="149"/>
      <c r="K33" s="18"/>
      <c r="L33" s="18"/>
      <c r="M33" s="18"/>
      <c r="X33" s="651"/>
      <c r="Y33" s="651"/>
      <c r="Z33" s="651"/>
      <c r="AA33" s="651"/>
      <c r="AB33" s="651"/>
      <c r="AC33" s="651"/>
      <c r="AD33" s="651"/>
      <c r="AE33" s="651"/>
      <c r="AF33" s="651"/>
    </row>
    <row r="34" spans="1:34" ht="15.75" customHeight="1">
      <c r="A34" s="297" t="s">
        <v>3275</v>
      </c>
      <c r="B34" s="226"/>
      <c r="C34" s="150"/>
      <c r="D34" s="151"/>
      <c r="E34" s="150"/>
      <c r="F34" s="150"/>
      <c r="G34" s="219"/>
      <c r="H34" s="298"/>
      <c r="I34" s="219"/>
      <c r="J34" s="150"/>
      <c r="K34" s="219"/>
      <c r="L34" s="220"/>
      <c r="O34" s="414"/>
      <c r="P34" s="414"/>
      <c r="Q34" s="414"/>
      <c r="R34" s="414"/>
      <c r="S34" s="414"/>
      <c r="T34" s="414"/>
      <c r="U34" s="414"/>
      <c r="V34" s="414"/>
    </row>
    <row r="35" spans="1:34">
      <c r="A35" s="1056" t="s">
        <v>9</v>
      </c>
      <c r="B35" s="1041" t="s">
        <v>10</v>
      </c>
      <c r="C35" s="1041" t="s">
        <v>3276</v>
      </c>
      <c r="D35" s="1041"/>
      <c r="E35" s="1041" t="s">
        <v>3277</v>
      </c>
      <c r="F35" s="1041"/>
      <c r="G35" s="1059" t="s">
        <v>12</v>
      </c>
      <c r="H35" s="1059"/>
      <c r="I35" s="1041" t="s">
        <v>13</v>
      </c>
      <c r="J35" s="1041" t="s">
        <v>14</v>
      </c>
      <c r="K35" s="1041" t="s">
        <v>15</v>
      </c>
      <c r="L35" s="1044" t="s">
        <v>117</v>
      </c>
      <c r="M35" s="1047" t="s">
        <v>3278</v>
      </c>
      <c r="N35" s="1038" t="s">
        <v>1386</v>
      </c>
      <c r="O35" s="1038"/>
      <c r="P35" s="1038"/>
      <c r="Q35" s="1038"/>
      <c r="R35" s="1038"/>
      <c r="S35" s="1038"/>
      <c r="T35" s="1038"/>
      <c r="U35" s="1038"/>
      <c r="V35" s="1038"/>
      <c r="W35" s="1040" t="s">
        <v>1387</v>
      </c>
      <c r="X35" s="1038" t="s">
        <v>1388</v>
      </c>
      <c r="Y35" s="1038"/>
      <c r="Z35" s="1038"/>
      <c r="AA35" s="1038"/>
      <c r="AB35" s="1038"/>
      <c r="AC35" s="1038"/>
      <c r="AD35" s="1038"/>
      <c r="AE35" s="1038"/>
      <c r="AF35" s="1038"/>
      <c r="AG35" s="1038" t="s">
        <v>15</v>
      </c>
      <c r="AH35" s="1038"/>
    </row>
    <row r="36" spans="1:34">
      <c r="A36" s="1057"/>
      <c r="B36" s="1042"/>
      <c r="C36" s="1042"/>
      <c r="D36" s="1042"/>
      <c r="E36" s="1042"/>
      <c r="F36" s="1042"/>
      <c r="G36" s="1060"/>
      <c r="H36" s="1060"/>
      <c r="I36" s="1042"/>
      <c r="J36" s="1042"/>
      <c r="K36" s="1042"/>
      <c r="L36" s="1045"/>
      <c r="M36" s="1048"/>
      <c r="N36" s="1038" t="s">
        <v>1602</v>
      </c>
      <c r="O36" s="1038"/>
      <c r="P36" s="1038"/>
      <c r="Q36" s="1038" t="s">
        <v>1603</v>
      </c>
      <c r="R36" s="1038"/>
      <c r="S36" s="1038"/>
      <c r="T36" s="1038" t="s">
        <v>1604</v>
      </c>
      <c r="U36" s="1038"/>
      <c r="V36" s="1038"/>
      <c r="W36" s="1040"/>
      <c r="X36" s="1038" t="s">
        <v>1602</v>
      </c>
      <c r="Y36" s="1038"/>
      <c r="Z36" s="1038"/>
      <c r="AA36" s="1038" t="s">
        <v>1603</v>
      </c>
      <c r="AB36" s="1038"/>
      <c r="AC36" s="1038"/>
      <c r="AD36" s="1038" t="s">
        <v>1604</v>
      </c>
      <c r="AE36" s="1038"/>
      <c r="AF36" s="1038"/>
      <c r="AG36" s="1038"/>
      <c r="AH36" s="1038"/>
    </row>
    <row r="37" spans="1:34">
      <c r="A37" s="1058"/>
      <c r="B37" s="1043"/>
      <c r="C37" s="1043"/>
      <c r="D37" s="1043"/>
      <c r="E37" s="1043"/>
      <c r="F37" s="1043"/>
      <c r="G37" s="1061"/>
      <c r="H37" s="1061"/>
      <c r="I37" s="1043"/>
      <c r="J37" s="1043"/>
      <c r="K37" s="1043"/>
      <c r="L37" s="1046"/>
      <c r="M37" s="1048"/>
      <c r="N37" s="662" t="s">
        <v>1600</v>
      </c>
      <c r="O37" s="662" t="s">
        <v>2741</v>
      </c>
      <c r="P37" s="662" t="s">
        <v>1601</v>
      </c>
      <c r="Q37" s="662" t="s">
        <v>1600</v>
      </c>
      <c r="R37" s="662" t="s">
        <v>2741</v>
      </c>
      <c r="S37" s="662" t="s">
        <v>1601</v>
      </c>
      <c r="T37" s="662" t="s">
        <v>1600</v>
      </c>
      <c r="U37" s="662" t="s">
        <v>2741</v>
      </c>
      <c r="V37" s="662" t="s">
        <v>1601</v>
      </c>
      <c r="W37" s="1040"/>
      <c r="X37" s="662" t="s">
        <v>1600</v>
      </c>
      <c r="Y37" s="662" t="s">
        <v>2741</v>
      </c>
      <c r="Z37" s="662" t="s">
        <v>1601</v>
      </c>
      <c r="AA37" s="662" t="s">
        <v>1600</v>
      </c>
      <c r="AB37" s="662" t="s">
        <v>2741</v>
      </c>
      <c r="AC37" s="662" t="s">
        <v>1601</v>
      </c>
      <c r="AD37" s="662" t="s">
        <v>1600</v>
      </c>
      <c r="AE37" s="662" t="s">
        <v>2741</v>
      </c>
      <c r="AF37" s="662" t="s">
        <v>1601</v>
      </c>
      <c r="AG37" s="662" t="s">
        <v>3038</v>
      </c>
      <c r="AH37" s="662" t="s">
        <v>3039</v>
      </c>
    </row>
    <row r="38" spans="1:34">
      <c r="A38" s="188" t="s">
        <v>1258</v>
      </c>
      <c r="B38" s="14" t="s">
        <v>1257</v>
      </c>
      <c r="C38" s="14"/>
      <c r="D38" s="189"/>
      <c r="E38" s="14"/>
      <c r="F38" s="14"/>
      <c r="G38" s="14"/>
      <c r="H38" s="14"/>
      <c r="I38" s="14"/>
      <c r="J38" s="14"/>
      <c r="K38" s="14"/>
      <c r="L38" s="190"/>
      <c r="AG38" s="414"/>
      <c r="AH38" s="414"/>
    </row>
    <row r="39" spans="1:34">
      <c r="A39" s="386">
        <v>1.1000000000000001</v>
      </c>
      <c r="B39" s="11" t="s">
        <v>16</v>
      </c>
      <c r="C39" s="11"/>
      <c r="D39" s="229"/>
      <c r="E39" s="11"/>
      <c r="F39" s="11"/>
      <c r="G39" s="11"/>
      <c r="H39" s="11"/>
      <c r="I39" s="11"/>
      <c r="J39" s="11"/>
      <c r="K39" s="11"/>
      <c r="L39" s="387"/>
      <c r="AG39" s="414"/>
      <c r="AH39" s="414"/>
    </row>
    <row r="40" spans="1:34">
      <c r="A40" s="325" t="s">
        <v>1259</v>
      </c>
      <c r="B40" s="1" t="s">
        <v>17</v>
      </c>
      <c r="C40" s="65">
        <f>final_num_tanks</f>
        <v>5</v>
      </c>
      <c r="D40" s="65" t="s">
        <v>2222</v>
      </c>
      <c r="E40" s="321">
        <f>comm_vol_gal</f>
        <v>6168.5171753235591</v>
      </c>
      <c r="F40" s="1" t="s">
        <v>2843</v>
      </c>
      <c r="G40" s="321">
        <f>IF(curve=1,comm_vol_gal,VLOOKUP(comm_vol_gal,ss_pv_cost_cl,2))</f>
        <v>6168.5171753235591</v>
      </c>
      <c r="H40" s="1" t="s">
        <v>2843</v>
      </c>
      <c r="I40" s="326">
        <f>IF(C40=0,"NA",IF(curve=1,ss_pv_eq,VLOOKUP(comm_vol_gal,ss_pv_cost_cl,3)))</f>
        <v>138579.31096218174</v>
      </c>
      <c r="J40" s="323">
        <f>IF(C40=0,"--",IF(I40="contact vendor","--",C40*I40))</f>
        <v>692896.55481090874</v>
      </c>
      <c r="K40" s="327">
        <f>IF(C40=0,"NA",VLOOKUP(comm_vol_gal,ss_pv_cost_cl,IF(ss_cat="large",4,5)))</f>
        <v>35</v>
      </c>
      <c r="L40" s="324">
        <v>0</v>
      </c>
      <c r="M40" s="27" t="str">
        <f>$B$39&amp;" - "&amp;B40</f>
        <v>Pressure Vessels - Stainless Steel</v>
      </c>
      <c r="N40" s="5">
        <f t="shared" ref="N40:T43" si="0">IF(retrofit=1,$W40*X40,IF(ISBLANK(X40),"",X40))</f>
        <v>4</v>
      </c>
      <c r="O40" s="5">
        <f t="shared" si="0"/>
        <v>4</v>
      </c>
      <c r="P40" s="5">
        <f t="shared" si="0"/>
        <v>1</v>
      </c>
      <c r="Q40" s="5">
        <f t="shared" si="0"/>
        <v>4</v>
      </c>
      <c r="R40" s="5">
        <f t="shared" si="0"/>
        <v>4</v>
      </c>
      <c r="S40" s="5">
        <f t="shared" si="0"/>
        <v>1</v>
      </c>
      <c r="T40" s="5">
        <f t="shared" si="0"/>
        <v>4</v>
      </c>
      <c r="U40" s="5">
        <f t="shared" ref="U40:V43" si="1">IF(retrofit=1,$W40*AE40,IF(ISBLANK(AE40),"",AE40))</f>
        <v>4</v>
      </c>
      <c r="V40" s="5">
        <f t="shared" si="1"/>
        <v>1</v>
      </c>
      <c r="W40" s="445">
        <v>0</v>
      </c>
      <c r="X40" s="414">
        <v>4</v>
      </c>
      <c r="Y40" s="414">
        <v>4</v>
      </c>
      <c r="Z40" s="414">
        <v>1</v>
      </c>
      <c r="AA40" s="414">
        <v>4</v>
      </c>
      <c r="AB40" s="414">
        <v>4</v>
      </c>
      <c r="AC40" s="414">
        <v>1</v>
      </c>
      <c r="AD40" s="414">
        <v>4</v>
      </c>
      <c r="AE40" s="414">
        <v>4</v>
      </c>
      <c r="AF40" s="414">
        <v>1</v>
      </c>
      <c r="AG40" s="414">
        <f t="shared" ref="AG40:AG111" si="2">IF(ISERROR(K40*L40),0,IF(K40&lt;1,0,L40))</f>
        <v>0</v>
      </c>
      <c r="AH40" s="414">
        <f t="shared" ref="AH40:AH111" si="3">IF(AG40,J40/K40,0)</f>
        <v>0</v>
      </c>
    </row>
    <row r="41" spans="1:34">
      <c r="A41" s="325" t="s">
        <v>1259</v>
      </c>
      <c r="B41" s="1" t="s">
        <v>1698</v>
      </c>
      <c r="C41" s="65">
        <f>final_num_tanks</f>
        <v>5</v>
      </c>
      <c r="D41" s="65" t="s">
        <v>2222</v>
      </c>
      <c r="E41" s="321">
        <f>comm_vol_gal</f>
        <v>6168.5171753235591</v>
      </c>
      <c r="F41" s="1" t="s">
        <v>2843</v>
      </c>
      <c r="G41" s="321">
        <f>IF(curve=1,comm_vol_gal,VLOOKUP(comm_vol_gal,cs_pv_cost_cl,2))</f>
        <v>6168.5171753235591</v>
      </c>
      <c r="H41" s="1" t="s">
        <v>2843</v>
      </c>
      <c r="I41" s="326">
        <f>IF(C41=0,"NA",IF(curve=1,cs_pv_eq,VLOOKUP(comm_vol_gal,cs_pv_cost_cl,3)))</f>
        <v>88053.113002878046</v>
      </c>
      <c r="J41" s="323">
        <f>IF(C41=0,"--",IF(I41="contact vendor","--",C41*I41))</f>
        <v>440265.56501439022</v>
      </c>
      <c r="K41" s="327">
        <f>IF(C41=0,"NA",VLOOKUP(comm_vol_gal,cs_pv_cost_cl,IF(ss_cat="large",4,5)))</f>
        <v>35</v>
      </c>
      <c r="L41" s="324">
        <v>0</v>
      </c>
      <c r="M41" s="27" t="str">
        <f>$B$39&amp;" - "&amp;B41</f>
        <v>Pressure Vessels - Carbon Steel - Stainless Internals</v>
      </c>
      <c r="N41" s="5">
        <f t="shared" si="0"/>
        <v>3</v>
      </c>
      <c r="O41" s="5">
        <f t="shared" si="0"/>
        <v>3</v>
      </c>
      <c r="P41" s="5">
        <f t="shared" si="0"/>
        <v>2</v>
      </c>
      <c r="Q41" s="5">
        <f t="shared" si="0"/>
        <v>3</v>
      </c>
      <c r="R41" s="5">
        <f t="shared" si="0"/>
        <v>3</v>
      </c>
      <c r="S41" s="5">
        <f t="shared" si="0"/>
        <v>2</v>
      </c>
      <c r="T41" s="5">
        <f t="shared" si="0"/>
        <v>3</v>
      </c>
      <c r="U41" s="5">
        <f t="shared" si="1"/>
        <v>3</v>
      </c>
      <c r="V41" s="5">
        <f t="shared" si="1"/>
        <v>2</v>
      </c>
      <c r="W41" s="445">
        <v>0</v>
      </c>
      <c r="X41" s="414">
        <v>3</v>
      </c>
      <c r="Y41" s="414">
        <v>3</v>
      </c>
      <c r="Z41" s="414">
        <v>2</v>
      </c>
      <c r="AA41" s="414">
        <v>3</v>
      </c>
      <c r="AB41" s="414">
        <v>3</v>
      </c>
      <c r="AC41" s="414">
        <v>2</v>
      </c>
      <c r="AD41" s="414">
        <v>3</v>
      </c>
      <c r="AE41" s="414">
        <v>3</v>
      </c>
      <c r="AF41" s="414">
        <v>2</v>
      </c>
      <c r="AG41" s="414">
        <f t="shared" si="2"/>
        <v>0</v>
      </c>
      <c r="AH41" s="414">
        <f t="shared" si="3"/>
        <v>0</v>
      </c>
    </row>
    <row r="42" spans="1:34">
      <c r="A42" s="325" t="s">
        <v>1259</v>
      </c>
      <c r="B42" s="1" t="s">
        <v>230</v>
      </c>
      <c r="C42" s="65">
        <f>final_num_tanks</f>
        <v>5</v>
      </c>
      <c r="D42" s="65" t="s">
        <v>2222</v>
      </c>
      <c r="E42" s="321">
        <f>comm_vol_gal</f>
        <v>6168.5171753235591</v>
      </c>
      <c r="F42" s="1" t="s">
        <v>2843</v>
      </c>
      <c r="G42" s="321">
        <f>IF(curve=1,comm_vol_gal,VLOOKUP(comm_vol_gal,csp_pv_cost_cl,2))</f>
        <v>6168.5171753235591</v>
      </c>
      <c r="H42" s="1" t="s">
        <v>2843</v>
      </c>
      <c r="I42" s="326">
        <f>IF(C42=0,"NA",IF(curve=1,csp_pv_eq,VLOOKUP(comm_vol_gal,csp_pv_cost_cl,3)))</f>
        <v>72201.05377942168</v>
      </c>
      <c r="J42" s="323">
        <f>IF(C42=0,"--",IF(I42="contact vendor","--",C42*I42))</f>
        <v>361005.26889710838</v>
      </c>
      <c r="K42" s="327">
        <f>IF(C42=0,"NA",VLOOKUP(comm_vol_gal,csp_pv_cost_cl,IF(ss_cat="large",4,5)))</f>
        <v>35</v>
      </c>
      <c r="L42" s="324">
        <v>1</v>
      </c>
      <c r="M42" s="27" t="str">
        <f>$B$39&amp;" - "&amp;B42</f>
        <v>Pressure Vessels - Carbon Steel - Plastic Internals</v>
      </c>
      <c r="N42" s="5">
        <f t="shared" si="0"/>
        <v>2</v>
      </c>
      <c r="O42" s="5">
        <f t="shared" si="0"/>
        <v>1</v>
      </c>
      <c r="P42" s="5">
        <f t="shared" si="0"/>
        <v>3</v>
      </c>
      <c r="Q42" s="5">
        <f t="shared" si="0"/>
        <v>2</v>
      </c>
      <c r="R42" s="5">
        <f t="shared" si="0"/>
        <v>1</v>
      </c>
      <c r="S42" s="5">
        <f t="shared" si="0"/>
        <v>3</v>
      </c>
      <c r="T42" s="5">
        <f t="shared" si="0"/>
        <v>2</v>
      </c>
      <c r="U42" s="5">
        <f t="shared" si="1"/>
        <v>1</v>
      </c>
      <c r="V42" s="5">
        <f t="shared" si="1"/>
        <v>3</v>
      </c>
      <c r="W42" s="445">
        <v>0</v>
      </c>
      <c r="X42" s="414">
        <v>2</v>
      </c>
      <c r="Y42" s="414">
        <v>1</v>
      </c>
      <c r="Z42" s="414">
        <v>3</v>
      </c>
      <c r="AA42" s="414">
        <v>2</v>
      </c>
      <c r="AB42" s="414">
        <v>1</v>
      </c>
      <c r="AC42" s="414">
        <v>3</v>
      </c>
      <c r="AD42" s="414">
        <v>2</v>
      </c>
      <c r="AE42" s="414">
        <v>1</v>
      </c>
      <c r="AF42" s="414">
        <v>3</v>
      </c>
      <c r="AG42" s="414">
        <f t="shared" si="2"/>
        <v>1</v>
      </c>
      <c r="AH42" s="414">
        <f t="shared" si="3"/>
        <v>10314.436254203096</v>
      </c>
    </row>
    <row r="43" spans="1:34">
      <c r="A43" s="325" t="s">
        <v>1259</v>
      </c>
      <c r="B43" s="1" t="s">
        <v>2522</v>
      </c>
      <c r="C43" s="65">
        <f>final_num_tanks</f>
        <v>5</v>
      </c>
      <c r="D43" s="65" t="s">
        <v>2222</v>
      </c>
      <c r="E43" s="321">
        <f>comm_vol_gal</f>
        <v>6168.5171753235591</v>
      </c>
      <c r="F43" s="1" t="s">
        <v>2843</v>
      </c>
      <c r="G43" s="321">
        <f>IF(curve=1,comm_vol_gal,VLOOKUP(comm_vol_gal,fg_pv_cost_cl,2))</f>
        <v>6168.5171753235591</v>
      </c>
      <c r="H43" s="1" t="s">
        <v>2843</v>
      </c>
      <c r="I43" s="326" t="str">
        <f>IF(C43=0,"NA",IF(curve=1,fg_pv_eq,VLOOKUP(comm_vol_gal,fg_pv_cost_cl,3)))</f>
        <v>contact vendor</v>
      </c>
      <c r="J43" s="323" t="str">
        <f>IF(C43=0,"--",IF(I43="contact vendor","--",C43*I43))</f>
        <v>--</v>
      </c>
      <c r="K43" s="327">
        <f>IF(C43=0,"NA",VLOOKUP(comm_vol_gal,fg_pv_cost_cl,IF(ss_cat="large",4,5)))</f>
        <v>25</v>
      </c>
      <c r="L43" s="324">
        <v>0</v>
      </c>
      <c r="M43" s="27" t="str">
        <f>$B$39&amp;" - "&amp;B43</f>
        <v>Pressure Vessels - Fiberglass</v>
      </c>
      <c r="N43" s="5">
        <f t="shared" si="0"/>
        <v>1</v>
      </c>
      <c r="O43" s="5">
        <f t="shared" si="0"/>
        <v>2</v>
      </c>
      <c r="P43" s="5">
        <f t="shared" si="0"/>
        <v>4</v>
      </c>
      <c r="Q43" s="5">
        <f t="shared" si="0"/>
        <v>1</v>
      </c>
      <c r="R43" s="5">
        <f t="shared" si="0"/>
        <v>2</v>
      </c>
      <c r="S43" s="5">
        <f t="shared" si="0"/>
        <v>4</v>
      </c>
      <c r="T43" s="5">
        <f t="shared" si="0"/>
        <v>1</v>
      </c>
      <c r="U43" s="5">
        <f t="shared" si="1"/>
        <v>2</v>
      </c>
      <c r="V43" s="5">
        <f t="shared" si="1"/>
        <v>4</v>
      </c>
      <c r="W43" s="445">
        <v>0</v>
      </c>
      <c r="X43" s="414">
        <v>1</v>
      </c>
      <c r="Y43" s="414">
        <v>2</v>
      </c>
      <c r="Z43" s="414">
        <v>4</v>
      </c>
      <c r="AA43" s="414">
        <v>1</v>
      </c>
      <c r="AB43" s="414">
        <v>2</v>
      </c>
      <c r="AC43" s="414">
        <v>4</v>
      </c>
      <c r="AD43" s="414">
        <v>1</v>
      </c>
      <c r="AE43" s="414">
        <v>2</v>
      </c>
      <c r="AF43" s="414">
        <v>4</v>
      </c>
      <c r="AG43" s="414">
        <f t="shared" si="2"/>
        <v>0</v>
      </c>
      <c r="AH43" s="414">
        <f t="shared" si="3"/>
        <v>0</v>
      </c>
    </row>
    <row r="44" spans="1:34">
      <c r="A44" s="197" t="s">
        <v>1265</v>
      </c>
      <c r="B44" s="83" t="s">
        <v>1260</v>
      </c>
      <c r="C44" s="175"/>
      <c r="D44" s="668"/>
      <c r="E44" s="194"/>
      <c r="F44" s="668"/>
      <c r="G44" s="194"/>
      <c r="H44" s="668"/>
      <c r="I44" s="198"/>
      <c r="J44" s="199"/>
      <c r="K44" s="195"/>
      <c r="L44" s="200"/>
      <c r="AG44" s="414">
        <f t="shared" si="2"/>
        <v>0</v>
      </c>
      <c r="AH44" s="414">
        <f t="shared" si="3"/>
        <v>0</v>
      </c>
    </row>
    <row r="45" spans="1:34">
      <c r="A45" s="329" t="s">
        <v>1266</v>
      </c>
      <c r="B45" s="333" t="s">
        <v>2933</v>
      </c>
      <c r="C45" s="65">
        <f>total_num_basins</f>
        <v>0</v>
      </c>
      <c r="D45" s="65" t="s">
        <v>2222</v>
      </c>
      <c r="E45" s="321" t="str">
        <f>IF(C45=0,"NA",basin_vol)</f>
        <v>NA</v>
      </c>
      <c r="F45" s="1" t="str">
        <f>IF(C45=0,"","gal")</f>
        <v/>
      </c>
      <c r="G45" s="321" t="str">
        <f>IF(C45=0,"NA",basin_vol)</f>
        <v>NA</v>
      </c>
      <c r="H45" s="1" t="str">
        <f>IF(C45=0,"","gal")</f>
        <v/>
      </c>
      <c r="I45" s="326" t="str">
        <f>IF(C45=0,"NA",basin_conc_vol/total_num_basins*VLOOKUP(0,conc_basin_cost_cl,3))</f>
        <v>NA</v>
      </c>
      <c r="J45" s="323" t="str">
        <f t="shared" ref="J45:J50" si="4">IF(C45=0,"--",IF(I45="contact vendor","--",C45*I45))</f>
        <v>--</v>
      </c>
      <c r="K45" s="120" t="str">
        <f>IF(C45=0,"NA",VLOOKUP(0,conc_basin_cost_cl,IF(ss_cat="large",4,5)))</f>
        <v>NA</v>
      </c>
      <c r="L45" s="338"/>
      <c r="M45" t="str">
        <f t="shared" ref="M45:M50" si="5">$B$44&amp;" - "&amp;B45</f>
        <v>GAC Contact Basins - Concrete</v>
      </c>
      <c r="N45" s="5">
        <f t="shared" ref="N45:T50" si="6">IF(retrofit=1,$W45*X45,IF(ISBLANK(X45),"",X45))</f>
        <v>1</v>
      </c>
      <c r="O45" s="5">
        <f t="shared" si="6"/>
        <v>1</v>
      </c>
      <c r="P45" s="5">
        <f t="shared" si="6"/>
        <v>1</v>
      </c>
      <c r="Q45" s="5">
        <f t="shared" si="6"/>
        <v>1</v>
      </c>
      <c r="R45" s="5">
        <f t="shared" si="6"/>
        <v>1</v>
      </c>
      <c r="S45" s="5">
        <f t="shared" si="6"/>
        <v>1</v>
      </c>
      <c r="T45" s="5">
        <f t="shared" si="6"/>
        <v>1</v>
      </c>
      <c r="U45" s="5">
        <f t="shared" ref="U45:U50" si="7">IF(retrofit=1,$W45*AE45,IF(ISBLANK(AE45),"",AE45))</f>
        <v>1</v>
      </c>
      <c r="V45" s="5">
        <f t="shared" ref="V45:V50" si="8">IF(retrofit=1,$W45*AF45,IF(ISBLANK(AF45),"",AF45))</f>
        <v>1</v>
      </c>
      <c r="W45" s="445">
        <v>0</v>
      </c>
      <c r="X45" s="414">
        <v>1</v>
      </c>
      <c r="Y45" s="414">
        <v>1</v>
      </c>
      <c r="Z45" s="414">
        <v>1</v>
      </c>
      <c r="AA45" s="414">
        <v>1</v>
      </c>
      <c r="AB45" s="414">
        <v>1</v>
      </c>
      <c r="AC45" s="414">
        <v>1</v>
      </c>
      <c r="AD45" s="414">
        <v>1</v>
      </c>
      <c r="AE45" s="414">
        <v>1</v>
      </c>
      <c r="AF45" s="414">
        <v>1</v>
      </c>
      <c r="AG45" s="414">
        <f t="shared" si="2"/>
        <v>0</v>
      </c>
      <c r="AH45" s="414">
        <f t="shared" si="3"/>
        <v>0</v>
      </c>
    </row>
    <row r="46" spans="1:34">
      <c r="A46" s="329" t="s">
        <v>2876</v>
      </c>
      <c r="B46" s="333" t="s">
        <v>3220</v>
      </c>
      <c r="C46" s="65">
        <f>total_num_basins</f>
        <v>0</v>
      </c>
      <c r="D46" s="65" t="s">
        <v>2222</v>
      </c>
      <c r="E46" s="321" t="str">
        <f>IF(C46=0,"NA",basin_area)</f>
        <v>NA</v>
      </c>
      <c r="F46" s="1" t="str">
        <f>IF(C46=0,"","sf")</f>
        <v/>
      </c>
      <c r="G46" s="321" t="str">
        <f>IF(C46=0,"NA",basin_area)</f>
        <v>NA</v>
      </c>
      <c r="H46" s="1" t="str">
        <f>IF(C46=0,"","sf")</f>
        <v/>
      </c>
      <c r="I46" s="326" t="str">
        <f>IF(C46=0,"NA",IF(cont_int_eq="contact vendor","contact vendor",J46/total_num_basins))</f>
        <v>NA</v>
      </c>
      <c r="J46" s="323" t="str">
        <f>IF(C46=0,"--",IF(cont_int_eq="contact vendor","--",cont_int_eq))</f>
        <v>--</v>
      </c>
      <c r="K46" s="120" t="str">
        <f>IF(C46=0,"NA",VLOOKUP(0,cont_top_cost_cl,IF(ss_cat="large",4,5)))</f>
        <v>NA</v>
      </c>
      <c r="L46" s="338"/>
      <c r="M46" t="str">
        <f t="shared" si="5"/>
        <v>GAC Contact Basins - Internals (Underdrain/Backwash System)</v>
      </c>
      <c r="N46" s="5">
        <f t="shared" si="6"/>
        <v>1</v>
      </c>
      <c r="O46" s="5">
        <f t="shared" si="6"/>
        <v>1</v>
      </c>
      <c r="P46" s="5">
        <f t="shared" si="6"/>
        <v>1</v>
      </c>
      <c r="Q46" s="5">
        <f t="shared" si="6"/>
        <v>1</v>
      </c>
      <c r="R46" s="5">
        <f t="shared" si="6"/>
        <v>1</v>
      </c>
      <c r="S46" s="5">
        <f t="shared" si="6"/>
        <v>1</v>
      </c>
      <c r="T46" s="5">
        <f t="shared" si="6"/>
        <v>1</v>
      </c>
      <c r="U46" s="5">
        <f t="shared" si="7"/>
        <v>1</v>
      </c>
      <c r="V46" s="5">
        <f t="shared" si="8"/>
        <v>1</v>
      </c>
      <c r="W46" s="445">
        <v>0</v>
      </c>
      <c r="X46" s="414">
        <v>1</v>
      </c>
      <c r="Y46" s="414">
        <v>1</v>
      </c>
      <c r="Z46" s="414">
        <v>1</v>
      </c>
      <c r="AA46" s="414">
        <v>1</v>
      </c>
      <c r="AB46" s="414">
        <v>1</v>
      </c>
      <c r="AC46" s="414">
        <v>1</v>
      </c>
      <c r="AD46" s="414">
        <v>1</v>
      </c>
      <c r="AE46" s="414">
        <v>1</v>
      </c>
      <c r="AF46" s="414">
        <v>1</v>
      </c>
      <c r="AG46" s="414">
        <f t="shared" si="2"/>
        <v>0</v>
      </c>
      <c r="AH46" s="414">
        <f t="shared" si="3"/>
        <v>0</v>
      </c>
    </row>
    <row r="47" spans="1:34">
      <c r="A47" s="329" t="s">
        <v>2877</v>
      </c>
      <c r="B47" s="333" t="s">
        <v>1261</v>
      </c>
      <c r="C47" s="65">
        <f>IF(design_type=1,0,railing)</f>
        <v>0</v>
      </c>
      <c r="D47" s="65" t="s">
        <v>2526</v>
      </c>
      <c r="E47" s="321" t="s">
        <v>720</v>
      </c>
      <c r="F47" s="65"/>
      <c r="G47" s="321" t="s">
        <v>720</v>
      </c>
      <c r="H47" s="65"/>
      <c r="I47" s="326" t="str">
        <f>IF(C47=0,"NA",VLOOKUP(B47,metal_cost_cl,3))</f>
        <v>NA</v>
      </c>
      <c r="J47" s="323" t="str">
        <f t="shared" si="4"/>
        <v>--</v>
      </c>
      <c r="K47" s="120" t="str">
        <f>IF(C47=0,"NA",VLOOKUP(B47,metal_cost_cl,IF(ss_cat="large",4,5)))</f>
        <v>NA</v>
      </c>
      <c r="L47" s="338"/>
      <c r="M47" t="str">
        <f t="shared" si="5"/>
        <v>GAC Contact Basins - Aluminum Railing</v>
      </c>
      <c r="N47" s="5">
        <f t="shared" si="6"/>
        <v>1</v>
      </c>
      <c r="O47" s="5">
        <f t="shared" si="6"/>
        <v>1</v>
      </c>
      <c r="P47" s="5">
        <f t="shared" si="6"/>
        <v>1</v>
      </c>
      <c r="Q47" s="5">
        <f t="shared" si="6"/>
        <v>1</v>
      </c>
      <c r="R47" s="5">
        <f t="shared" si="6"/>
        <v>1</v>
      </c>
      <c r="S47" s="5">
        <f t="shared" si="6"/>
        <v>1</v>
      </c>
      <c r="T47" s="5">
        <f t="shared" si="6"/>
        <v>1</v>
      </c>
      <c r="U47" s="5">
        <f t="shared" si="7"/>
        <v>1</v>
      </c>
      <c r="V47" s="5">
        <f t="shared" si="8"/>
        <v>1</v>
      </c>
      <c r="W47" s="445">
        <v>0</v>
      </c>
      <c r="X47" s="414">
        <v>1</v>
      </c>
      <c r="Y47" s="414">
        <v>1</v>
      </c>
      <c r="Z47" s="414">
        <v>1</v>
      </c>
      <c r="AA47" s="414">
        <v>1</v>
      </c>
      <c r="AB47" s="414">
        <v>1</v>
      </c>
      <c r="AC47" s="414">
        <v>1</v>
      </c>
      <c r="AD47" s="414">
        <v>1</v>
      </c>
      <c r="AE47" s="414">
        <v>1</v>
      </c>
      <c r="AF47" s="414">
        <v>1</v>
      </c>
      <c r="AG47" s="414">
        <f t="shared" si="2"/>
        <v>0</v>
      </c>
      <c r="AH47" s="414">
        <f t="shared" si="3"/>
        <v>0</v>
      </c>
    </row>
    <row r="48" spans="1:34">
      <c r="A48" s="329" t="s">
        <v>2878</v>
      </c>
      <c r="B48" s="333" t="s">
        <v>1262</v>
      </c>
      <c r="C48" s="65">
        <f>IF(design_type=1,0,risers)</f>
        <v>0</v>
      </c>
      <c r="D48" s="65" t="s">
        <v>424</v>
      </c>
      <c r="E48" s="321" t="s">
        <v>720</v>
      </c>
      <c r="F48" s="65"/>
      <c r="G48" s="321" t="s">
        <v>720</v>
      </c>
      <c r="H48" s="65"/>
      <c r="I48" s="326" t="str">
        <f>IF(C48=0,"NA",VLOOKUP(B48,metal_cost_cl,3))</f>
        <v>NA</v>
      </c>
      <c r="J48" s="323" t="str">
        <f t="shared" si="4"/>
        <v>--</v>
      </c>
      <c r="K48" s="120" t="str">
        <f>IF(C48=0,"NA",VLOOKUP(B48,metal_cost_cl,IF(ss_cat="large",4,5)))</f>
        <v>NA</v>
      </c>
      <c r="L48" s="338"/>
      <c r="M48" t="str">
        <f t="shared" si="5"/>
        <v>GAC Contact Basins - Aluminum Stairs</v>
      </c>
      <c r="N48" s="5">
        <f t="shared" si="6"/>
        <v>1</v>
      </c>
      <c r="O48" s="5">
        <f t="shared" si="6"/>
        <v>1</v>
      </c>
      <c r="P48" s="5">
        <f t="shared" si="6"/>
        <v>1</v>
      </c>
      <c r="Q48" s="5">
        <f t="shared" si="6"/>
        <v>1</v>
      </c>
      <c r="R48" s="5">
        <f t="shared" si="6"/>
        <v>1</v>
      </c>
      <c r="S48" s="5">
        <f t="shared" si="6"/>
        <v>1</v>
      </c>
      <c r="T48" s="5">
        <f t="shared" si="6"/>
        <v>1</v>
      </c>
      <c r="U48" s="5">
        <f t="shared" si="7"/>
        <v>1</v>
      </c>
      <c r="V48" s="5">
        <f t="shared" si="8"/>
        <v>1</v>
      </c>
      <c r="W48" s="445">
        <v>0</v>
      </c>
      <c r="X48" s="414">
        <v>1</v>
      </c>
      <c r="Y48" s="414">
        <v>1</v>
      </c>
      <c r="Z48" s="414">
        <v>1</v>
      </c>
      <c r="AA48" s="414">
        <v>1</v>
      </c>
      <c r="AB48" s="414">
        <v>1</v>
      </c>
      <c r="AC48" s="414">
        <v>1</v>
      </c>
      <c r="AD48" s="414">
        <v>1</v>
      </c>
      <c r="AE48" s="414">
        <v>1</v>
      </c>
      <c r="AF48" s="414">
        <v>1</v>
      </c>
      <c r="AG48" s="414">
        <f t="shared" si="2"/>
        <v>0</v>
      </c>
      <c r="AH48" s="414">
        <f t="shared" si="3"/>
        <v>0</v>
      </c>
    </row>
    <row r="49" spans="1:34">
      <c r="A49" s="329" t="s">
        <v>2879</v>
      </c>
      <c r="B49" s="1" t="s">
        <v>1263</v>
      </c>
      <c r="C49" s="347">
        <f>IF(design_type=1,0,excavation_vol)</f>
        <v>0</v>
      </c>
      <c r="D49" s="65" t="s">
        <v>1591</v>
      </c>
      <c r="E49" s="321" t="s">
        <v>720</v>
      </c>
      <c r="F49" s="65"/>
      <c r="G49" s="321" t="s">
        <v>720</v>
      </c>
      <c r="H49" s="65"/>
      <c r="I49" s="403" t="str">
        <f>IF(C49=0,"NA",VLOOKUP(0,excavate_cost_cl,3))</f>
        <v>NA</v>
      </c>
      <c r="J49" s="323" t="str">
        <f t="shared" si="4"/>
        <v>--</v>
      </c>
      <c r="K49" s="120" t="str">
        <f>IF(C49=0,"NA",VLOOKUP(0,conc_basin_cost_cl,IF(ss_cat="large",4,5)))</f>
        <v>NA</v>
      </c>
      <c r="L49" s="338"/>
      <c r="M49" t="str">
        <f t="shared" si="5"/>
        <v>GAC Contact Basins - Excavation</v>
      </c>
      <c r="N49" s="5">
        <f t="shared" si="6"/>
        <v>1</v>
      </c>
      <c r="O49" s="5">
        <f t="shared" si="6"/>
        <v>1</v>
      </c>
      <c r="P49" s="5">
        <f t="shared" si="6"/>
        <v>1</v>
      </c>
      <c r="Q49" s="5">
        <f t="shared" si="6"/>
        <v>1</v>
      </c>
      <c r="R49" s="5">
        <f t="shared" si="6"/>
        <v>1</v>
      </c>
      <c r="S49" s="5">
        <f t="shared" si="6"/>
        <v>1</v>
      </c>
      <c r="T49" s="5">
        <f t="shared" si="6"/>
        <v>1</v>
      </c>
      <c r="U49" s="5">
        <f t="shared" si="7"/>
        <v>1</v>
      </c>
      <c r="V49" s="5">
        <f t="shared" si="8"/>
        <v>1</v>
      </c>
      <c r="W49" s="445">
        <v>0</v>
      </c>
      <c r="X49" s="414">
        <v>1</v>
      </c>
      <c r="Y49" s="414">
        <v>1</v>
      </c>
      <c r="Z49" s="414">
        <v>1</v>
      </c>
      <c r="AA49" s="414">
        <v>1</v>
      </c>
      <c r="AB49" s="414">
        <v>1</v>
      </c>
      <c r="AC49" s="414">
        <v>1</v>
      </c>
      <c r="AD49" s="414">
        <v>1</v>
      </c>
      <c r="AE49" s="414">
        <v>1</v>
      </c>
      <c r="AF49" s="414">
        <v>1</v>
      </c>
      <c r="AG49" s="414">
        <f t="shared" si="2"/>
        <v>0</v>
      </c>
      <c r="AH49" s="414">
        <f t="shared" si="3"/>
        <v>0</v>
      </c>
    </row>
    <row r="50" spans="1:34">
      <c r="A50" s="329" t="s">
        <v>2880</v>
      </c>
      <c r="B50" s="1" t="s">
        <v>1264</v>
      </c>
      <c r="C50" s="347">
        <f>IF(design_type=1,0,backfill_vol)</f>
        <v>0</v>
      </c>
      <c r="D50" s="65" t="s">
        <v>1591</v>
      </c>
      <c r="E50" s="321" t="s">
        <v>720</v>
      </c>
      <c r="F50" s="65"/>
      <c r="G50" s="321" t="s">
        <v>720</v>
      </c>
      <c r="H50" s="65"/>
      <c r="I50" s="403" t="str">
        <f>IF(C50=0,"NA",VLOOKUP(0,backfill_cost_cl,3))</f>
        <v>NA</v>
      </c>
      <c r="J50" s="323" t="str">
        <f t="shared" si="4"/>
        <v>--</v>
      </c>
      <c r="K50" s="120" t="str">
        <f>IF(C50=0,"NA",VLOOKUP(0,conc_basin_cost_cl,IF(ss_cat="large",4,5)))</f>
        <v>NA</v>
      </c>
      <c r="L50" s="338"/>
      <c r="M50" t="str">
        <f t="shared" si="5"/>
        <v>GAC Contact Basins - Backfill and Compaction</v>
      </c>
      <c r="N50" s="5">
        <f t="shared" si="6"/>
        <v>1</v>
      </c>
      <c r="O50" s="5">
        <f t="shared" si="6"/>
        <v>1</v>
      </c>
      <c r="P50" s="5">
        <f t="shared" si="6"/>
        <v>1</v>
      </c>
      <c r="Q50" s="5">
        <f t="shared" si="6"/>
        <v>1</v>
      </c>
      <c r="R50" s="5">
        <f t="shared" si="6"/>
        <v>1</v>
      </c>
      <c r="S50" s="5">
        <f t="shared" si="6"/>
        <v>1</v>
      </c>
      <c r="T50" s="5">
        <f t="shared" si="6"/>
        <v>1</v>
      </c>
      <c r="U50" s="5">
        <f t="shared" si="7"/>
        <v>1</v>
      </c>
      <c r="V50" s="5">
        <f t="shared" si="8"/>
        <v>1</v>
      </c>
      <c r="W50" s="445">
        <v>0</v>
      </c>
      <c r="X50" s="414">
        <v>1</v>
      </c>
      <c r="Y50" s="414">
        <v>1</v>
      </c>
      <c r="Z50" s="414">
        <v>1</v>
      </c>
      <c r="AA50" s="414">
        <v>1</v>
      </c>
      <c r="AB50" s="414">
        <v>1</v>
      </c>
      <c r="AC50" s="414">
        <v>1</v>
      </c>
      <c r="AD50" s="414">
        <v>1</v>
      </c>
      <c r="AE50" s="414">
        <v>1</v>
      </c>
      <c r="AF50" s="414">
        <v>1</v>
      </c>
      <c r="AG50" s="414">
        <f t="shared" si="2"/>
        <v>0</v>
      </c>
      <c r="AH50" s="414">
        <f t="shared" si="3"/>
        <v>0</v>
      </c>
    </row>
    <row r="51" spans="1:34">
      <c r="A51" s="191" t="s">
        <v>429</v>
      </c>
      <c r="B51" s="14" t="s">
        <v>20</v>
      </c>
      <c r="C51" s="24"/>
      <c r="D51" s="24"/>
      <c r="E51" s="192"/>
      <c r="F51" s="14"/>
      <c r="G51" s="192"/>
      <c r="H51" s="14"/>
      <c r="I51" s="24"/>
      <c r="J51" s="24"/>
      <c r="K51" s="24"/>
      <c r="L51" s="193"/>
      <c r="M51" s="27"/>
      <c r="N51" s="13"/>
      <c r="Q51" s="13"/>
      <c r="T51" s="13"/>
      <c r="X51" s="599"/>
      <c r="AA51" s="599"/>
      <c r="AD51" s="599"/>
      <c r="AG51" s="414">
        <f t="shared" si="2"/>
        <v>0</v>
      </c>
      <c r="AH51" s="414">
        <f t="shared" si="3"/>
        <v>0</v>
      </c>
    </row>
    <row r="52" spans="1:34">
      <c r="A52" s="388" t="s">
        <v>430</v>
      </c>
      <c r="B52" s="11" t="s">
        <v>432</v>
      </c>
      <c r="C52" s="175"/>
      <c r="D52" s="668"/>
      <c r="E52" s="194"/>
      <c r="F52" s="669"/>
      <c r="G52" s="194"/>
      <c r="H52" s="669"/>
      <c r="I52" s="175"/>
      <c r="J52" s="175"/>
      <c r="K52" s="175"/>
      <c r="L52" s="196"/>
      <c r="M52" s="27"/>
      <c r="N52" s="17"/>
      <c r="Q52" s="17"/>
      <c r="T52" s="17"/>
      <c r="X52" s="792"/>
      <c r="AA52" s="792"/>
      <c r="AD52" s="792"/>
      <c r="AG52" s="414">
        <f t="shared" si="2"/>
        <v>0</v>
      </c>
      <c r="AH52" s="414">
        <f t="shared" si="3"/>
        <v>0</v>
      </c>
    </row>
    <row r="53" spans="1:34">
      <c r="A53" s="325" t="s">
        <v>431</v>
      </c>
      <c r="B53" s="333" t="s">
        <v>984</v>
      </c>
      <c r="C53" s="65">
        <f>IF(num_back_tanks=0,0,back_basins)</f>
        <v>1</v>
      </c>
      <c r="D53" s="65" t="s">
        <v>2222</v>
      </c>
      <c r="E53" s="321">
        <f>IF(back_basins=0,"NA",back_basin_vol)</f>
        <v>14661</v>
      </c>
      <c r="F53" s="1" t="str">
        <f>IF(C53=0,"","gal")</f>
        <v>gal</v>
      </c>
      <c r="G53" s="321">
        <f>IF(back_basins=0,"NA",back_basin_vol)</f>
        <v>14661</v>
      </c>
      <c r="H53" s="1" t="str">
        <f>IF(C53=0,"","gal")</f>
        <v>gal</v>
      </c>
      <c r="I53" s="326">
        <f>IF(back_basins=0,"NA",J53/back_basins)</f>
        <v>47532.277183994156</v>
      </c>
      <c r="J53" s="326">
        <f>IF(back_basins=0,"--",back_conc_vol*VLOOKUP(0,conc_basin_cost_cl,3)+back_excavation_vol*VLOOKUP(0,excavate_cost_cl,3)+back_backfill_vol*VLOOKUP(0,backfill_cost_cl,3)+back_railing*VLOOKUP("aluminum railing",metal_cost_cl,3))</f>
        <v>47532.277183994156</v>
      </c>
      <c r="K53" s="120">
        <f>IF(back_basins=0,"NA",VLOOKUP(0,conc_basin_cost_cl,IF(ss_cat="large",4,5)))</f>
        <v>40</v>
      </c>
      <c r="L53" s="334">
        <v>0</v>
      </c>
      <c r="M53" s="31" t="str">
        <f>$B$52&amp;" - "&amp;B53</f>
        <v>Backwash Tanks/Basins - Concrete Basins (includes Excavation, Backfill, and Compaction)</v>
      </c>
      <c r="N53" s="5">
        <f t="shared" ref="N53:T56" si="9">IF(retrofit=1,$W53*X53,IF(ISBLANK(X53),"",X53))</f>
        <v>3</v>
      </c>
      <c r="O53" s="5">
        <f t="shared" si="9"/>
        <v>3</v>
      </c>
      <c r="P53" s="5">
        <f t="shared" si="9"/>
        <v>2</v>
      </c>
      <c r="Q53" s="5">
        <f t="shared" si="9"/>
        <v>3</v>
      </c>
      <c r="R53" s="5">
        <f t="shared" si="9"/>
        <v>3</v>
      </c>
      <c r="S53" s="5">
        <f t="shared" si="9"/>
        <v>2</v>
      </c>
      <c r="T53" s="5">
        <f t="shared" si="9"/>
        <v>3</v>
      </c>
      <c r="U53" s="5">
        <f t="shared" ref="U53:V56" si="10">IF(retrofit=1,$W53*AE53,IF(ISBLANK(AE53),"",AE53))</f>
        <v>3</v>
      </c>
      <c r="V53" s="5">
        <f t="shared" si="10"/>
        <v>2</v>
      </c>
      <c r="W53" s="445">
        <v>0</v>
      </c>
      <c r="X53" s="414">
        <v>3</v>
      </c>
      <c r="Y53" s="414">
        <v>3</v>
      </c>
      <c r="Z53" s="414">
        <v>2</v>
      </c>
      <c r="AA53" s="414">
        <v>3</v>
      </c>
      <c r="AB53" s="414">
        <v>3</v>
      </c>
      <c r="AC53" s="414">
        <v>2</v>
      </c>
      <c r="AD53" s="414">
        <v>3</v>
      </c>
      <c r="AE53" s="414">
        <v>3</v>
      </c>
      <c r="AF53" s="414">
        <v>2</v>
      </c>
      <c r="AG53" s="414">
        <f t="shared" si="2"/>
        <v>0</v>
      </c>
      <c r="AH53" s="414">
        <f t="shared" si="3"/>
        <v>0</v>
      </c>
    </row>
    <row r="54" spans="1:34">
      <c r="A54" s="325" t="s">
        <v>431</v>
      </c>
      <c r="B54" s="1" t="s">
        <v>3130</v>
      </c>
      <c r="C54" s="65">
        <f>num_back_tanks</f>
        <v>1</v>
      </c>
      <c r="D54" s="65" t="s">
        <v>2222</v>
      </c>
      <c r="E54" s="321">
        <f>IF(C54=0,"NA",back_tank_vol)</f>
        <v>9420</v>
      </c>
      <c r="F54" s="483" t="str">
        <f>IF(C54=0,"","gal")</f>
        <v>gal</v>
      </c>
      <c r="G54" s="406">
        <f>IF(C54=0,"NA",IF(curve=1,back_tank_vol,VLOOKUP(back_tank_vol,st_bwt_cost_cl,2)))</f>
        <v>9420</v>
      </c>
      <c r="H54" s="483" t="str">
        <f>IF(C54=0,"","gal")</f>
        <v>gal</v>
      </c>
      <c r="I54" s="403">
        <f>IF(C54=0,"NA",IF(curve=1,st_bwt_eq,VLOOKUP(back_tank_vol,st_bwt_cost_cl,3)))</f>
        <v>30389.794422716783</v>
      </c>
      <c r="J54" s="323">
        <f>IF(OR(C54=0,I54="contact vendor"),"--",C54*I54)</f>
        <v>30389.794422716783</v>
      </c>
      <c r="K54" s="120">
        <f>IF(C54=0,"NA",VLOOKUP(back_tank_vol,st_bwt_cost_cl,IF(ss_cat="large",4,5)))</f>
        <v>35</v>
      </c>
      <c r="L54" s="334">
        <v>0</v>
      </c>
      <c r="M54" s="31" t="str">
        <f>$B$52&amp;" - "&amp;B54</f>
        <v>Backwash Tanks/Basins - Steel Tanks</v>
      </c>
      <c r="N54" s="5">
        <f t="shared" si="9"/>
        <v>4</v>
      </c>
      <c r="O54" s="5">
        <f t="shared" si="9"/>
        <v>4</v>
      </c>
      <c r="P54" s="5">
        <f t="shared" si="9"/>
        <v>1</v>
      </c>
      <c r="Q54" s="5">
        <f t="shared" si="9"/>
        <v>4</v>
      </c>
      <c r="R54" s="5">
        <f t="shared" si="9"/>
        <v>4</v>
      </c>
      <c r="S54" s="5">
        <f t="shared" si="9"/>
        <v>1</v>
      </c>
      <c r="T54" s="5">
        <f t="shared" si="9"/>
        <v>4</v>
      </c>
      <c r="U54" s="5">
        <f t="shared" si="10"/>
        <v>4</v>
      </c>
      <c r="V54" s="5">
        <f t="shared" si="10"/>
        <v>1</v>
      </c>
      <c r="W54" s="445">
        <v>0</v>
      </c>
      <c r="X54" s="414">
        <v>4</v>
      </c>
      <c r="Y54" s="414">
        <v>4</v>
      </c>
      <c r="Z54" s="414">
        <v>1</v>
      </c>
      <c r="AA54" s="414">
        <v>4</v>
      </c>
      <c r="AB54" s="414">
        <v>4</v>
      </c>
      <c r="AC54" s="414">
        <v>1</v>
      </c>
      <c r="AD54" s="414">
        <v>4</v>
      </c>
      <c r="AE54" s="414">
        <v>4</v>
      </c>
      <c r="AF54" s="414">
        <v>1</v>
      </c>
      <c r="AG54" s="414">
        <f t="shared" si="2"/>
        <v>0</v>
      </c>
      <c r="AH54" s="414">
        <f t="shared" si="3"/>
        <v>0</v>
      </c>
    </row>
    <row r="55" spans="1:34">
      <c r="A55" s="325" t="s">
        <v>431</v>
      </c>
      <c r="B55" s="1" t="s">
        <v>374</v>
      </c>
      <c r="C55" s="65">
        <f>num_back_tanks</f>
        <v>1</v>
      </c>
      <c r="D55" s="65" t="s">
        <v>2222</v>
      </c>
      <c r="E55" s="321">
        <f>IF(C55=0,"NA",back_tank_vol)</f>
        <v>9420</v>
      </c>
      <c r="F55" s="483" t="str">
        <f>IF(C55=0,"","gal")</f>
        <v>gal</v>
      </c>
      <c r="G55" s="406">
        <f>IF(C55=0,"NA",IF(curve=1,back_tank_vol,VLOOKUP(back_tank_vol,fg_bwt_cost_cl,2)))</f>
        <v>9420</v>
      </c>
      <c r="H55" s="483" t="str">
        <f>IF(C55=0,"","gal")</f>
        <v>gal</v>
      </c>
      <c r="I55" s="403">
        <f>IF(C55=0,"NA",IF(curve=1,fg_bwt_eq,VLOOKUP(back_tank_vol,fg_bwt_cost_cl,3)))</f>
        <v>57937.551035005272</v>
      </c>
      <c r="J55" s="323">
        <f>IF(OR(C55=0,I55="contact vendor"),"--",C55*I55)</f>
        <v>57937.551035005272</v>
      </c>
      <c r="K55" s="120">
        <f>IF(C55=0,"NA",VLOOKUP(back_tank_vol,fg_bwt_cost_cl,IF(ss_cat="large",4,5)))</f>
        <v>25</v>
      </c>
      <c r="L55" s="334">
        <v>0</v>
      </c>
      <c r="M55" s="31" t="str">
        <f>$B$52&amp;" - "&amp;B55</f>
        <v>Backwash Tanks/Basins - Fiberglass Tanks</v>
      </c>
      <c r="N55" s="5">
        <f t="shared" si="9"/>
        <v>2</v>
      </c>
      <c r="O55" s="5">
        <f t="shared" si="9"/>
        <v>1</v>
      </c>
      <c r="P55" s="5">
        <f t="shared" si="9"/>
        <v>3</v>
      </c>
      <c r="Q55" s="5">
        <f t="shared" si="9"/>
        <v>2</v>
      </c>
      <c r="R55" s="5">
        <f t="shared" si="9"/>
        <v>1</v>
      </c>
      <c r="S55" s="5">
        <f t="shared" si="9"/>
        <v>3</v>
      </c>
      <c r="T55" s="5">
        <f t="shared" si="9"/>
        <v>2</v>
      </c>
      <c r="U55" s="5">
        <f t="shared" si="10"/>
        <v>1</v>
      </c>
      <c r="V55" s="5">
        <f t="shared" si="10"/>
        <v>3</v>
      </c>
      <c r="W55" s="445">
        <v>0</v>
      </c>
      <c r="X55" s="414">
        <v>2</v>
      </c>
      <c r="Y55" s="414">
        <v>1</v>
      </c>
      <c r="Z55" s="414">
        <v>3</v>
      </c>
      <c r="AA55" s="414">
        <v>2</v>
      </c>
      <c r="AB55" s="414">
        <v>1</v>
      </c>
      <c r="AC55" s="414">
        <v>3</v>
      </c>
      <c r="AD55" s="414">
        <v>2</v>
      </c>
      <c r="AE55" s="414">
        <v>1</v>
      </c>
      <c r="AF55" s="414">
        <v>3</v>
      </c>
      <c r="AG55" s="414">
        <f t="shared" si="2"/>
        <v>0</v>
      </c>
      <c r="AH55" s="414">
        <f t="shared" si="3"/>
        <v>0</v>
      </c>
    </row>
    <row r="56" spans="1:34">
      <c r="A56" s="325" t="s">
        <v>431</v>
      </c>
      <c r="B56" s="1" t="s">
        <v>376</v>
      </c>
      <c r="C56" s="65">
        <f>num_back_tanks</f>
        <v>1</v>
      </c>
      <c r="D56" s="65" t="s">
        <v>2222</v>
      </c>
      <c r="E56" s="321">
        <f>IF(C56=0,"NA",back_tank_vol)</f>
        <v>9420</v>
      </c>
      <c r="F56" s="483" t="str">
        <f>IF(C56=0,"","gal")</f>
        <v>gal</v>
      </c>
      <c r="G56" s="406">
        <f>IF(C56=0,"NA",IF(curve=1,back_tank_vol,VLOOKUP(back_tank_vol,hdpe_bwt_cost_cl,2)))</f>
        <v>9420</v>
      </c>
      <c r="H56" s="483" t="str">
        <f>IF(C56=0,"","gal")</f>
        <v>gal</v>
      </c>
      <c r="I56" s="403">
        <f>IF(C56=0,"NA",IF(curve=1,hdpe_bwt_eq,VLOOKUP(back_tank_vol,hdpe_bwt_cost_cl,3)))</f>
        <v>18717.508322259997</v>
      </c>
      <c r="J56" s="323">
        <f>IF(OR(C56=0,I56="contact vendor"),"--",C56*I56)</f>
        <v>18717.508322259997</v>
      </c>
      <c r="K56" s="120">
        <f>IF(C56=0,"NA",VLOOKUP(back_tank_vol,hdpe_bwt_cost_cl,IF(ss_cat="large",4,5)))</f>
        <v>25</v>
      </c>
      <c r="L56" s="334">
        <v>1</v>
      </c>
      <c r="M56" s="31" t="str">
        <f>$B$52&amp;" - "&amp;B56</f>
        <v>Backwash Tanks/Basins - Plastic/HDPE Tanks</v>
      </c>
      <c r="N56" s="5">
        <f t="shared" si="9"/>
        <v>1</v>
      </c>
      <c r="O56" s="5">
        <f t="shared" si="9"/>
        <v>2</v>
      </c>
      <c r="P56" s="5">
        <f t="shared" si="9"/>
        <v>4</v>
      </c>
      <c r="Q56" s="5">
        <f t="shared" si="9"/>
        <v>1</v>
      </c>
      <c r="R56" s="5">
        <f t="shared" si="9"/>
        <v>2</v>
      </c>
      <c r="S56" s="5">
        <f t="shared" si="9"/>
        <v>4</v>
      </c>
      <c r="T56" s="5">
        <f t="shared" si="9"/>
        <v>1</v>
      </c>
      <c r="U56" s="5">
        <f t="shared" si="10"/>
        <v>2</v>
      </c>
      <c r="V56" s="5">
        <f t="shared" si="10"/>
        <v>4</v>
      </c>
      <c r="W56" s="445">
        <v>0</v>
      </c>
      <c r="X56" s="414">
        <v>1</v>
      </c>
      <c r="Y56" s="414">
        <v>2</v>
      </c>
      <c r="Z56" s="414">
        <v>4</v>
      </c>
      <c r="AA56" s="414">
        <v>1</v>
      </c>
      <c r="AB56" s="414">
        <v>2</v>
      </c>
      <c r="AC56" s="414">
        <v>4</v>
      </c>
      <c r="AD56" s="414">
        <v>1</v>
      </c>
      <c r="AE56" s="414">
        <v>2</v>
      </c>
      <c r="AF56" s="414">
        <v>4</v>
      </c>
      <c r="AG56" s="414">
        <f t="shared" si="2"/>
        <v>1</v>
      </c>
      <c r="AH56" s="414">
        <f t="shared" si="3"/>
        <v>748.70033289039986</v>
      </c>
    </row>
    <row r="57" spans="1:34">
      <c r="A57" s="197" t="s">
        <v>813</v>
      </c>
      <c r="B57" s="83" t="s">
        <v>1997</v>
      </c>
      <c r="C57" s="175"/>
      <c r="D57" s="668"/>
      <c r="E57" s="194"/>
      <c r="F57" s="668"/>
      <c r="G57" s="194"/>
      <c r="H57" s="668"/>
      <c r="I57" s="198"/>
      <c r="J57" s="199"/>
      <c r="K57" s="195"/>
      <c r="L57" s="200"/>
      <c r="M57" s="27"/>
      <c r="AG57" s="414">
        <f t="shared" si="2"/>
        <v>0</v>
      </c>
      <c r="AH57" s="414">
        <f t="shared" si="3"/>
        <v>0</v>
      </c>
    </row>
    <row r="58" spans="1:34">
      <c r="A58" s="325" t="s">
        <v>814</v>
      </c>
      <c r="B58" s="333" t="s">
        <v>984</v>
      </c>
      <c r="C58" s="65">
        <f>hbasins</f>
        <v>1</v>
      </c>
      <c r="D58" s="65" t="s">
        <v>2222</v>
      </c>
      <c r="E58" s="321">
        <f>IF(hbasins=0,"NA",hbasin_vol)</f>
        <v>25941</v>
      </c>
      <c r="F58" s="1" t="str">
        <f>IF(C58=0,"","gal")</f>
        <v>gal</v>
      </c>
      <c r="G58" s="321">
        <f>IF(hbasins=0,"NA",hbasin_vol)</f>
        <v>25941</v>
      </c>
      <c r="H58" s="1" t="str">
        <f>IF(C58=0,"","gal")</f>
        <v>gal</v>
      </c>
      <c r="I58" s="326">
        <f>IF(hbasins=0,"NA",J58/hbasins)</f>
        <v>68270.020415394916</v>
      </c>
      <c r="J58" s="326">
        <f>IF(hbasins=0,"--",hconc_vol*VLOOKUP(0,conc_basin_cost_cl,3)+hexcavation_vol*VLOOKUP(0,excavate_cost_cl,3)+hbackfill_vol*VLOOKUP(0,backfill_cost_cl,3)+hrailing*VLOOKUP("aluminum railing",metal_cost_cl,3))</f>
        <v>68270.020415394916</v>
      </c>
      <c r="K58" s="120">
        <f>IF(hbasins=0,"NA",VLOOKUP(0,conc_basin_cost_cl,IF(ss_cat="large",4,5)))</f>
        <v>40</v>
      </c>
      <c r="L58" s="334">
        <v>0</v>
      </c>
      <c r="M58" s="31" t="str">
        <f>$B$57&amp;" - "&amp;B58</f>
        <v>Residuals Holding Tanks/Basins - Concrete Basins (includes Excavation, Backfill, and Compaction)</v>
      </c>
      <c r="N58" s="5">
        <f t="shared" ref="N58:N59" si="11">IF(retrofit=1,$W58*X58,IF(ISBLANK(X58),"",X58))</f>
        <v>4</v>
      </c>
      <c r="O58" s="5">
        <f t="shared" ref="O58:O61" si="12">IF(retrofit=1,$W58*Y58,IF(ISBLANK(Y58),"",Y58))</f>
        <v>4</v>
      </c>
      <c r="P58" s="5">
        <f t="shared" ref="P58:P61" si="13">IF(retrofit=1,$W58*Z58,IF(ISBLANK(Z58),"",Z58))</f>
        <v>2</v>
      </c>
      <c r="Q58" s="5">
        <f t="shared" ref="Q58:Q61" si="14">IF(retrofit=1,$W58*AA58,IF(ISBLANK(AA58),"",AA58))</f>
        <v>4</v>
      </c>
      <c r="R58" s="5">
        <f t="shared" ref="R58:R61" si="15">IF(retrofit=1,$W58*AB58,IF(ISBLANK(AB58),"",AB58))</f>
        <v>4</v>
      </c>
      <c r="S58" s="5">
        <f t="shared" ref="S58:S61" si="16">IF(retrofit=1,$W58*AC58,IF(ISBLANK(AC58),"",AC58))</f>
        <v>2</v>
      </c>
      <c r="T58" s="5">
        <f t="shared" ref="T58:T61" si="17">IF(retrofit=1,$W58*AD58,IF(ISBLANK(AD58),"",AD58))</f>
        <v>4</v>
      </c>
      <c r="U58" s="5">
        <f t="shared" ref="U58:U61" si="18">IF(retrofit=1,$W58*AE58,IF(ISBLANK(AE58),"",AE58))</f>
        <v>4</v>
      </c>
      <c r="V58" s="5">
        <f t="shared" ref="V58:V61" si="19">IF(retrofit=1,$W58*AF58,IF(ISBLANK(AF58),"",AF58))</f>
        <v>2</v>
      </c>
      <c r="W58" s="445">
        <v>0</v>
      </c>
      <c r="X58" s="414">
        <v>4</v>
      </c>
      <c r="Y58" s="414">
        <v>4</v>
      </c>
      <c r="Z58" s="414">
        <v>2</v>
      </c>
      <c r="AA58" s="414">
        <v>4</v>
      </c>
      <c r="AB58" s="414">
        <v>4</v>
      </c>
      <c r="AC58" s="414">
        <v>2</v>
      </c>
      <c r="AD58" s="414">
        <v>4</v>
      </c>
      <c r="AE58" s="414">
        <v>4</v>
      </c>
      <c r="AF58" s="414">
        <v>2</v>
      </c>
      <c r="AG58" s="491">
        <f t="shared" si="2"/>
        <v>0</v>
      </c>
      <c r="AH58" s="491">
        <f t="shared" si="3"/>
        <v>0</v>
      </c>
    </row>
    <row r="59" spans="1:34">
      <c r="A59" s="329" t="s">
        <v>814</v>
      </c>
      <c r="B59" s="1" t="s">
        <v>3130</v>
      </c>
      <c r="C59" s="65">
        <f>htanks</f>
        <v>1</v>
      </c>
      <c r="D59" s="65" t="s">
        <v>2222</v>
      </c>
      <c r="E59" s="321">
        <f>IF(C59=0,"NA",htank_vol)</f>
        <v>18840</v>
      </c>
      <c r="F59" s="65" t="str">
        <f>IF(C59=0,"","gal")</f>
        <v>gal</v>
      </c>
      <c r="G59" s="321">
        <f>IF(htanks=0,"NA",IF(curve=1,htank_vol,VLOOKUP(htank_vol,st_bwt_cost_cl,2)))</f>
        <v>18840</v>
      </c>
      <c r="H59" s="65" t="str">
        <f>IF(C59=0,"","gal")</f>
        <v>gal</v>
      </c>
      <c r="I59" s="326">
        <f>IF(htanks=0,"NA",IF(curve=1,st_ht_eq,VLOOKUP(htank_vol,st_bwt_cost_cl,3)))</f>
        <v>43021.40038450584</v>
      </c>
      <c r="J59" s="323">
        <f>IF(OR(C59=0,I59="contact vendor"),"--",C59*I59)</f>
        <v>43021.40038450584</v>
      </c>
      <c r="K59" s="330">
        <f>IF(htanks=0,"NA",VLOOKUP(htank_vol,st_bwt_cost_cl,IF(ss_cat="large",4,5)))</f>
        <v>35</v>
      </c>
      <c r="L59" s="331">
        <v>0</v>
      </c>
      <c r="M59" s="27" t="str">
        <f>$B$57&amp;" - "&amp;B59</f>
        <v>Residuals Holding Tanks/Basins - Steel Tanks</v>
      </c>
      <c r="N59" s="5">
        <f t="shared" si="11"/>
        <v>3</v>
      </c>
      <c r="O59" s="5">
        <f t="shared" si="12"/>
        <v>3</v>
      </c>
      <c r="P59" s="5">
        <f t="shared" si="13"/>
        <v>1</v>
      </c>
      <c r="Q59" s="5">
        <f t="shared" si="14"/>
        <v>3</v>
      </c>
      <c r="R59" s="5">
        <f t="shared" si="15"/>
        <v>3</v>
      </c>
      <c r="S59" s="5">
        <f t="shared" si="16"/>
        <v>1</v>
      </c>
      <c r="T59" s="5">
        <f t="shared" si="17"/>
        <v>3</v>
      </c>
      <c r="U59" s="5">
        <f t="shared" si="18"/>
        <v>3</v>
      </c>
      <c r="V59" s="5">
        <f t="shared" si="19"/>
        <v>1</v>
      </c>
      <c r="W59" s="445">
        <v>0</v>
      </c>
      <c r="X59" s="414">
        <v>3</v>
      </c>
      <c r="Y59" s="414">
        <v>3</v>
      </c>
      <c r="Z59" s="414">
        <v>1</v>
      </c>
      <c r="AA59" s="414">
        <v>3</v>
      </c>
      <c r="AB59" s="414">
        <v>3</v>
      </c>
      <c r="AC59" s="414">
        <v>1</v>
      </c>
      <c r="AD59" s="414">
        <v>3</v>
      </c>
      <c r="AE59" s="414">
        <v>3</v>
      </c>
      <c r="AF59" s="414">
        <v>1</v>
      </c>
      <c r="AG59" s="414">
        <f t="shared" si="2"/>
        <v>0</v>
      </c>
      <c r="AH59" s="414">
        <f t="shared" si="3"/>
        <v>0</v>
      </c>
    </row>
    <row r="60" spans="1:34">
      <c r="A60" s="329" t="s">
        <v>814</v>
      </c>
      <c r="B60" s="1" t="s">
        <v>374</v>
      </c>
      <c r="C60" s="65">
        <f>htanks</f>
        <v>1</v>
      </c>
      <c r="D60" s="65" t="s">
        <v>2222</v>
      </c>
      <c r="E60" s="321">
        <f>IF(C60=0,"NA",htank_vol)</f>
        <v>18840</v>
      </c>
      <c r="F60" s="65" t="str">
        <f>IF(C60=0,"","gal")</f>
        <v>gal</v>
      </c>
      <c r="G60" s="321">
        <f>IF(htanks=0,"NA",IF(curve=1,htank_vol,VLOOKUP(htank_vol,fg_bwt_cost_cl,2)))</f>
        <v>18840</v>
      </c>
      <c r="H60" s="65" t="str">
        <f>IF(C60=0,"","gal")</f>
        <v>gal</v>
      </c>
      <c r="I60" s="326">
        <f>IF(htanks=0,"NA",IF(curve=1,fg_ht_eq,VLOOKUP(htank_vol,fg_bwt_cost_cl,3)))</f>
        <v>91687.489117729987</v>
      </c>
      <c r="J60" s="323">
        <f>IF(OR(C60=0,I60="contact vendor"),"--",C60*I60)</f>
        <v>91687.489117729987</v>
      </c>
      <c r="K60" s="330">
        <f>IF(htanks=0,"NA",VLOOKUP(htank_vol,fg_bwt_cost_cl,IF(ss_cat="large",4,5)))</f>
        <v>25</v>
      </c>
      <c r="L60" s="331">
        <v>1</v>
      </c>
      <c r="M60" s="27" t="str">
        <f>$B$57&amp;" - "&amp;B60</f>
        <v>Residuals Holding Tanks/Basins - Fiberglass Tanks</v>
      </c>
      <c r="N60" s="5">
        <f t="shared" ref="N60" si="20">IF(retrofit=1,$W60*X60,IF(ISBLANK(X60),"",X60))</f>
        <v>2</v>
      </c>
      <c r="O60" s="5">
        <f t="shared" si="12"/>
        <v>1</v>
      </c>
      <c r="P60" s="5">
        <f t="shared" si="13"/>
        <v>3</v>
      </c>
      <c r="Q60" s="5">
        <f t="shared" si="14"/>
        <v>2</v>
      </c>
      <c r="R60" s="5">
        <f t="shared" si="15"/>
        <v>1</v>
      </c>
      <c r="S60" s="5">
        <f t="shared" si="16"/>
        <v>3</v>
      </c>
      <c r="T60" s="5">
        <f t="shared" si="17"/>
        <v>2</v>
      </c>
      <c r="U60" s="5">
        <f t="shared" si="18"/>
        <v>1</v>
      </c>
      <c r="V60" s="5">
        <f t="shared" si="19"/>
        <v>3</v>
      </c>
      <c r="W60" s="445">
        <v>0</v>
      </c>
      <c r="X60" s="414">
        <v>2</v>
      </c>
      <c r="Y60" s="414">
        <v>1</v>
      </c>
      <c r="Z60" s="414">
        <v>3</v>
      </c>
      <c r="AA60" s="414">
        <v>2</v>
      </c>
      <c r="AB60" s="414">
        <v>1</v>
      </c>
      <c r="AC60" s="414">
        <v>3</v>
      </c>
      <c r="AD60" s="414">
        <v>2</v>
      </c>
      <c r="AE60" s="414">
        <v>1</v>
      </c>
      <c r="AF60" s="414">
        <v>3</v>
      </c>
      <c r="AG60" s="414">
        <f t="shared" si="2"/>
        <v>1</v>
      </c>
      <c r="AH60" s="414">
        <f t="shared" si="3"/>
        <v>3667.4995647091996</v>
      </c>
    </row>
    <row r="61" spans="1:34">
      <c r="A61" s="329" t="s">
        <v>814</v>
      </c>
      <c r="B61" s="1" t="s">
        <v>376</v>
      </c>
      <c r="C61" s="65">
        <f>htanks</f>
        <v>1</v>
      </c>
      <c r="D61" s="65" t="s">
        <v>2222</v>
      </c>
      <c r="E61" s="321">
        <f>IF(C61=0,"NA",htank_vol)</f>
        <v>18840</v>
      </c>
      <c r="F61" s="65" t="str">
        <f>IF(C61=0,"","gal")</f>
        <v>gal</v>
      </c>
      <c r="G61" s="321">
        <f>IF(htanks=0,"NA",IF(curve=1,htank_vol,VLOOKUP(htank_vol,hdpe_bwt_cost_cl,2)))</f>
        <v>18840</v>
      </c>
      <c r="H61" s="65" t="str">
        <f>IF(C61=0,"","gal")</f>
        <v>gal</v>
      </c>
      <c r="I61" s="326" t="str">
        <f>IF(htanks=0,"NA",IF(curve=1,hdpe_ht_eq,VLOOKUP(htank_vol,hdpe_bwt_cost_cl,3)))</f>
        <v>contact vendor</v>
      </c>
      <c r="J61" s="323" t="str">
        <f>IF(OR(C59=0,I61="contact vendor"),"--",C61*I61)</f>
        <v>--</v>
      </c>
      <c r="K61" s="330">
        <f>IF(htanks=0,"NA",VLOOKUP(htank_vol,hdpe_bwt_cost_cl,IF(ss_cat="large",4,5)))</f>
        <v>25</v>
      </c>
      <c r="L61" s="331">
        <v>0</v>
      </c>
      <c r="M61" s="27" t="str">
        <f>$B$57&amp;" - "&amp;B61</f>
        <v>Residuals Holding Tanks/Basins - Plastic/HDPE Tanks</v>
      </c>
      <c r="N61" s="5">
        <f t="shared" ref="N61" si="21">IF(retrofit=1,$W61*X61,IF(ISBLANK(X61),"",X61))</f>
        <v>1</v>
      </c>
      <c r="O61" s="5">
        <f t="shared" si="12"/>
        <v>2</v>
      </c>
      <c r="P61" s="5">
        <f t="shared" si="13"/>
        <v>4</v>
      </c>
      <c r="Q61" s="5">
        <f t="shared" si="14"/>
        <v>1</v>
      </c>
      <c r="R61" s="5">
        <f t="shared" si="15"/>
        <v>2</v>
      </c>
      <c r="S61" s="5">
        <f t="shared" si="16"/>
        <v>4</v>
      </c>
      <c r="T61" s="5">
        <f t="shared" si="17"/>
        <v>1</v>
      </c>
      <c r="U61" s="5">
        <f t="shared" si="18"/>
        <v>2</v>
      </c>
      <c r="V61" s="5">
        <f t="shared" si="19"/>
        <v>4</v>
      </c>
      <c r="W61" s="445">
        <v>0</v>
      </c>
      <c r="X61" s="414">
        <v>1</v>
      </c>
      <c r="Y61" s="414">
        <v>2</v>
      </c>
      <c r="Z61" s="414">
        <v>4</v>
      </c>
      <c r="AA61" s="414">
        <v>1</v>
      </c>
      <c r="AB61" s="414">
        <v>2</v>
      </c>
      <c r="AC61" s="414">
        <v>4</v>
      </c>
      <c r="AD61" s="414">
        <v>1</v>
      </c>
      <c r="AE61" s="414">
        <v>2</v>
      </c>
      <c r="AF61" s="414">
        <v>4</v>
      </c>
      <c r="AG61" s="414">
        <f t="shared" si="2"/>
        <v>0</v>
      </c>
      <c r="AH61" s="414">
        <f t="shared" si="3"/>
        <v>0</v>
      </c>
    </row>
    <row r="62" spans="1:34">
      <c r="A62" s="498">
        <v>2.2999999999999998</v>
      </c>
      <c r="B62" s="669" t="s">
        <v>3689</v>
      </c>
      <c r="C62" s="499"/>
      <c r="D62" s="669"/>
      <c r="E62" s="234"/>
      <c r="F62" s="671"/>
      <c r="G62" s="500"/>
      <c r="H62" s="671"/>
      <c r="I62" s="234"/>
      <c r="J62" s="234"/>
      <c r="K62" s="234"/>
      <c r="L62" s="200"/>
      <c r="M62" s="5"/>
      <c r="N62" s="31"/>
      <c r="O62" s="31"/>
      <c r="P62" s="31"/>
      <c r="Q62" s="31"/>
      <c r="R62" s="31"/>
      <c r="S62" s="31"/>
      <c r="T62" s="31"/>
      <c r="U62" s="31"/>
      <c r="V62" s="31"/>
      <c r="W62" s="147"/>
      <c r="Z62" s="421"/>
      <c r="AA62" s="421"/>
      <c r="AB62" s="421"/>
      <c r="AC62" s="421"/>
      <c r="AD62" s="421"/>
      <c r="AE62" s="421"/>
      <c r="AF62" s="421"/>
      <c r="AG62">
        <f t="shared" ref="AG62:AG64" si="22">IF(ISERROR(K62*L62),0,IF(K62&lt;1,0,L62))</f>
        <v>0</v>
      </c>
      <c r="AH62">
        <f t="shared" ref="AH62:AH64" si="23">IF(AG62,J62/K62,0)</f>
        <v>0</v>
      </c>
    </row>
    <row r="63" spans="1:34">
      <c r="A63" s="325" t="s">
        <v>2325</v>
      </c>
      <c r="B63" s="1" t="s">
        <v>3425</v>
      </c>
      <c r="C63" s="65">
        <f>coag_tanks</f>
        <v>0</v>
      </c>
      <c r="D63" s="1" t="s">
        <v>2222</v>
      </c>
      <c r="E63" s="501" t="str">
        <f>IF(C63=0,"NA",coag_tank_vol)</f>
        <v>NA</v>
      </c>
      <c r="F63" s="1" t="str">
        <f>IF(C63=0,"","gal")</f>
        <v/>
      </c>
      <c r="G63" s="501" t="str">
        <f>IF(C63=0,"NA",IF(curve=1,coag_tank_vol,VLOOKUP(coag_tank_vol,pl_cst_cost_cl,2)))</f>
        <v>NA</v>
      </c>
      <c r="H63" s="483" t="str">
        <f>IF(C63=0,"","gal")</f>
        <v/>
      </c>
      <c r="I63" s="502" t="str">
        <f>IF(C63=0,"NA",IF(curve=1,pl_coag_st_eq,VLOOKUP(coag_tank_vol,pl_cst_cost_cl,3)))</f>
        <v>NA</v>
      </c>
      <c r="J63" s="485" t="str">
        <f>IF(OR(C63=0,I63="contact vendor"),"--",C63*I63)</f>
        <v>--</v>
      </c>
      <c r="K63" s="120" t="str">
        <f>IF(C63=0,"NA",VLOOKUP(coag_tank_vol,pl_cst_cost_cl,IF(ss_cat="large",4,5)))</f>
        <v>NA</v>
      </c>
      <c r="L63" s="334"/>
      <c r="M63" s="5" t="str">
        <f>$B$62&amp;" - "&amp;B63</f>
        <v>Ferric Chloride Storage Tanks - Plastic/XLPE</v>
      </c>
      <c r="N63" s="5">
        <f t="shared" ref="N63:N66" si="24">IF(retrofit=1,$W63*X63,IF(ISBLANK(X63),"",X63))</f>
        <v>1</v>
      </c>
      <c r="O63" s="5">
        <f t="shared" ref="O63:O66" si="25">IF(retrofit=1,$W63*Y63,IF(ISBLANK(Y63),"",Y63))</f>
        <v>2</v>
      </c>
      <c r="P63" s="5">
        <f t="shared" ref="P63:P66" si="26">IF(retrofit=1,$W63*Z63,IF(ISBLANK(Z63),"",Z63))</f>
        <v>2</v>
      </c>
      <c r="Q63" s="5">
        <f t="shared" ref="Q63:Q66" si="27">IF(retrofit=1,$W63*AA63,IF(ISBLANK(AA63),"",AA63))</f>
        <v>1</v>
      </c>
      <c r="R63" s="5">
        <f t="shared" ref="R63:R66" si="28">IF(retrofit=1,$W63*AB63,IF(ISBLANK(AB63),"",AB63))</f>
        <v>2</v>
      </c>
      <c r="S63" s="5">
        <f t="shared" ref="S63:S66" si="29">IF(retrofit=1,$W63*AC63,IF(ISBLANK(AC63),"",AC63))</f>
        <v>2</v>
      </c>
      <c r="T63" s="5">
        <f t="shared" ref="T63:T66" si="30">IF(retrofit=1,$W63*AD63,IF(ISBLANK(AD63),"",AD63))</f>
        <v>1</v>
      </c>
      <c r="U63" s="5">
        <f t="shared" ref="U63:U66" si="31">IF(retrofit=1,$W63*AE63,IF(ISBLANK(AE63),"",AE63))</f>
        <v>2</v>
      </c>
      <c r="V63" s="5">
        <f t="shared" ref="V63:V64" si="32">IF(retrofit=1,$W63*AF63,IF(ISBLANK(AF63),"",AF63))</f>
        <v>2</v>
      </c>
      <c r="W63" s="445">
        <v>0</v>
      </c>
      <c r="X63" s="414">
        <v>1</v>
      </c>
      <c r="Y63" s="414">
        <v>2</v>
      </c>
      <c r="Z63" s="414">
        <v>2</v>
      </c>
      <c r="AA63" s="414">
        <v>1</v>
      </c>
      <c r="AB63" s="414">
        <v>2</v>
      </c>
      <c r="AC63" s="414">
        <v>2</v>
      </c>
      <c r="AD63" s="414">
        <v>1</v>
      </c>
      <c r="AE63" s="414">
        <v>2</v>
      </c>
      <c r="AF63" s="414">
        <v>2</v>
      </c>
      <c r="AG63">
        <f t="shared" si="22"/>
        <v>0</v>
      </c>
      <c r="AH63">
        <f t="shared" si="23"/>
        <v>0</v>
      </c>
    </row>
    <row r="64" spans="1:34">
      <c r="A64" s="325" t="s">
        <v>2325</v>
      </c>
      <c r="B64" s="1" t="s">
        <v>2522</v>
      </c>
      <c r="C64" s="65">
        <f>coag_tanks</f>
        <v>0</v>
      </c>
      <c r="D64" s="1" t="s">
        <v>2222</v>
      </c>
      <c r="E64" s="501" t="str">
        <f>IF(C64=0,"NA",coag_tank_vol)</f>
        <v>NA</v>
      </c>
      <c r="F64" s="1" t="str">
        <f>IF(C64=0,"","gal")</f>
        <v/>
      </c>
      <c r="G64" s="501" t="str">
        <f>IF(C64=0,"NA",IF(curve=1,coag_tank_vol,VLOOKUP(coag_tank_vol,fg_cst_cost_cl,2)))</f>
        <v>NA</v>
      </c>
      <c r="H64" s="483" t="str">
        <f>IF(C64=0,"","gal")</f>
        <v/>
      </c>
      <c r="I64" s="502" t="str">
        <f>IF(C64=0,"NA",IF(curve=1,fg_coag_st_eq,VLOOKUP(coag_tank_vol,fg_cst_cost_cl,3)))</f>
        <v>NA</v>
      </c>
      <c r="J64" s="485" t="str">
        <f>IF(OR(C64=0,I64="contact vendor"),"--",C64*I64)</f>
        <v>--</v>
      </c>
      <c r="K64" s="120" t="str">
        <f>IF(C64=0,"NA",VLOOKUP(coag_tank_vol,fg_cst_cost_cl,IF(ss_cat="large",4,5)))</f>
        <v>NA</v>
      </c>
      <c r="L64" s="334"/>
      <c r="M64" s="5" t="str">
        <f>$B$62&amp;" - "&amp;B64</f>
        <v>Ferric Chloride Storage Tanks - Fiberglass</v>
      </c>
      <c r="N64" s="5">
        <f t="shared" si="24"/>
        <v>2</v>
      </c>
      <c r="O64" s="5">
        <f t="shared" si="25"/>
        <v>1</v>
      </c>
      <c r="P64" s="5">
        <f t="shared" si="26"/>
        <v>1</v>
      </c>
      <c r="Q64" s="5">
        <f t="shared" si="27"/>
        <v>2</v>
      </c>
      <c r="R64" s="5">
        <f t="shared" si="28"/>
        <v>1</v>
      </c>
      <c r="S64" s="5">
        <f t="shared" si="29"/>
        <v>1</v>
      </c>
      <c r="T64" s="5">
        <f t="shared" si="30"/>
        <v>2</v>
      </c>
      <c r="U64" s="5">
        <f t="shared" si="31"/>
        <v>1</v>
      </c>
      <c r="V64" s="5">
        <f t="shared" si="32"/>
        <v>1</v>
      </c>
      <c r="W64" s="445">
        <v>0</v>
      </c>
      <c r="X64" s="414">
        <v>2</v>
      </c>
      <c r="Y64" s="414">
        <v>1</v>
      </c>
      <c r="Z64" s="414">
        <v>1</v>
      </c>
      <c r="AA64" s="414">
        <v>2</v>
      </c>
      <c r="AB64" s="414">
        <v>1</v>
      </c>
      <c r="AC64" s="414">
        <v>1</v>
      </c>
      <c r="AD64" s="414">
        <v>2</v>
      </c>
      <c r="AE64" s="414">
        <v>1</v>
      </c>
      <c r="AF64" s="414">
        <v>1</v>
      </c>
      <c r="AG64">
        <f t="shared" si="22"/>
        <v>0</v>
      </c>
      <c r="AH64">
        <f t="shared" si="23"/>
        <v>0</v>
      </c>
    </row>
    <row r="65" spans="1:38">
      <c r="A65" s="325" t="s">
        <v>3735</v>
      </c>
      <c r="B65" s="65" t="s">
        <v>3733</v>
      </c>
      <c r="C65" s="320">
        <f>IF(OR(include_sec_cont=0,coag_tanks=0),0,coag_curb_concrete)</f>
        <v>0</v>
      </c>
      <c r="D65" s="65" t="s">
        <v>1591</v>
      </c>
      <c r="E65" s="723" t="s">
        <v>720</v>
      </c>
      <c r="F65" s="65"/>
      <c r="G65" s="723" t="s">
        <v>720</v>
      </c>
      <c r="H65" s="65"/>
      <c r="I65" s="902" t="str">
        <f>IF(C65=0,"NA",VLOOKUP(0,conc_basin_cost_cl,3))</f>
        <v>NA</v>
      </c>
      <c r="J65" s="903" t="str">
        <f t="shared" ref="J65:J66" si="33">IF(C65=0,"--",IF(I65="contact vendor","--",C65*I65))</f>
        <v>--</v>
      </c>
      <c r="K65" s="904" t="str">
        <f>IF(C65=0,"NA",VLOOKUP(0,conc_basin_cost_cl,IF(ss_cat="large",4,5)))</f>
        <v>NA</v>
      </c>
      <c r="L65" s="328"/>
      <c r="M65" s="5" t="str">
        <f t="shared" ref="M65:M66" si="34">$B$62&amp;" - "&amp;B65</f>
        <v>Ferric Chloride Storage Tanks - Secondary Containment - Concrete Curbing</v>
      </c>
      <c r="N65" s="5">
        <f t="shared" si="24"/>
        <v>1</v>
      </c>
      <c r="O65" s="5">
        <f t="shared" si="25"/>
        <v>1</v>
      </c>
      <c r="P65" s="5">
        <f t="shared" si="26"/>
        <v>1</v>
      </c>
      <c r="Q65" s="5">
        <f t="shared" si="27"/>
        <v>1</v>
      </c>
      <c r="R65" s="5">
        <f t="shared" si="28"/>
        <v>1</v>
      </c>
      <c r="S65" s="5">
        <f t="shared" si="29"/>
        <v>1</v>
      </c>
      <c r="T65" s="5">
        <f t="shared" si="30"/>
        <v>1</v>
      </c>
      <c r="U65" s="5">
        <f t="shared" si="31"/>
        <v>1</v>
      </c>
      <c r="V65" s="5">
        <f t="shared" ref="V65:V66" si="35">IF(retrofit=1,$W65*AF65,IF(ISBLANK(AF65),"",AF65))</f>
        <v>1</v>
      </c>
      <c r="W65" s="445">
        <v>0</v>
      </c>
      <c r="X65" s="414">
        <v>1</v>
      </c>
      <c r="Y65" s="414">
        <v>1</v>
      </c>
      <c r="Z65" s="414">
        <v>1</v>
      </c>
      <c r="AA65" s="414">
        <v>1</v>
      </c>
      <c r="AB65" s="414">
        <v>1</v>
      </c>
      <c r="AC65" s="414">
        <v>1</v>
      </c>
      <c r="AD65" s="414">
        <v>1</v>
      </c>
      <c r="AE65" s="414">
        <v>1</v>
      </c>
      <c r="AF65" s="414">
        <v>1</v>
      </c>
      <c r="AG65">
        <f t="shared" ref="AG65:AG66" si="36">IF(ISERROR(K65*L65),0,IF(K65&lt;1,0,L65))</f>
        <v>0</v>
      </c>
      <c r="AH65">
        <f t="shared" ref="AH65:AH66" si="37">IF(AG65,J65/K65,0)</f>
        <v>0</v>
      </c>
    </row>
    <row r="66" spans="1:38">
      <c r="A66" s="325" t="s">
        <v>3736</v>
      </c>
      <c r="B66" s="65" t="s">
        <v>3734</v>
      </c>
      <c r="C66" s="320">
        <f>IF(OR(include_sec_cont=0,coag_tanks=0),0,coag_coating_gal)</f>
        <v>0</v>
      </c>
      <c r="D66" s="65" t="s">
        <v>2843</v>
      </c>
      <c r="E66" s="723" t="s">
        <v>720</v>
      </c>
      <c r="F66" s="65"/>
      <c r="G66" s="723" t="s">
        <v>720</v>
      </c>
      <c r="H66" s="65"/>
      <c r="I66" s="902" t="str">
        <f>IF(C66=0,"NA",VLOOKUP(0,conc_coating_cost_cl,3))</f>
        <v>NA</v>
      </c>
      <c r="J66" s="903" t="str">
        <f t="shared" si="33"/>
        <v>--</v>
      </c>
      <c r="K66" s="904" t="str">
        <f>IF(C66=0,"NA",VLOOKUP(0,conc_coating_cost_cl,IF(ss_cat="large",4,5)))</f>
        <v>NA</v>
      </c>
      <c r="L66" s="328"/>
      <c r="M66" s="5" t="str">
        <f t="shared" si="34"/>
        <v>Ferric Chloride Storage Tanks - Secondary Containment - Chemical Resistant Coating</v>
      </c>
      <c r="N66" s="5">
        <f t="shared" si="24"/>
        <v>1</v>
      </c>
      <c r="O66" s="5">
        <f t="shared" si="25"/>
        <v>1</v>
      </c>
      <c r="P66" s="5">
        <f t="shared" si="26"/>
        <v>1</v>
      </c>
      <c r="Q66" s="5">
        <f t="shared" si="27"/>
        <v>1</v>
      </c>
      <c r="R66" s="5">
        <f t="shared" si="28"/>
        <v>1</v>
      </c>
      <c r="S66" s="5">
        <f t="shared" si="29"/>
        <v>1</v>
      </c>
      <c r="T66" s="5">
        <f t="shared" si="30"/>
        <v>1</v>
      </c>
      <c r="U66" s="5">
        <f t="shared" si="31"/>
        <v>1</v>
      </c>
      <c r="V66" s="5">
        <f t="shared" si="35"/>
        <v>1</v>
      </c>
      <c r="W66" s="445">
        <v>0</v>
      </c>
      <c r="X66" s="414">
        <v>1</v>
      </c>
      <c r="Y66" s="414">
        <v>1</v>
      </c>
      <c r="Z66" s="414">
        <v>1</v>
      </c>
      <c r="AA66" s="414">
        <v>1</v>
      </c>
      <c r="AB66" s="414">
        <v>1</v>
      </c>
      <c r="AC66" s="414">
        <v>1</v>
      </c>
      <c r="AD66" s="414">
        <v>1</v>
      </c>
      <c r="AE66" s="414">
        <v>1</v>
      </c>
      <c r="AF66" s="414">
        <v>1</v>
      </c>
      <c r="AG66">
        <f t="shared" si="36"/>
        <v>0</v>
      </c>
      <c r="AH66">
        <f t="shared" si="37"/>
        <v>0</v>
      </c>
    </row>
    <row r="67" spans="1:38">
      <c r="A67" s="498">
        <v>2.4</v>
      </c>
      <c r="B67" s="11" t="s">
        <v>2294</v>
      </c>
      <c r="C67" s="499"/>
      <c r="D67" s="669"/>
      <c r="E67" s="234"/>
      <c r="F67" s="671"/>
      <c r="G67" s="500"/>
      <c r="H67" s="671"/>
      <c r="I67" s="234"/>
      <c r="J67" s="234"/>
      <c r="K67" s="234"/>
      <c r="L67" s="200"/>
      <c r="M67" s="5"/>
      <c r="N67" s="31"/>
      <c r="O67" s="31"/>
      <c r="P67" s="31"/>
      <c r="Q67" s="31"/>
      <c r="R67" s="31"/>
      <c r="S67" s="31"/>
      <c r="T67" s="31"/>
      <c r="U67" s="31"/>
      <c r="V67" s="31"/>
      <c r="W67" s="147"/>
      <c r="Z67" s="421"/>
      <c r="AA67" s="421"/>
      <c r="AB67" s="421"/>
      <c r="AC67" s="421"/>
      <c r="AD67" s="421"/>
      <c r="AE67" s="421"/>
      <c r="AF67" s="421"/>
      <c r="AG67">
        <f t="shared" si="2"/>
        <v>0</v>
      </c>
      <c r="AH67">
        <f t="shared" si="3"/>
        <v>0</v>
      </c>
      <c r="AI67" s="18"/>
      <c r="AJ67" s="18"/>
      <c r="AL67" s="18"/>
    </row>
    <row r="68" spans="1:38" s="1" customFormat="1">
      <c r="A68" s="325" t="s">
        <v>3705</v>
      </c>
      <c r="B68" s="1" t="s">
        <v>3425</v>
      </c>
      <c r="C68" s="65">
        <f>polymer_tanks</f>
        <v>0</v>
      </c>
      <c r="D68" s="1" t="s">
        <v>2222</v>
      </c>
      <c r="E68" s="501" t="str">
        <f>IF(C68=0,"NA",polymer_tank_vol)</f>
        <v>NA</v>
      </c>
      <c r="F68" s="1" t="str">
        <f>IF(C68=0,"","gal")</f>
        <v/>
      </c>
      <c r="G68" s="501" t="str">
        <f>IF(C68=0,"NA",IF(curve=1,polymer_tank_vol,VLOOKUP(polymer_tank_vol,pl_cst_cost_cl,2)))</f>
        <v>NA</v>
      </c>
      <c r="H68" s="483" t="str">
        <f>IF(C68=0,"","gal")</f>
        <v/>
      </c>
      <c r="I68" s="502" t="str">
        <f>IF(C68=0,"NA",IF(curve=1,pl_polymer_st_eq,VLOOKUP(polymer_tank_vol,pl_cst_cost_cl,3)))</f>
        <v>NA</v>
      </c>
      <c r="J68" s="485" t="str">
        <f>IF(OR(C68=0,I68="contact vendor"),"--",C68*I68)</f>
        <v>--</v>
      </c>
      <c r="K68" s="120" t="str">
        <f>IF(C68=0,"NA",VLOOKUP(polymer_tank_vol,pl_cst_cost_cl,IF(ss_cat="large",4,5)))</f>
        <v>NA</v>
      </c>
      <c r="L68" s="334"/>
      <c r="M68" s="5" t="str">
        <f>$B$67&amp;" - "&amp;B68</f>
        <v>Polymer Storage Tanks - Plastic/XLPE</v>
      </c>
      <c r="N68" s="5">
        <f t="shared" ref="N68:V72" si="38">IF(retrofit=1,$W68*X68,IF(ISBLANK(X68),"",X68))</f>
        <v>1</v>
      </c>
      <c r="O68" s="5">
        <f t="shared" si="38"/>
        <v>2</v>
      </c>
      <c r="P68" s="5">
        <f t="shared" si="38"/>
        <v>3</v>
      </c>
      <c r="Q68" s="5">
        <f t="shared" si="38"/>
        <v>1</v>
      </c>
      <c r="R68" s="5">
        <f t="shared" si="38"/>
        <v>2</v>
      </c>
      <c r="S68" s="5">
        <f t="shared" si="38"/>
        <v>3</v>
      </c>
      <c r="T68" s="5">
        <f t="shared" si="38"/>
        <v>1</v>
      </c>
      <c r="U68" s="5">
        <f t="shared" si="38"/>
        <v>2</v>
      </c>
      <c r="V68" s="5">
        <f t="shared" si="38"/>
        <v>3</v>
      </c>
      <c r="W68" s="445">
        <v>0</v>
      </c>
      <c r="X68" s="414">
        <v>1</v>
      </c>
      <c r="Y68" s="414">
        <v>2</v>
      </c>
      <c r="Z68" s="414">
        <v>3</v>
      </c>
      <c r="AA68" s="414">
        <v>1</v>
      </c>
      <c r="AB68" s="414">
        <v>2</v>
      </c>
      <c r="AC68" s="414">
        <v>3</v>
      </c>
      <c r="AD68" s="414">
        <v>1</v>
      </c>
      <c r="AE68" s="414">
        <v>2</v>
      </c>
      <c r="AF68" s="414">
        <v>3</v>
      </c>
      <c r="AG68">
        <f t="shared" si="2"/>
        <v>0</v>
      </c>
      <c r="AH68">
        <f t="shared" si="3"/>
        <v>0</v>
      </c>
      <c r="AI68" s="153"/>
      <c r="AJ68" s="153"/>
      <c r="AL68" s="153"/>
    </row>
    <row r="69" spans="1:38" s="1" customFormat="1">
      <c r="A69" s="325" t="s">
        <v>3705</v>
      </c>
      <c r="B69" s="1" t="s">
        <v>2522</v>
      </c>
      <c r="C69" s="65">
        <f>polymer_tanks</f>
        <v>0</v>
      </c>
      <c r="D69" s="1" t="s">
        <v>2222</v>
      </c>
      <c r="E69" s="501" t="str">
        <f>IF(C69=0,"NA",polymer_tank_vol)</f>
        <v>NA</v>
      </c>
      <c r="F69" s="1" t="str">
        <f>IF(C69=0,"","gal")</f>
        <v/>
      </c>
      <c r="G69" s="501" t="str">
        <f>IF(C69=0,"NA",IF(curve=1,polymer_tank_vol,VLOOKUP(polymer_tank_vol,fg_cst_cost_cl,2)))</f>
        <v>NA</v>
      </c>
      <c r="H69" s="483" t="str">
        <f>IF(C69=0,"","gal")</f>
        <v/>
      </c>
      <c r="I69" s="502" t="str">
        <f>IF(C69=0,"NA",IF(curve=1,fg_polymer_st_eq,VLOOKUP(polymer_tank_vol,fg_cst_cost_cl,3)))</f>
        <v>NA</v>
      </c>
      <c r="J69" s="485" t="str">
        <f>IF(OR(C69=0,I69="contact vendor"),"--",C69*I69)</f>
        <v>--</v>
      </c>
      <c r="K69" s="120" t="str">
        <f>IF(C69=0,"NA",VLOOKUP(polymer_tank_vol,fg_cst_cost_cl,IF(ss_cat="large",4,5)))</f>
        <v>NA</v>
      </c>
      <c r="L69" s="334"/>
      <c r="M69" s="5" t="str">
        <f>$B$67&amp;" - "&amp;B69</f>
        <v>Polymer Storage Tanks - Fiberglass</v>
      </c>
      <c r="N69" s="5">
        <f t="shared" si="38"/>
        <v>2</v>
      </c>
      <c r="O69" s="5">
        <f t="shared" si="38"/>
        <v>1</v>
      </c>
      <c r="P69" s="5">
        <f t="shared" si="38"/>
        <v>2</v>
      </c>
      <c r="Q69" s="5">
        <f t="shared" si="38"/>
        <v>2</v>
      </c>
      <c r="R69" s="5">
        <f t="shared" si="38"/>
        <v>1</v>
      </c>
      <c r="S69" s="5">
        <f t="shared" si="38"/>
        <v>2</v>
      </c>
      <c r="T69" s="5">
        <f t="shared" si="38"/>
        <v>2</v>
      </c>
      <c r="U69" s="5">
        <f t="shared" si="38"/>
        <v>1</v>
      </c>
      <c r="V69" s="5">
        <f t="shared" si="38"/>
        <v>2</v>
      </c>
      <c r="W69" s="445">
        <v>0</v>
      </c>
      <c r="X69" s="414">
        <v>2</v>
      </c>
      <c r="Y69" s="414">
        <v>1</v>
      </c>
      <c r="Z69" s="414">
        <v>2</v>
      </c>
      <c r="AA69" s="414">
        <v>2</v>
      </c>
      <c r="AB69" s="414">
        <v>1</v>
      </c>
      <c r="AC69" s="414">
        <v>2</v>
      </c>
      <c r="AD69" s="414">
        <v>2</v>
      </c>
      <c r="AE69" s="414">
        <v>1</v>
      </c>
      <c r="AF69" s="414">
        <v>2</v>
      </c>
      <c r="AG69">
        <f t="shared" si="2"/>
        <v>0</v>
      </c>
      <c r="AH69">
        <f t="shared" si="3"/>
        <v>0</v>
      </c>
      <c r="AI69" s="153"/>
      <c r="AJ69" s="153"/>
      <c r="AL69" s="153"/>
    </row>
    <row r="70" spans="1:38" s="1" customFormat="1">
      <c r="A70" s="325" t="s">
        <v>3705</v>
      </c>
      <c r="B70" s="1" t="s">
        <v>17</v>
      </c>
      <c r="C70" s="65">
        <f>polymer_tanks</f>
        <v>0</v>
      </c>
      <c r="D70" s="1" t="s">
        <v>2222</v>
      </c>
      <c r="E70" s="501" t="str">
        <f>IF(C70=0,"NA",polymer_tank_vol)</f>
        <v>NA</v>
      </c>
      <c r="F70" s="1" t="str">
        <f>IF(C70=0,"","gal")</f>
        <v/>
      </c>
      <c r="G70" s="501" t="str">
        <f>IF(C70=0,"NA",IF(curve=1,polymer_tank_vol,VLOOKUP(polymer_tank_vol,ss_cst_cost_cl,2)))</f>
        <v>NA</v>
      </c>
      <c r="H70" s="483" t="str">
        <f>IF(C70=0,"","gal")</f>
        <v/>
      </c>
      <c r="I70" s="502" t="str">
        <f>IF(C70=0,"NA",IF(curve=1,ss_polymer_st_eq,VLOOKUP(polymer_tank_vol,ss_cst_cost_cl,3)))</f>
        <v>NA</v>
      </c>
      <c r="J70" s="485" t="str">
        <f>IF(OR(C70=0,I70="contact vendor"),"--",C70*I70)</f>
        <v>--</v>
      </c>
      <c r="K70" s="120" t="str">
        <f>IF(C70=0,"NA",VLOOKUP(polymer_tank_vol,ss_cst_cost_cl,IF(ss_cat="large",4,5)))</f>
        <v>NA</v>
      </c>
      <c r="L70" s="334"/>
      <c r="M70" s="5" t="str">
        <f>$B$67&amp;" - "&amp;B70</f>
        <v>Polymer Storage Tanks - Stainless Steel</v>
      </c>
      <c r="N70" s="5">
        <f t="shared" ref="N70:V70" si="39">IF(retrofit=1,$W70*X70,IF(ISBLANK(X70),"",X70))</f>
        <v>3</v>
      </c>
      <c r="O70" s="5">
        <f t="shared" si="39"/>
        <v>3</v>
      </c>
      <c r="P70" s="5">
        <f t="shared" si="39"/>
        <v>1</v>
      </c>
      <c r="Q70" s="5">
        <f t="shared" si="39"/>
        <v>3</v>
      </c>
      <c r="R70" s="5">
        <f t="shared" si="39"/>
        <v>3</v>
      </c>
      <c r="S70" s="5">
        <f t="shared" si="39"/>
        <v>1</v>
      </c>
      <c r="T70" s="5">
        <f t="shared" si="39"/>
        <v>3</v>
      </c>
      <c r="U70" s="5">
        <f t="shared" si="39"/>
        <v>3</v>
      </c>
      <c r="V70" s="5">
        <f t="shared" si="39"/>
        <v>1</v>
      </c>
      <c r="W70" s="445">
        <v>0</v>
      </c>
      <c r="X70" s="414">
        <v>3</v>
      </c>
      <c r="Y70" s="414">
        <v>3</v>
      </c>
      <c r="Z70" s="414">
        <v>1</v>
      </c>
      <c r="AA70" s="414">
        <v>3</v>
      </c>
      <c r="AB70" s="414">
        <v>3</v>
      </c>
      <c r="AC70" s="414">
        <v>1</v>
      </c>
      <c r="AD70" s="414">
        <v>3</v>
      </c>
      <c r="AE70" s="414">
        <v>3</v>
      </c>
      <c r="AF70" s="414">
        <v>1</v>
      </c>
      <c r="AG70">
        <f t="shared" si="2"/>
        <v>0</v>
      </c>
      <c r="AH70">
        <f t="shared" si="3"/>
        <v>0</v>
      </c>
      <c r="AI70" s="153"/>
      <c r="AJ70" s="153"/>
      <c r="AL70" s="153"/>
    </row>
    <row r="71" spans="1:38">
      <c r="A71" s="191" t="s">
        <v>815</v>
      </c>
      <c r="B71" s="14" t="s">
        <v>2524</v>
      </c>
      <c r="C71" s="24"/>
      <c r="D71" s="24"/>
      <c r="E71" s="24"/>
      <c r="F71" s="14"/>
      <c r="G71" s="24"/>
      <c r="H71" s="14"/>
      <c r="I71" s="24"/>
      <c r="J71" s="24"/>
      <c r="K71" s="24"/>
      <c r="L71" s="193"/>
      <c r="M71" s="27"/>
      <c r="N71" s="5" t="str">
        <f t="shared" si="38"/>
        <v/>
      </c>
      <c r="O71" s="5" t="str">
        <f t="shared" si="38"/>
        <v/>
      </c>
      <c r="P71" s="5" t="str">
        <f t="shared" si="38"/>
        <v/>
      </c>
      <c r="Q71" s="5" t="str">
        <f t="shared" si="38"/>
        <v/>
      </c>
      <c r="R71" s="5" t="str">
        <f t="shared" si="38"/>
        <v/>
      </c>
      <c r="S71" s="5" t="str">
        <f t="shared" si="38"/>
        <v/>
      </c>
      <c r="T71" s="5" t="str">
        <f t="shared" si="38"/>
        <v/>
      </c>
      <c r="U71" s="5" t="str">
        <f t="shared" si="38"/>
        <v/>
      </c>
      <c r="V71" s="5" t="str">
        <f t="shared" si="38"/>
        <v/>
      </c>
      <c r="W71" s="445"/>
      <c r="AG71" s="414">
        <f t="shared" si="2"/>
        <v>0</v>
      </c>
      <c r="AH71" s="414">
        <f t="shared" si="3"/>
        <v>0</v>
      </c>
    </row>
    <row r="72" spans="1:38">
      <c r="A72" s="388" t="s">
        <v>816</v>
      </c>
      <c r="B72" s="11" t="s">
        <v>2525</v>
      </c>
      <c r="C72" s="175"/>
      <c r="D72" s="668"/>
      <c r="E72" s="175"/>
      <c r="F72" s="669"/>
      <c r="G72" s="175"/>
      <c r="H72" s="669"/>
      <c r="I72" s="175"/>
      <c r="J72" s="175"/>
      <c r="K72" s="175"/>
      <c r="L72" s="196"/>
      <c r="M72" s="27"/>
      <c r="N72" s="5" t="str">
        <f t="shared" si="38"/>
        <v/>
      </c>
      <c r="O72" s="5" t="str">
        <f t="shared" si="38"/>
        <v/>
      </c>
      <c r="P72" s="5" t="str">
        <f t="shared" si="38"/>
        <v/>
      </c>
      <c r="Q72" s="5" t="str">
        <f t="shared" si="38"/>
        <v/>
      </c>
      <c r="R72" s="5" t="str">
        <f t="shared" si="38"/>
        <v/>
      </c>
      <c r="S72" s="5" t="str">
        <f t="shared" si="38"/>
        <v/>
      </c>
      <c r="T72" s="5" t="str">
        <f t="shared" si="38"/>
        <v/>
      </c>
      <c r="U72" s="5" t="str">
        <f t="shared" si="38"/>
        <v/>
      </c>
      <c r="V72" s="5" t="str">
        <f t="shared" si="38"/>
        <v/>
      </c>
      <c r="W72" s="445"/>
      <c r="AG72" s="414">
        <f t="shared" si="2"/>
        <v>0</v>
      </c>
      <c r="AH72" s="414">
        <f t="shared" si="3"/>
        <v>0</v>
      </c>
    </row>
    <row r="73" spans="1:38">
      <c r="A73" s="325" t="s">
        <v>817</v>
      </c>
      <c r="B73" s="1" t="s">
        <v>2260</v>
      </c>
      <c r="C73" s="65">
        <f>proc_pipe_length</f>
        <v>140</v>
      </c>
      <c r="D73" s="65" t="s">
        <v>2526</v>
      </c>
      <c r="E73" s="65">
        <f>proc_pipe_diam</f>
        <v>8</v>
      </c>
      <c r="F73" s="1" t="s">
        <v>2527</v>
      </c>
      <c r="G73" s="65">
        <f>IF(curve=1,proc_pipe_diam,VLOOKUP(proc_pipe_diam,di_pipe_cost_cl,2))</f>
        <v>8</v>
      </c>
      <c r="H73" s="1" t="s">
        <v>2527</v>
      </c>
      <c r="I73" s="332">
        <f>IF(curve=1,di_pipe_eq_proc,VLOOKUP(proc_pipe_diam,di_pipe_cost_cl,3))</f>
        <v>122.07131396299999</v>
      </c>
      <c r="J73" s="323">
        <f>IF(I73="contact vendor","--",C73*I73)</f>
        <v>17089.98395482</v>
      </c>
      <c r="K73" s="65">
        <f>VLOOKUP(proc_pipe_diam,di_pipe_cost_cl,IF(ss_cat="large",4,5))</f>
        <v>40</v>
      </c>
      <c r="L73" s="324">
        <v>0</v>
      </c>
      <c r="M73" s="27" t="str">
        <f>$B$72&amp;" - "&amp;B73</f>
        <v>Process Piping - Ductile Iron</v>
      </c>
      <c r="N73" s="5">
        <f t="shared" ref="N73:T77" si="40">IF(retrofit=1,$W73*X73,IF(ISBLANK(X73),"",X73))</f>
        <v>3</v>
      </c>
      <c r="O73" s="5">
        <f t="shared" si="40"/>
        <v>3</v>
      </c>
      <c r="P73" s="5">
        <f t="shared" si="40"/>
        <v>3</v>
      </c>
      <c r="Q73" s="5">
        <f t="shared" si="40"/>
        <v>3</v>
      </c>
      <c r="R73" s="5">
        <f t="shared" si="40"/>
        <v>3</v>
      </c>
      <c r="S73" s="5">
        <f t="shared" si="40"/>
        <v>3</v>
      </c>
      <c r="T73" s="5">
        <f t="shared" si="40"/>
        <v>3</v>
      </c>
      <c r="U73" s="5">
        <f t="shared" ref="U73:V77" si="41">IF(retrofit=1,$W73*AE73,IF(ISBLANK(AE73),"",AE73))</f>
        <v>3</v>
      </c>
      <c r="V73" s="5">
        <f t="shared" si="41"/>
        <v>3</v>
      </c>
      <c r="W73" s="445">
        <v>0</v>
      </c>
      <c r="X73" s="414">
        <v>3</v>
      </c>
      <c r="Y73" s="414">
        <v>3</v>
      </c>
      <c r="Z73" s="414">
        <v>3</v>
      </c>
      <c r="AA73" s="414">
        <v>3</v>
      </c>
      <c r="AB73" s="414">
        <v>3</v>
      </c>
      <c r="AC73" s="414">
        <v>3</v>
      </c>
      <c r="AD73" s="414">
        <v>3</v>
      </c>
      <c r="AE73" s="414">
        <v>3</v>
      </c>
      <c r="AF73" s="414">
        <v>3</v>
      </c>
      <c r="AG73" s="414">
        <f t="shared" si="2"/>
        <v>0</v>
      </c>
      <c r="AH73" s="414">
        <f t="shared" si="3"/>
        <v>0</v>
      </c>
    </row>
    <row r="74" spans="1:38">
      <c r="A74" s="325" t="s">
        <v>817</v>
      </c>
      <c r="B74" s="1" t="s">
        <v>2528</v>
      </c>
      <c r="C74" s="65">
        <f>proc_pipe_length</f>
        <v>140</v>
      </c>
      <c r="D74" s="65" t="s">
        <v>2526</v>
      </c>
      <c r="E74" s="65">
        <f>proc_pipe_diam</f>
        <v>8</v>
      </c>
      <c r="F74" s="1" t="s">
        <v>2527</v>
      </c>
      <c r="G74" s="65">
        <f>IF(curve=1,proc_pipe_diam,VLOOKUP(proc_pipe_diam,cpvc_pipe_cost_cl,2))</f>
        <v>8</v>
      </c>
      <c r="H74" s="1" t="s">
        <v>2527</v>
      </c>
      <c r="I74" s="332">
        <f>IF(curve=1,cpvc_pipe_eq_proc,VLOOKUP(proc_pipe_diam,cpvc_pipe_cost_cl,3))</f>
        <v>75.189682919999996</v>
      </c>
      <c r="J74" s="323">
        <f>IF(I74="contact vendor","--",C74*I74)</f>
        <v>10526.555608799999</v>
      </c>
      <c r="K74" s="65">
        <f>VLOOKUP(proc_pipe_diam,cpvc_pipe_cost_cl,IF(ss_cat="large",4,5))</f>
        <v>22</v>
      </c>
      <c r="L74" s="324">
        <v>0</v>
      </c>
      <c r="M74" s="27" t="str">
        <f>$B$72&amp;" - "&amp;B74</f>
        <v>Process Piping - CPVC</v>
      </c>
      <c r="N74" s="5">
        <f t="shared" si="40"/>
        <v>2</v>
      </c>
      <c r="O74" s="5">
        <f t="shared" si="40"/>
        <v>1</v>
      </c>
      <c r="P74" s="5">
        <f t="shared" si="40"/>
        <v>4</v>
      </c>
      <c r="Q74" s="5">
        <f t="shared" si="40"/>
        <v>2</v>
      </c>
      <c r="R74" s="5">
        <f t="shared" si="40"/>
        <v>1</v>
      </c>
      <c r="S74" s="5">
        <f t="shared" si="40"/>
        <v>4</v>
      </c>
      <c r="T74" s="5">
        <f t="shared" si="40"/>
        <v>2</v>
      </c>
      <c r="U74" s="5">
        <f t="shared" si="41"/>
        <v>1</v>
      </c>
      <c r="V74" s="5">
        <f t="shared" si="41"/>
        <v>4</v>
      </c>
      <c r="W74" s="445">
        <v>0</v>
      </c>
      <c r="X74" s="414">
        <v>2</v>
      </c>
      <c r="Y74" s="414">
        <v>1</v>
      </c>
      <c r="Z74" s="414">
        <v>4</v>
      </c>
      <c r="AA74" s="414">
        <v>2</v>
      </c>
      <c r="AB74" s="414">
        <v>1</v>
      </c>
      <c r="AC74" s="414">
        <v>4</v>
      </c>
      <c r="AD74" s="414">
        <v>2</v>
      </c>
      <c r="AE74" s="414">
        <v>1</v>
      </c>
      <c r="AF74" s="414">
        <v>4</v>
      </c>
      <c r="AG74" s="414">
        <f t="shared" si="2"/>
        <v>0</v>
      </c>
      <c r="AH74" s="414">
        <f t="shared" si="3"/>
        <v>0</v>
      </c>
    </row>
    <row r="75" spans="1:38">
      <c r="A75" s="325" t="s">
        <v>817</v>
      </c>
      <c r="B75" s="1" t="s">
        <v>2529</v>
      </c>
      <c r="C75" s="65">
        <f>proc_pipe_length</f>
        <v>140</v>
      </c>
      <c r="D75" s="65" t="s">
        <v>2526</v>
      </c>
      <c r="E75" s="65">
        <f>proc_pipe_diam</f>
        <v>8</v>
      </c>
      <c r="F75" s="1" t="s">
        <v>2527</v>
      </c>
      <c r="G75" s="65">
        <f>IF(curve=1,proc_pipe_diam,VLOOKUP(proc_pipe_diam,pvc_pipe_cost_cl,2))</f>
        <v>8</v>
      </c>
      <c r="H75" s="1" t="s">
        <v>2527</v>
      </c>
      <c r="I75" s="332">
        <f>IF(curve=1,pvc_pipe_eq_proc,VLOOKUP(proc_pipe_diam,pvc_pipe_cost_cl,3))</f>
        <v>14.050385904999999</v>
      </c>
      <c r="J75" s="323">
        <f>IF(I75="contact vendor","--",C75*I75)</f>
        <v>1967.0540266999999</v>
      </c>
      <c r="K75" s="65">
        <f>VLOOKUP(proc_pipe_diam,pvc_pipe_cost_cl,IF(ss_cat="large",4,5))</f>
        <v>22</v>
      </c>
      <c r="L75" s="324">
        <v>1</v>
      </c>
      <c r="M75" s="27" t="str">
        <f>$B$72&amp;" - "&amp;B75</f>
        <v>Process Piping - PVC</v>
      </c>
      <c r="N75" s="5">
        <f t="shared" si="40"/>
        <v>1</v>
      </c>
      <c r="O75" s="5">
        <f t="shared" si="40"/>
        <v>2</v>
      </c>
      <c r="P75" s="5">
        <f t="shared" si="40"/>
        <v>5</v>
      </c>
      <c r="Q75" s="5">
        <f t="shared" si="40"/>
        <v>1</v>
      </c>
      <c r="R75" s="5">
        <f t="shared" si="40"/>
        <v>2</v>
      </c>
      <c r="S75" s="5">
        <f t="shared" si="40"/>
        <v>5</v>
      </c>
      <c r="T75" s="5">
        <f t="shared" si="40"/>
        <v>1</v>
      </c>
      <c r="U75" s="5">
        <f t="shared" si="41"/>
        <v>2</v>
      </c>
      <c r="V75" s="5">
        <f t="shared" si="41"/>
        <v>5</v>
      </c>
      <c r="W75" s="445">
        <v>0</v>
      </c>
      <c r="X75" s="414">
        <v>1</v>
      </c>
      <c r="Y75" s="414">
        <v>2</v>
      </c>
      <c r="Z75" s="414">
        <v>5</v>
      </c>
      <c r="AA75" s="414">
        <v>1</v>
      </c>
      <c r="AB75" s="414">
        <v>2</v>
      </c>
      <c r="AC75" s="414">
        <v>5</v>
      </c>
      <c r="AD75" s="414">
        <v>1</v>
      </c>
      <c r="AE75" s="414">
        <v>2</v>
      </c>
      <c r="AF75" s="414">
        <v>5</v>
      </c>
      <c r="AG75" s="414">
        <f t="shared" si="2"/>
        <v>1</v>
      </c>
      <c r="AH75" s="414">
        <f t="shared" si="3"/>
        <v>89.411546668181813</v>
      </c>
    </row>
    <row r="76" spans="1:38">
      <c r="A76" s="325" t="s">
        <v>817</v>
      </c>
      <c r="B76" s="1" t="s">
        <v>17</v>
      </c>
      <c r="C76" s="65">
        <f>proc_pipe_length</f>
        <v>140</v>
      </c>
      <c r="D76" s="65" t="s">
        <v>2526</v>
      </c>
      <c r="E76" s="65">
        <f>proc_pipe_diam</f>
        <v>8</v>
      </c>
      <c r="F76" s="1" t="s">
        <v>2527</v>
      </c>
      <c r="G76" s="65">
        <f>IF(curve=1,proc_pipe_diam,VLOOKUP(proc_pipe_diam,ss_pipe_cost_cl,2))</f>
        <v>8</v>
      </c>
      <c r="H76" s="1" t="s">
        <v>2527</v>
      </c>
      <c r="I76" s="332">
        <f>IF(curve=1,ss_pipe_eq_proc,VLOOKUP(proc_pipe_diam,ss_pipe_cost_cl,3))</f>
        <v>318.42652789300001</v>
      </c>
      <c r="J76" s="323">
        <f>IF(I76="contact vendor","--",C76*I76)</f>
        <v>44579.713905019998</v>
      </c>
      <c r="K76" s="65">
        <f>VLOOKUP(proc_pipe_diam,ss_pipe_cost_cl,IF(ss_cat="large",4,5))</f>
        <v>45</v>
      </c>
      <c r="L76" s="324">
        <v>0</v>
      </c>
      <c r="M76" s="27" t="str">
        <f>$B$72&amp;" - "&amp;B76</f>
        <v>Process Piping - Stainless Steel</v>
      </c>
      <c r="N76" s="5">
        <f t="shared" si="40"/>
        <v>5</v>
      </c>
      <c r="O76" s="5">
        <f t="shared" si="40"/>
        <v>5</v>
      </c>
      <c r="P76" s="5">
        <f t="shared" si="40"/>
        <v>1</v>
      </c>
      <c r="Q76" s="5">
        <f t="shared" si="40"/>
        <v>5</v>
      </c>
      <c r="R76" s="5">
        <f t="shared" si="40"/>
        <v>5</v>
      </c>
      <c r="S76" s="5">
        <f t="shared" si="40"/>
        <v>1</v>
      </c>
      <c r="T76" s="5">
        <f t="shared" si="40"/>
        <v>5</v>
      </c>
      <c r="U76" s="5">
        <f t="shared" si="41"/>
        <v>5</v>
      </c>
      <c r="V76" s="5">
        <f t="shared" si="41"/>
        <v>1</v>
      </c>
      <c r="W76" s="445">
        <v>0</v>
      </c>
      <c r="X76" s="414">
        <v>5</v>
      </c>
      <c r="Y76" s="414">
        <v>5</v>
      </c>
      <c r="Z76" s="414">
        <v>1</v>
      </c>
      <c r="AA76" s="414">
        <v>5</v>
      </c>
      <c r="AB76" s="414">
        <v>5</v>
      </c>
      <c r="AC76" s="414">
        <v>1</v>
      </c>
      <c r="AD76" s="414">
        <v>5</v>
      </c>
      <c r="AE76" s="414">
        <v>5</v>
      </c>
      <c r="AF76" s="414">
        <v>1</v>
      </c>
      <c r="AG76" s="414">
        <f t="shared" si="2"/>
        <v>0</v>
      </c>
      <c r="AH76" s="414">
        <f t="shared" si="3"/>
        <v>0</v>
      </c>
    </row>
    <row r="77" spans="1:38">
      <c r="A77" s="325" t="s">
        <v>817</v>
      </c>
      <c r="B77" s="1" t="s">
        <v>2530</v>
      </c>
      <c r="C77" s="65">
        <f>proc_pipe_length</f>
        <v>140</v>
      </c>
      <c r="D77" s="65" t="s">
        <v>2526</v>
      </c>
      <c r="E77" s="65">
        <f>proc_pipe_diam</f>
        <v>8</v>
      </c>
      <c r="F77" s="1" t="s">
        <v>2527</v>
      </c>
      <c r="G77" s="65">
        <f>IF(curve=1,proc_pipe_diam,VLOOKUP(proc_pipe_diam,st_pipe_cost_cl,2))</f>
        <v>8</v>
      </c>
      <c r="H77" s="1" t="s">
        <v>2527</v>
      </c>
      <c r="I77" s="332">
        <f>IF(curve=1,st_pipe_eq_proc,VLOOKUP(proc_pipe_diam,st_pipe_cost_cl,3))</f>
        <v>141.81386805735917</v>
      </c>
      <c r="J77" s="323">
        <f>IF(I77="contact vendor","--",C77*I77)</f>
        <v>19853.941528030286</v>
      </c>
      <c r="K77" s="65">
        <f>VLOOKUP(proc_pipe_diam,st_pipe_cost_cl,IF(ss_cat="large",4,5))</f>
        <v>35</v>
      </c>
      <c r="L77" s="324">
        <v>0</v>
      </c>
      <c r="M77" s="27" t="str">
        <f>$B$72&amp;" - "&amp;B77</f>
        <v>Process Piping - Steel</v>
      </c>
      <c r="N77" s="5">
        <f t="shared" si="40"/>
        <v>4</v>
      </c>
      <c r="O77" s="5">
        <f t="shared" si="40"/>
        <v>4</v>
      </c>
      <c r="P77" s="5">
        <f t="shared" si="40"/>
        <v>2</v>
      </c>
      <c r="Q77" s="5">
        <f t="shared" si="40"/>
        <v>4</v>
      </c>
      <c r="R77" s="5">
        <f t="shared" si="40"/>
        <v>4</v>
      </c>
      <c r="S77" s="5">
        <f t="shared" si="40"/>
        <v>2</v>
      </c>
      <c r="T77" s="5">
        <f t="shared" si="40"/>
        <v>4</v>
      </c>
      <c r="U77" s="5">
        <f t="shared" si="41"/>
        <v>4</v>
      </c>
      <c r="V77" s="5">
        <f t="shared" si="41"/>
        <v>2</v>
      </c>
      <c r="W77" s="445">
        <v>0</v>
      </c>
      <c r="X77" s="414">
        <v>4</v>
      </c>
      <c r="Y77" s="414">
        <v>4</v>
      </c>
      <c r="Z77" s="414">
        <v>2</v>
      </c>
      <c r="AA77" s="414">
        <v>4</v>
      </c>
      <c r="AB77" s="414">
        <v>4</v>
      </c>
      <c r="AC77" s="414">
        <v>2</v>
      </c>
      <c r="AD77" s="414">
        <v>4</v>
      </c>
      <c r="AE77" s="414">
        <v>4</v>
      </c>
      <c r="AF77" s="414">
        <v>2</v>
      </c>
      <c r="AG77" s="414">
        <f t="shared" si="2"/>
        <v>0</v>
      </c>
      <c r="AH77" s="414">
        <f t="shared" si="3"/>
        <v>0</v>
      </c>
    </row>
    <row r="78" spans="1:38">
      <c r="A78" s="388" t="s">
        <v>818</v>
      </c>
      <c r="B78" s="11" t="s">
        <v>724</v>
      </c>
      <c r="C78" s="175"/>
      <c r="D78" s="668"/>
      <c r="E78" s="175"/>
      <c r="F78" s="669"/>
      <c r="G78" s="175"/>
      <c r="H78" s="669"/>
      <c r="I78" s="175"/>
      <c r="J78" s="175"/>
      <c r="K78" s="175"/>
      <c r="L78" s="196"/>
      <c r="M78" s="27"/>
      <c r="AG78" s="414">
        <f t="shared" si="2"/>
        <v>0</v>
      </c>
      <c r="AH78" s="414">
        <f t="shared" si="3"/>
        <v>0</v>
      </c>
    </row>
    <row r="79" spans="1:38">
      <c r="A79" s="325" t="s">
        <v>819</v>
      </c>
      <c r="B79" s="1" t="s">
        <v>2528</v>
      </c>
      <c r="C79" s="65">
        <f>back_pipe_length</f>
        <v>175</v>
      </c>
      <c r="D79" s="65" t="s">
        <v>2526</v>
      </c>
      <c r="E79" s="65">
        <f>back_pipe_diam</f>
        <v>8</v>
      </c>
      <c r="F79" s="1" t="s">
        <v>2527</v>
      </c>
      <c r="G79" s="65">
        <f>IF(curve=1,back_pipe_diam,VLOOKUP(back_pipe_diam,cpvc_pipe_cost_cl,2))</f>
        <v>8</v>
      </c>
      <c r="H79" s="1" t="s">
        <v>2527</v>
      </c>
      <c r="I79" s="332">
        <f>IF(curve=1,cpvc_pipe_eq_back,VLOOKUP(back_pipe_diam,cpvc_pipe_cost_cl,3))</f>
        <v>75.189682919999996</v>
      </c>
      <c r="J79" s="323">
        <f>IF(I79="contact vendor","--",C79*I79)</f>
        <v>13158.194511</v>
      </c>
      <c r="K79" s="65">
        <f>VLOOKUP(back_pipe_diam,cpvc_pipe_cost_cl,IF(ss_cat="large",4,5))</f>
        <v>22</v>
      </c>
      <c r="L79" s="324">
        <v>0</v>
      </c>
      <c r="M79" s="27" t="str">
        <f>$B$78&amp;" - "&amp;B79</f>
        <v>Backwash Piping - CPVC</v>
      </c>
      <c r="N79" s="5">
        <f t="shared" ref="N79:T82" si="42">IF(retrofit=1,$W79*X79,IF(ISBLANK(X79),"",X79))</f>
        <v>2</v>
      </c>
      <c r="O79" s="5">
        <f t="shared" si="42"/>
        <v>1</v>
      </c>
      <c r="P79" s="5">
        <f t="shared" si="42"/>
        <v>3</v>
      </c>
      <c r="Q79" s="5">
        <f t="shared" si="42"/>
        <v>2</v>
      </c>
      <c r="R79" s="5">
        <f t="shared" si="42"/>
        <v>1</v>
      </c>
      <c r="S79" s="5">
        <f t="shared" si="42"/>
        <v>3</v>
      </c>
      <c r="T79" s="5">
        <f t="shared" si="42"/>
        <v>2</v>
      </c>
      <c r="U79" s="5">
        <f t="shared" ref="U79:V82" si="43">IF(retrofit=1,$W79*AE79,IF(ISBLANK(AE79),"",AE79))</f>
        <v>1</v>
      </c>
      <c r="V79" s="5">
        <f t="shared" si="43"/>
        <v>3</v>
      </c>
      <c r="W79" s="445">
        <v>0</v>
      </c>
      <c r="X79" s="414">
        <v>2</v>
      </c>
      <c r="Y79" s="414">
        <v>1</v>
      </c>
      <c r="Z79" s="414">
        <v>3</v>
      </c>
      <c r="AA79" s="414">
        <v>2</v>
      </c>
      <c r="AB79" s="414">
        <v>1</v>
      </c>
      <c r="AC79" s="414">
        <v>3</v>
      </c>
      <c r="AD79" s="414">
        <v>2</v>
      </c>
      <c r="AE79" s="414">
        <v>1</v>
      </c>
      <c r="AF79" s="414">
        <v>3</v>
      </c>
      <c r="AG79" s="414">
        <f t="shared" si="2"/>
        <v>0</v>
      </c>
      <c r="AH79" s="414">
        <f t="shared" si="3"/>
        <v>0</v>
      </c>
    </row>
    <row r="80" spans="1:38">
      <c r="A80" s="325" t="s">
        <v>819</v>
      </c>
      <c r="B80" s="1" t="s">
        <v>2529</v>
      </c>
      <c r="C80" s="65">
        <f>back_pipe_length</f>
        <v>175</v>
      </c>
      <c r="D80" s="65" t="s">
        <v>2526</v>
      </c>
      <c r="E80" s="65">
        <f>back_pipe_diam</f>
        <v>8</v>
      </c>
      <c r="F80" s="1" t="s">
        <v>2527</v>
      </c>
      <c r="G80" s="65">
        <f>IF(curve=1,back_pipe_diam,VLOOKUP(back_pipe_diam,pvc_pipe_cost_cl,2))</f>
        <v>8</v>
      </c>
      <c r="H80" s="1" t="s">
        <v>2527</v>
      </c>
      <c r="I80" s="332">
        <f>IF(curve=1,pvc_pipe_eq_back,VLOOKUP(back_pipe_diam,pvc_pipe_cost_cl,3))</f>
        <v>14.050385904999999</v>
      </c>
      <c r="J80" s="323">
        <f>IF(I80="contact vendor","--",C80*I80)</f>
        <v>2458.8175333749996</v>
      </c>
      <c r="K80" s="65">
        <f>VLOOKUP(back_pipe_diam,pvc_pipe_cost_cl,IF(ss_cat="large",4,5))</f>
        <v>22</v>
      </c>
      <c r="L80" s="324">
        <v>1</v>
      </c>
      <c r="M80" s="27" t="str">
        <f>$B$78&amp;" - "&amp;B80</f>
        <v>Backwash Piping - PVC</v>
      </c>
      <c r="N80" s="5">
        <f t="shared" si="42"/>
        <v>1</v>
      </c>
      <c r="O80" s="5">
        <f t="shared" si="42"/>
        <v>2</v>
      </c>
      <c r="P80" s="5">
        <f t="shared" si="42"/>
        <v>4</v>
      </c>
      <c r="Q80" s="5">
        <f t="shared" si="42"/>
        <v>1</v>
      </c>
      <c r="R80" s="5">
        <f t="shared" si="42"/>
        <v>2</v>
      </c>
      <c r="S80" s="5">
        <f t="shared" si="42"/>
        <v>4</v>
      </c>
      <c r="T80" s="5">
        <f t="shared" si="42"/>
        <v>1</v>
      </c>
      <c r="U80" s="5">
        <f t="shared" si="43"/>
        <v>2</v>
      </c>
      <c r="V80" s="5">
        <f t="shared" si="43"/>
        <v>4</v>
      </c>
      <c r="W80" s="445">
        <v>0</v>
      </c>
      <c r="X80" s="414">
        <v>1</v>
      </c>
      <c r="Y80" s="414">
        <v>2</v>
      </c>
      <c r="Z80" s="414">
        <v>4</v>
      </c>
      <c r="AA80" s="414">
        <v>1</v>
      </c>
      <c r="AB80" s="414">
        <v>2</v>
      </c>
      <c r="AC80" s="414">
        <v>4</v>
      </c>
      <c r="AD80" s="414">
        <v>1</v>
      </c>
      <c r="AE80" s="414">
        <v>2</v>
      </c>
      <c r="AF80" s="414">
        <v>4</v>
      </c>
      <c r="AG80" s="414">
        <f t="shared" si="2"/>
        <v>1</v>
      </c>
      <c r="AH80" s="414">
        <f t="shared" si="3"/>
        <v>111.76443333522725</v>
      </c>
    </row>
    <row r="81" spans="1:34">
      <c r="A81" s="325" t="s">
        <v>819</v>
      </c>
      <c r="B81" s="1" t="s">
        <v>17</v>
      </c>
      <c r="C81" s="65">
        <f>back_pipe_length</f>
        <v>175</v>
      </c>
      <c r="D81" s="65" t="s">
        <v>2526</v>
      </c>
      <c r="E81" s="65">
        <f>back_pipe_diam</f>
        <v>8</v>
      </c>
      <c r="F81" s="1" t="s">
        <v>2527</v>
      </c>
      <c r="G81" s="65">
        <f>IF(curve=1,back_pipe_diam,VLOOKUP(back_pipe_diam,ss_pipe_cost_cl,2))</f>
        <v>8</v>
      </c>
      <c r="H81" s="1" t="s">
        <v>2527</v>
      </c>
      <c r="I81" s="332">
        <f>IF(curve=1,ss_pipe_eq_back,VLOOKUP(back_pipe_diam,ss_pipe_cost_cl,3))</f>
        <v>318.42652789300001</v>
      </c>
      <c r="J81" s="323">
        <f>IF(I81="contact vendor","--",C81*I81)</f>
        <v>55724.642381275</v>
      </c>
      <c r="K81" s="65">
        <f>VLOOKUP(back_pipe_diam,ss_pipe_cost_cl,IF(ss_cat="large",4,5))</f>
        <v>45</v>
      </c>
      <c r="L81" s="324">
        <v>0</v>
      </c>
      <c r="M81" s="27" t="str">
        <f>$B$78&amp;" - "&amp;B81</f>
        <v>Backwash Piping - Stainless Steel</v>
      </c>
      <c r="N81" s="5">
        <f t="shared" si="42"/>
        <v>4</v>
      </c>
      <c r="O81" s="5">
        <f t="shared" si="42"/>
        <v>4</v>
      </c>
      <c r="P81" s="5">
        <f t="shared" si="42"/>
        <v>1</v>
      </c>
      <c r="Q81" s="5">
        <f t="shared" si="42"/>
        <v>4</v>
      </c>
      <c r="R81" s="5">
        <f t="shared" si="42"/>
        <v>4</v>
      </c>
      <c r="S81" s="5">
        <f t="shared" si="42"/>
        <v>1</v>
      </c>
      <c r="T81" s="5">
        <f t="shared" si="42"/>
        <v>4</v>
      </c>
      <c r="U81" s="5">
        <f t="shared" si="43"/>
        <v>4</v>
      </c>
      <c r="V81" s="5">
        <f t="shared" si="43"/>
        <v>1</v>
      </c>
      <c r="W81" s="445">
        <v>0</v>
      </c>
      <c r="X81" s="414">
        <v>4</v>
      </c>
      <c r="Y81" s="414">
        <v>4</v>
      </c>
      <c r="Z81" s="414">
        <v>1</v>
      </c>
      <c r="AA81" s="414">
        <v>4</v>
      </c>
      <c r="AB81" s="414">
        <v>4</v>
      </c>
      <c r="AC81" s="414">
        <v>1</v>
      </c>
      <c r="AD81" s="414">
        <v>4</v>
      </c>
      <c r="AE81" s="414">
        <v>4</v>
      </c>
      <c r="AF81" s="414">
        <v>1</v>
      </c>
      <c r="AG81" s="414">
        <f t="shared" si="2"/>
        <v>0</v>
      </c>
      <c r="AH81" s="414">
        <f t="shared" si="3"/>
        <v>0</v>
      </c>
    </row>
    <row r="82" spans="1:34">
      <c r="A82" s="325" t="s">
        <v>819</v>
      </c>
      <c r="B82" s="1" t="s">
        <v>2530</v>
      </c>
      <c r="C82" s="65">
        <f>back_pipe_length</f>
        <v>175</v>
      </c>
      <c r="D82" s="65" t="s">
        <v>2526</v>
      </c>
      <c r="E82" s="65">
        <f>back_pipe_diam</f>
        <v>8</v>
      </c>
      <c r="F82" s="1" t="s">
        <v>2527</v>
      </c>
      <c r="G82" s="65">
        <f>IF(curve=1,back_pipe_diam,VLOOKUP(back_pipe_diam,st_pipe_cost_cl,2))</f>
        <v>8</v>
      </c>
      <c r="H82" s="1" t="s">
        <v>2527</v>
      </c>
      <c r="I82" s="332">
        <f>IF(curve=1,st_pipe_eq_back,VLOOKUP(back_pipe_diam,st_pipe_cost_cl,3))</f>
        <v>141.81386805735917</v>
      </c>
      <c r="J82" s="323">
        <f>IF(I82="contact vendor","--",C82*I82)</f>
        <v>24817.426910037855</v>
      </c>
      <c r="K82" s="65">
        <f>VLOOKUP(back_pipe_diam,st_pipe_cost_cl,IF(ss_cat="large",4,5))</f>
        <v>35</v>
      </c>
      <c r="L82" s="324">
        <v>0</v>
      </c>
      <c r="M82" s="27" t="str">
        <f>$B$78&amp;" - "&amp;B82</f>
        <v>Backwash Piping - Steel</v>
      </c>
      <c r="N82" s="5">
        <f t="shared" si="42"/>
        <v>3</v>
      </c>
      <c r="O82" s="5">
        <f t="shared" si="42"/>
        <v>3</v>
      </c>
      <c r="P82" s="5">
        <f t="shared" si="42"/>
        <v>2</v>
      </c>
      <c r="Q82" s="5">
        <f t="shared" si="42"/>
        <v>3</v>
      </c>
      <c r="R82" s="5">
        <f t="shared" si="42"/>
        <v>3</v>
      </c>
      <c r="S82" s="5">
        <f t="shared" si="42"/>
        <v>2</v>
      </c>
      <c r="T82" s="5">
        <f t="shared" si="42"/>
        <v>3</v>
      </c>
      <c r="U82" s="5">
        <f t="shared" si="43"/>
        <v>3</v>
      </c>
      <c r="V82" s="5">
        <f t="shared" si="43"/>
        <v>2</v>
      </c>
      <c r="W82" s="445">
        <v>0</v>
      </c>
      <c r="X82" s="414">
        <v>3</v>
      </c>
      <c r="Y82" s="414">
        <v>3</v>
      </c>
      <c r="Z82" s="414">
        <v>2</v>
      </c>
      <c r="AA82" s="414">
        <v>3</v>
      </c>
      <c r="AB82" s="414">
        <v>3</v>
      </c>
      <c r="AC82" s="414">
        <v>2</v>
      </c>
      <c r="AD82" s="414">
        <v>3</v>
      </c>
      <c r="AE82" s="414">
        <v>3</v>
      </c>
      <c r="AF82" s="414">
        <v>2</v>
      </c>
      <c r="AG82" s="414">
        <f t="shared" si="2"/>
        <v>0</v>
      </c>
      <c r="AH82" s="414">
        <f t="shared" si="3"/>
        <v>0</v>
      </c>
    </row>
    <row r="83" spans="1:34">
      <c r="A83" s="388" t="s">
        <v>820</v>
      </c>
      <c r="B83" s="11" t="s">
        <v>3769</v>
      </c>
      <c r="C83" s="175"/>
      <c r="D83" s="668"/>
      <c r="E83" s="175"/>
      <c r="F83" s="669"/>
      <c r="G83" s="175"/>
      <c r="H83" s="669"/>
      <c r="I83" s="175"/>
      <c r="J83" s="175"/>
      <c r="K83" s="175"/>
      <c r="L83" s="196"/>
      <c r="M83" s="27"/>
      <c r="AG83" s="414">
        <f t="shared" si="2"/>
        <v>0</v>
      </c>
      <c r="AH83" s="414">
        <f t="shared" si="3"/>
        <v>0</v>
      </c>
    </row>
    <row r="84" spans="1:34">
      <c r="A84" s="325" t="s">
        <v>821</v>
      </c>
      <c r="B84" s="1" t="s">
        <v>2260</v>
      </c>
      <c r="C84" s="65">
        <f>in_out_pipe_length</f>
        <v>140</v>
      </c>
      <c r="D84" s="65" t="s">
        <v>2526</v>
      </c>
      <c r="E84" s="327">
        <f>IF(C84=0,"NA",in_out_pipe_diam)</f>
        <v>10</v>
      </c>
      <c r="F84" s="1" t="str">
        <f>IF(C84=0,"","in. diam")</f>
        <v>in. diam</v>
      </c>
      <c r="G84" s="327">
        <f>IF(C84=0,"NA",IF(curve=1,in_out_pipe_diam,VLOOKUP(in_out_pipe_diam,di_pipe_cost_cl,2)))</f>
        <v>10</v>
      </c>
      <c r="H84" s="1" t="str">
        <f>IF(C84=0,"","in. diam")</f>
        <v>in. diam</v>
      </c>
      <c r="I84" s="343">
        <f>IF(C84=0,"NA",IF(curve=1,di_pipe_eq_in_out,VLOOKUP(in_out_pipe_diam,di_pipe_cost_cl,3)))</f>
        <v>141.73754675700002</v>
      </c>
      <c r="J84" s="323">
        <f>IF(OR(C84=0,I84="contact vendor"),"--",C84*I84)</f>
        <v>19843.256545980003</v>
      </c>
      <c r="K84" s="327">
        <f>IF(C84=0,"NA",VLOOKUP(in_out_pipe_diam,di_pipe_cost_cl,IF(ss_cat="large",4,5)))</f>
        <v>40</v>
      </c>
      <c r="L84" s="324">
        <v>0</v>
      </c>
      <c r="M84" s="27" t="str">
        <f>$B$83&amp;" - "&amp;B84</f>
        <v>Influent and Treated Water Piping - Ductile Iron</v>
      </c>
      <c r="N84" s="5">
        <f t="shared" ref="N84:T88" si="44">IF(retrofit=1,$W84*X84,IF(ISBLANK(X84),"",X84))</f>
        <v>3</v>
      </c>
      <c r="O84" s="5">
        <f t="shared" si="44"/>
        <v>3</v>
      </c>
      <c r="P84" s="5">
        <f t="shared" si="44"/>
        <v>3</v>
      </c>
      <c r="Q84" s="5">
        <f t="shared" si="44"/>
        <v>3</v>
      </c>
      <c r="R84" s="5">
        <f t="shared" si="44"/>
        <v>3</v>
      </c>
      <c r="S84" s="5">
        <f t="shared" si="44"/>
        <v>3</v>
      </c>
      <c r="T84" s="5">
        <f t="shared" si="44"/>
        <v>3</v>
      </c>
      <c r="U84" s="5">
        <f t="shared" ref="U84:V88" si="45">IF(retrofit=1,$W84*AE84,IF(ISBLANK(AE84),"",AE84))</f>
        <v>3</v>
      </c>
      <c r="V84" s="5">
        <f t="shared" si="45"/>
        <v>3</v>
      </c>
      <c r="W84" s="445">
        <v>0</v>
      </c>
      <c r="X84" s="414">
        <v>3</v>
      </c>
      <c r="Y84" s="414">
        <v>3</v>
      </c>
      <c r="Z84" s="414">
        <v>3</v>
      </c>
      <c r="AA84" s="414">
        <v>3</v>
      </c>
      <c r="AB84" s="414">
        <v>3</v>
      </c>
      <c r="AC84" s="414">
        <v>3</v>
      </c>
      <c r="AD84" s="414">
        <v>3</v>
      </c>
      <c r="AE84" s="414">
        <v>3</v>
      </c>
      <c r="AF84" s="414">
        <v>3</v>
      </c>
      <c r="AG84" s="414">
        <f t="shared" si="2"/>
        <v>0</v>
      </c>
      <c r="AH84" s="414">
        <f t="shared" si="3"/>
        <v>0</v>
      </c>
    </row>
    <row r="85" spans="1:34">
      <c r="A85" s="325" t="s">
        <v>821</v>
      </c>
      <c r="B85" s="1" t="s">
        <v>2528</v>
      </c>
      <c r="C85" s="65">
        <f>in_out_pipe_length</f>
        <v>140</v>
      </c>
      <c r="D85" s="65" t="s">
        <v>2526</v>
      </c>
      <c r="E85" s="327">
        <f>IF(C85=0,"NA",in_out_pipe_diam)</f>
        <v>10</v>
      </c>
      <c r="F85" s="1" t="str">
        <f>IF(C85=0,"","in. diam")</f>
        <v>in. diam</v>
      </c>
      <c r="G85" s="327">
        <f>IF(C85=0,"NA",IF(curve=1,in_out_pipe_diam,VLOOKUP(in_out_pipe_diam,cpvc_pipe_cost_cl,2)))</f>
        <v>10</v>
      </c>
      <c r="H85" s="1" t="str">
        <f>IF(C85=0,"","in. diam")</f>
        <v>in. diam</v>
      </c>
      <c r="I85" s="343">
        <f>IF(C85=0,"NA",IF(curve=1,cpvc_pipe_eq_in_out,VLOOKUP(in_out_pipe_diam,cpvc_pipe_cost_cl,3)))</f>
        <v>110.97367943600001</v>
      </c>
      <c r="J85" s="323">
        <f>IF(OR(C85=0,I85="contact vendor"),"--",C85*I85)</f>
        <v>15536.315121040001</v>
      </c>
      <c r="K85" s="327">
        <f>IF(C85=0,"NA",VLOOKUP(in_out_pipe_diam,cpvc_pipe_cost_cl,IF(ss_cat="large",4,5)))</f>
        <v>22</v>
      </c>
      <c r="L85" s="324">
        <v>0</v>
      </c>
      <c r="M85" s="27" t="str">
        <f>$B$83&amp;" - "&amp;B85</f>
        <v>Influent and Treated Water Piping - CPVC</v>
      </c>
      <c r="N85" s="5">
        <f t="shared" si="44"/>
        <v>2</v>
      </c>
      <c r="O85" s="5">
        <f t="shared" si="44"/>
        <v>1</v>
      </c>
      <c r="P85" s="5">
        <f t="shared" si="44"/>
        <v>4</v>
      </c>
      <c r="Q85" s="5">
        <f t="shared" si="44"/>
        <v>2</v>
      </c>
      <c r="R85" s="5">
        <f t="shared" si="44"/>
        <v>1</v>
      </c>
      <c r="S85" s="5">
        <f t="shared" si="44"/>
        <v>4</v>
      </c>
      <c r="T85" s="5">
        <f t="shared" si="44"/>
        <v>2</v>
      </c>
      <c r="U85" s="5">
        <f t="shared" si="45"/>
        <v>1</v>
      </c>
      <c r="V85" s="5">
        <f t="shared" si="45"/>
        <v>4</v>
      </c>
      <c r="W85" s="445">
        <v>0</v>
      </c>
      <c r="X85" s="414">
        <v>2</v>
      </c>
      <c r="Y85" s="414">
        <v>1</v>
      </c>
      <c r="Z85" s="414">
        <v>4</v>
      </c>
      <c r="AA85" s="414">
        <v>2</v>
      </c>
      <c r="AB85" s="414">
        <v>1</v>
      </c>
      <c r="AC85" s="414">
        <v>4</v>
      </c>
      <c r="AD85" s="414">
        <v>2</v>
      </c>
      <c r="AE85" s="414">
        <v>1</v>
      </c>
      <c r="AF85" s="414">
        <v>4</v>
      </c>
      <c r="AG85" s="414">
        <f t="shared" si="2"/>
        <v>0</v>
      </c>
      <c r="AH85" s="414">
        <f t="shared" si="3"/>
        <v>0</v>
      </c>
    </row>
    <row r="86" spans="1:34">
      <c r="A86" s="325" t="s">
        <v>821</v>
      </c>
      <c r="B86" s="1" t="s">
        <v>2529</v>
      </c>
      <c r="C86" s="65">
        <f>in_out_pipe_length</f>
        <v>140</v>
      </c>
      <c r="D86" s="65" t="s">
        <v>2526</v>
      </c>
      <c r="E86" s="327">
        <f>IF(C86=0,"NA",in_out_pipe_diam)</f>
        <v>10</v>
      </c>
      <c r="F86" s="1" t="str">
        <f>IF(C86=0,"","in. diam")</f>
        <v>in. diam</v>
      </c>
      <c r="G86" s="327">
        <f>IF(C86=0,"NA",IF(curve=1,in_out_pipe_diam,VLOOKUP(in_out_pipe_diam,pvc_pipe_cost_cl,2)))</f>
        <v>10</v>
      </c>
      <c r="H86" s="1" t="str">
        <f>IF(C86=0,"","in. diam")</f>
        <v>in. diam</v>
      </c>
      <c r="I86" s="343">
        <f>IF(C86=0,"NA",IF(curve=1,pvc_pipe_eq_in_out,VLOOKUP(in_out_pipe_diam,pvc_pipe_cost_cl,3)))</f>
        <v>19.148192264999999</v>
      </c>
      <c r="J86" s="323">
        <f>IF(OR(C86=0,I86="contact vendor"),"--",C86*I86)</f>
        <v>2680.7469170999998</v>
      </c>
      <c r="K86" s="327">
        <f>IF(C86=0,"NA",VLOOKUP(in_out_pipe_diam,pvc_pipe_cost_cl,IF(ss_cat="large",4,5)))</f>
        <v>22</v>
      </c>
      <c r="L86" s="324">
        <v>1</v>
      </c>
      <c r="M86" s="27" t="str">
        <f>$B$83&amp;" - "&amp;B86</f>
        <v>Influent and Treated Water Piping - PVC</v>
      </c>
      <c r="N86" s="5">
        <f t="shared" si="44"/>
        <v>1</v>
      </c>
      <c r="O86" s="5">
        <f t="shared" si="44"/>
        <v>2</v>
      </c>
      <c r="P86" s="5">
        <f t="shared" si="44"/>
        <v>5</v>
      </c>
      <c r="Q86" s="5">
        <f t="shared" si="44"/>
        <v>1</v>
      </c>
      <c r="R86" s="5">
        <f t="shared" si="44"/>
        <v>2</v>
      </c>
      <c r="S86" s="5">
        <f t="shared" si="44"/>
        <v>5</v>
      </c>
      <c r="T86" s="5">
        <f t="shared" si="44"/>
        <v>1</v>
      </c>
      <c r="U86" s="5">
        <f t="shared" si="45"/>
        <v>2</v>
      </c>
      <c r="V86" s="5">
        <f t="shared" si="45"/>
        <v>5</v>
      </c>
      <c r="W86" s="445">
        <v>0</v>
      </c>
      <c r="X86" s="414">
        <v>1</v>
      </c>
      <c r="Y86" s="414">
        <v>2</v>
      </c>
      <c r="Z86" s="414">
        <v>5</v>
      </c>
      <c r="AA86" s="414">
        <v>1</v>
      </c>
      <c r="AB86" s="414">
        <v>2</v>
      </c>
      <c r="AC86" s="414">
        <v>5</v>
      </c>
      <c r="AD86" s="414">
        <v>1</v>
      </c>
      <c r="AE86" s="414">
        <v>2</v>
      </c>
      <c r="AF86" s="414">
        <v>5</v>
      </c>
      <c r="AG86" s="414">
        <f t="shared" si="2"/>
        <v>1</v>
      </c>
      <c r="AH86" s="414">
        <f t="shared" si="3"/>
        <v>121.85213259545453</v>
      </c>
    </row>
    <row r="87" spans="1:34">
      <c r="A87" s="325" t="s">
        <v>821</v>
      </c>
      <c r="B87" s="1" t="s">
        <v>17</v>
      </c>
      <c r="C87" s="65">
        <f>in_out_pipe_length</f>
        <v>140</v>
      </c>
      <c r="D87" s="65" t="s">
        <v>2526</v>
      </c>
      <c r="E87" s="327">
        <f>IF(C87=0,"NA",in_out_pipe_diam)</f>
        <v>10</v>
      </c>
      <c r="F87" s="1" t="str">
        <f>IF(C87=0,"","in. diam")</f>
        <v>in. diam</v>
      </c>
      <c r="G87" s="327">
        <f>IF(C87=0,"NA",IF(curve=1,in_out_pipe_diam,VLOOKUP(in_out_pipe_diam,ss_pipe_cost_cl,2)))</f>
        <v>10</v>
      </c>
      <c r="H87" s="1" t="str">
        <f>IF(C87=0,"","in. diam")</f>
        <v>in. diam</v>
      </c>
      <c r="I87" s="343">
        <f>IF(C87=0,"NA",IF(curve=1,ss_pipe_eq_in_out,VLOOKUP(in_out_pipe_diam,ss_pipe_cost_cl,3)))</f>
        <v>366.94979630500001</v>
      </c>
      <c r="J87" s="323">
        <f>IF(OR(C87=0,I87="contact vendor"),"--",C87*I87)</f>
        <v>51372.971482699999</v>
      </c>
      <c r="K87" s="327">
        <f>IF(C87=0,"NA",VLOOKUP(in_out_pipe_diam,ss_pipe_cost_cl,IF(ss_cat="large",4,5)))</f>
        <v>45</v>
      </c>
      <c r="L87" s="324">
        <v>0</v>
      </c>
      <c r="M87" s="27" t="str">
        <f>$B$83&amp;" - "&amp;B87</f>
        <v>Influent and Treated Water Piping - Stainless Steel</v>
      </c>
      <c r="N87" s="5">
        <f t="shared" si="44"/>
        <v>5</v>
      </c>
      <c r="O87" s="5">
        <f t="shared" si="44"/>
        <v>5</v>
      </c>
      <c r="P87" s="5">
        <f t="shared" si="44"/>
        <v>1</v>
      </c>
      <c r="Q87" s="5">
        <f t="shared" si="44"/>
        <v>5</v>
      </c>
      <c r="R87" s="5">
        <f t="shared" si="44"/>
        <v>5</v>
      </c>
      <c r="S87" s="5">
        <f t="shared" si="44"/>
        <v>1</v>
      </c>
      <c r="T87" s="5">
        <f t="shared" si="44"/>
        <v>5</v>
      </c>
      <c r="U87" s="5">
        <f t="shared" si="45"/>
        <v>5</v>
      </c>
      <c r="V87" s="5">
        <f t="shared" si="45"/>
        <v>1</v>
      </c>
      <c r="W87" s="445">
        <v>0</v>
      </c>
      <c r="X87" s="414">
        <v>5</v>
      </c>
      <c r="Y87" s="414">
        <v>5</v>
      </c>
      <c r="Z87" s="414">
        <v>1</v>
      </c>
      <c r="AA87" s="414">
        <v>5</v>
      </c>
      <c r="AB87" s="414">
        <v>5</v>
      </c>
      <c r="AC87" s="414">
        <v>1</v>
      </c>
      <c r="AD87" s="414">
        <v>5</v>
      </c>
      <c r="AE87" s="414">
        <v>5</v>
      </c>
      <c r="AF87" s="414">
        <v>1</v>
      </c>
      <c r="AG87" s="414">
        <f t="shared" si="2"/>
        <v>0</v>
      </c>
      <c r="AH87" s="414">
        <f t="shared" si="3"/>
        <v>0</v>
      </c>
    </row>
    <row r="88" spans="1:34">
      <c r="A88" s="325" t="s">
        <v>821</v>
      </c>
      <c r="B88" s="1" t="s">
        <v>2530</v>
      </c>
      <c r="C88" s="65">
        <f>in_out_pipe_length</f>
        <v>140</v>
      </c>
      <c r="D88" s="65" t="s">
        <v>2526</v>
      </c>
      <c r="E88" s="327">
        <f>IF(C88=0,"NA",in_out_pipe_diam)</f>
        <v>10</v>
      </c>
      <c r="F88" s="1" t="str">
        <f>IF(C88=0,"","in. diam")</f>
        <v>in. diam</v>
      </c>
      <c r="G88" s="327">
        <f>IF(C88=0,"NA",IF(curve=1,in_out_pipe_diam,VLOOKUP(in_out_pipe_diam,st_pipe_cost_cl,2)))</f>
        <v>10</v>
      </c>
      <c r="H88" s="1" t="str">
        <f>IF(C88=0,"","in. diam")</f>
        <v>in. diam</v>
      </c>
      <c r="I88" s="343">
        <f>IF(C88=0,"NA",IF(curve=1,st_pipe_eq_in_out,VLOOKUP(in_out_pipe_diam,st_pipe_cost_cl,3)))</f>
        <v>174.27949943716169</v>
      </c>
      <c r="J88" s="323">
        <f>IF(OR(C88=0,I88="contact vendor"),"--",C88*I88)</f>
        <v>24399.129921202635</v>
      </c>
      <c r="K88" s="327">
        <f>IF(C88=0,"NA",VLOOKUP(in_out_pipe_diam,st_pipe_cost_cl,IF(ss_cat="large",4,5)))</f>
        <v>35</v>
      </c>
      <c r="L88" s="324">
        <v>0</v>
      </c>
      <c r="M88" s="27" t="str">
        <f>$B$83&amp;" - "&amp;B88</f>
        <v>Influent and Treated Water Piping - Steel</v>
      </c>
      <c r="N88" s="5">
        <f t="shared" si="44"/>
        <v>4</v>
      </c>
      <c r="O88" s="5">
        <f t="shared" si="44"/>
        <v>4</v>
      </c>
      <c r="P88" s="5">
        <f t="shared" si="44"/>
        <v>2</v>
      </c>
      <c r="Q88" s="5">
        <f t="shared" si="44"/>
        <v>4</v>
      </c>
      <c r="R88" s="5">
        <f t="shared" si="44"/>
        <v>4</v>
      </c>
      <c r="S88" s="5">
        <f t="shared" si="44"/>
        <v>2</v>
      </c>
      <c r="T88" s="5">
        <f t="shared" si="44"/>
        <v>4</v>
      </c>
      <c r="U88" s="5">
        <f t="shared" si="45"/>
        <v>4</v>
      </c>
      <c r="V88" s="5">
        <f t="shared" si="45"/>
        <v>2</v>
      </c>
      <c r="W88" s="445">
        <v>0</v>
      </c>
      <c r="X88" s="414">
        <v>4</v>
      </c>
      <c r="Y88" s="414">
        <v>4</v>
      </c>
      <c r="Z88" s="414">
        <v>2</v>
      </c>
      <c r="AA88" s="414">
        <v>4</v>
      </c>
      <c r="AB88" s="414">
        <v>4</v>
      </c>
      <c r="AC88" s="414">
        <v>2</v>
      </c>
      <c r="AD88" s="414">
        <v>4</v>
      </c>
      <c r="AE88" s="414">
        <v>4</v>
      </c>
      <c r="AF88" s="414">
        <v>2</v>
      </c>
      <c r="AG88" s="414">
        <f t="shared" si="2"/>
        <v>0</v>
      </c>
      <c r="AH88" s="414">
        <f t="shared" si="3"/>
        <v>0</v>
      </c>
    </row>
    <row r="89" spans="1:34">
      <c r="A89" s="388" t="s">
        <v>822</v>
      </c>
      <c r="B89" s="83" t="s">
        <v>378</v>
      </c>
      <c r="C89" s="175"/>
      <c r="D89" s="668"/>
      <c r="E89" s="175"/>
      <c r="F89" s="668"/>
      <c r="G89" s="175"/>
      <c r="H89" s="668"/>
      <c r="I89" s="175"/>
      <c r="J89" s="175"/>
      <c r="K89" s="195"/>
      <c r="L89" s="200"/>
      <c r="M89" s="27"/>
      <c r="AG89" s="414">
        <f t="shared" si="2"/>
        <v>0</v>
      </c>
      <c r="AH89" s="414">
        <f t="shared" si="3"/>
        <v>0</v>
      </c>
    </row>
    <row r="90" spans="1:34">
      <c r="A90" s="325" t="s">
        <v>823</v>
      </c>
      <c r="B90" s="333" t="s">
        <v>2528</v>
      </c>
      <c r="C90" s="65">
        <f>res_pipe_length</f>
        <v>110</v>
      </c>
      <c r="D90" s="65" t="s">
        <v>2526</v>
      </c>
      <c r="E90" s="327">
        <f>res_pipe_diam</f>
        <v>1.5</v>
      </c>
      <c r="F90" s="65" t="s">
        <v>2527</v>
      </c>
      <c r="G90" s="327">
        <f>IF(curve=1,res_pipe_diam,VLOOKUP(res_pipe_diam,cpvc_pipe_cost_cl,2))</f>
        <v>1.5</v>
      </c>
      <c r="H90" s="65" t="s">
        <v>2527</v>
      </c>
      <c r="I90" s="332">
        <f>IF(curve=1,cpvc_pipe_eq_res,VLOOKUP(res_pipe_diam,cpvc_pipe_cost_cl,3))</f>
        <v>7.0133117284999997</v>
      </c>
      <c r="J90" s="323">
        <f>IF(I90="contact vendor","--",C90*I90)</f>
        <v>771.46429013499994</v>
      </c>
      <c r="K90" s="120">
        <f>VLOOKUP(res_pipe_diam,cpvc_pipe_cost_cl,IF(ss_cat="large",4,5))</f>
        <v>22</v>
      </c>
      <c r="L90" s="334">
        <v>0</v>
      </c>
      <c r="M90" s="27" t="str">
        <f t="shared" ref="M90:M97" si="46">$B$89&amp;" - "&amp;B90</f>
        <v>Residuals Piping - CPVC</v>
      </c>
      <c r="N90" s="5">
        <f t="shared" ref="N90:T106" si="47">IF(retrofit=1,$W90*X90,IF(ISBLANK(X90),"",X90))</f>
        <v>2</v>
      </c>
      <c r="O90" s="5">
        <f t="shared" si="47"/>
        <v>1</v>
      </c>
      <c r="P90" s="5">
        <f t="shared" si="47"/>
        <v>3</v>
      </c>
      <c r="Q90" s="5">
        <f t="shared" si="47"/>
        <v>2</v>
      </c>
      <c r="R90" s="5">
        <f t="shared" si="47"/>
        <v>1</v>
      </c>
      <c r="S90" s="5">
        <f t="shared" si="47"/>
        <v>3</v>
      </c>
      <c r="T90" s="5">
        <f t="shared" si="47"/>
        <v>2</v>
      </c>
      <c r="U90" s="5">
        <f t="shared" ref="U90:U106" si="48">IF(retrofit=1,$W90*AE90,IF(ISBLANK(AE90),"",AE90))</f>
        <v>1</v>
      </c>
      <c r="V90" s="5">
        <f t="shared" ref="V90:V106" si="49">IF(retrofit=1,$W90*AF90,IF(ISBLANK(AF90),"",AF90))</f>
        <v>3</v>
      </c>
      <c r="W90" s="445">
        <v>0</v>
      </c>
      <c r="X90" s="414">
        <v>2</v>
      </c>
      <c r="Y90" s="414">
        <v>1</v>
      </c>
      <c r="Z90" s="414">
        <v>3</v>
      </c>
      <c r="AA90" s="414">
        <v>2</v>
      </c>
      <c r="AB90" s="414">
        <v>1</v>
      </c>
      <c r="AC90" s="414">
        <v>3</v>
      </c>
      <c r="AD90" s="414">
        <v>2</v>
      </c>
      <c r="AE90" s="414">
        <v>1</v>
      </c>
      <c r="AF90" s="414">
        <v>3</v>
      </c>
      <c r="AG90" s="414">
        <f t="shared" si="2"/>
        <v>0</v>
      </c>
      <c r="AH90" s="414">
        <f t="shared" si="3"/>
        <v>0</v>
      </c>
    </row>
    <row r="91" spans="1:34">
      <c r="A91" s="325" t="s">
        <v>823</v>
      </c>
      <c r="B91" s="333" t="s">
        <v>2529</v>
      </c>
      <c r="C91" s="65">
        <f>res_pipe_length</f>
        <v>110</v>
      </c>
      <c r="D91" s="65" t="s">
        <v>2526</v>
      </c>
      <c r="E91" s="327">
        <f>res_pipe_diam</f>
        <v>1.5</v>
      </c>
      <c r="F91" s="65" t="s">
        <v>2527</v>
      </c>
      <c r="G91" s="327">
        <f>IF(curve=1,res_pipe_diam,VLOOKUP(res_pipe_diam,pvc_pipe_cost_cl,2))</f>
        <v>1.5</v>
      </c>
      <c r="H91" s="65" t="s">
        <v>2527</v>
      </c>
      <c r="I91" s="332">
        <f>IF(curve=1,pvc_pipe_eq_res,VLOOKUP(res_pipe_diam,pvc_pipe_cost_cl,3))</f>
        <v>2.8476762667499997</v>
      </c>
      <c r="J91" s="323">
        <f>IF(I91="contact vendor","--",C91*I91)</f>
        <v>313.24438934249997</v>
      </c>
      <c r="K91" s="120">
        <f>VLOOKUP(res_pipe_diam,pvc_pipe_cost_cl,IF(ss_cat="large",4,5))</f>
        <v>22</v>
      </c>
      <c r="L91" s="334">
        <v>1</v>
      </c>
      <c r="M91" s="27" t="str">
        <f t="shared" si="46"/>
        <v>Residuals Piping - PVC</v>
      </c>
      <c r="N91" s="5">
        <f t="shared" si="47"/>
        <v>1</v>
      </c>
      <c r="O91" s="5">
        <f t="shared" si="47"/>
        <v>2</v>
      </c>
      <c r="P91" s="5">
        <f t="shared" si="47"/>
        <v>4</v>
      </c>
      <c r="Q91" s="5">
        <f t="shared" si="47"/>
        <v>1</v>
      </c>
      <c r="R91" s="5">
        <f t="shared" si="47"/>
        <v>2</v>
      </c>
      <c r="S91" s="5">
        <f t="shared" si="47"/>
        <v>4</v>
      </c>
      <c r="T91" s="5">
        <f t="shared" si="47"/>
        <v>1</v>
      </c>
      <c r="U91" s="5">
        <f t="shared" si="48"/>
        <v>2</v>
      </c>
      <c r="V91" s="5">
        <f t="shared" si="49"/>
        <v>4</v>
      </c>
      <c r="W91" s="445">
        <v>0</v>
      </c>
      <c r="X91" s="414">
        <v>1</v>
      </c>
      <c r="Y91" s="414">
        <v>2</v>
      </c>
      <c r="Z91" s="414">
        <v>4</v>
      </c>
      <c r="AA91" s="414">
        <v>1</v>
      </c>
      <c r="AB91" s="414">
        <v>2</v>
      </c>
      <c r="AC91" s="414">
        <v>4</v>
      </c>
      <c r="AD91" s="414">
        <v>1</v>
      </c>
      <c r="AE91" s="414">
        <v>2</v>
      </c>
      <c r="AF91" s="414">
        <v>4</v>
      </c>
      <c r="AG91" s="414">
        <f t="shared" si="2"/>
        <v>1</v>
      </c>
      <c r="AH91" s="414">
        <f t="shared" si="3"/>
        <v>14.238381333749999</v>
      </c>
    </row>
    <row r="92" spans="1:34">
      <c r="A92" s="325" t="s">
        <v>823</v>
      </c>
      <c r="B92" s="333" t="s">
        <v>17</v>
      </c>
      <c r="C92" s="65">
        <f>res_pipe_length</f>
        <v>110</v>
      </c>
      <c r="D92" s="65" t="s">
        <v>2526</v>
      </c>
      <c r="E92" s="327">
        <f>res_pipe_diam</f>
        <v>1.5</v>
      </c>
      <c r="F92" s="65" t="s">
        <v>2527</v>
      </c>
      <c r="G92" s="327">
        <f>IF(curve=1,res_pipe_diam,VLOOKUP(res_pipe_diam,ss_pipe_cost_cl,2))</f>
        <v>1.5</v>
      </c>
      <c r="H92" s="65" t="s">
        <v>2527</v>
      </c>
      <c r="I92" s="332">
        <f>IF(curve=1,ss_pipe_eq_res,VLOOKUP(res_pipe_diam,ss_pipe_cost_cl,3))</f>
        <v>70.275248902124986</v>
      </c>
      <c r="J92" s="323">
        <f>IF(I92="contact vendor","--",C92*I92)</f>
        <v>7730.2773792337484</v>
      </c>
      <c r="K92" s="120">
        <f>VLOOKUP(res_pipe_diam,ss_pipe_cost_cl,IF(ss_cat="large",4,5))</f>
        <v>45</v>
      </c>
      <c r="L92" s="334">
        <v>0</v>
      </c>
      <c r="M92" s="27" t="str">
        <f t="shared" si="46"/>
        <v>Residuals Piping - Stainless Steel</v>
      </c>
      <c r="N92" s="5">
        <f t="shared" si="47"/>
        <v>4</v>
      </c>
      <c r="O92" s="5">
        <f t="shared" si="47"/>
        <v>4</v>
      </c>
      <c r="P92" s="5">
        <f t="shared" si="47"/>
        <v>1</v>
      </c>
      <c r="Q92" s="5">
        <f t="shared" si="47"/>
        <v>4</v>
      </c>
      <c r="R92" s="5">
        <f t="shared" si="47"/>
        <v>4</v>
      </c>
      <c r="S92" s="5">
        <f t="shared" si="47"/>
        <v>1</v>
      </c>
      <c r="T92" s="5">
        <f t="shared" si="47"/>
        <v>4</v>
      </c>
      <c r="U92" s="5">
        <f t="shared" si="48"/>
        <v>4</v>
      </c>
      <c r="V92" s="5">
        <f t="shared" si="49"/>
        <v>1</v>
      </c>
      <c r="W92" s="445">
        <v>0</v>
      </c>
      <c r="X92" s="414">
        <v>4</v>
      </c>
      <c r="Y92" s="414">
        <v>4</v>
      </c>
      <c r="Z92" s="414">
        <v>1</v>
      </c>
      <c r="AA92" s="414">
        <v>4</v>
      </c>
      <c r="AB92" s="414">
        <v>4</v>
      </c>
      <c r="AC92" s="414">
        <v>1</v>
      </c>
      <c r="AD92" s="414">
        <v>4</v>
      </c>
      <c r="AE92" s="414">
        <v>4</v>
      </c>
      <c r="AF92" s="414">
        <v>1</v>
      </c>
      <c r="AG92" s="414">
        <f t="shared" si="2"/>
        <v>0</v>
      </c>
      <c r="AH92" s="414">
        <f t="shared" si="3"/>
        <v>0</v>
      </c>
    </row>
    <row r="93" spans="1:34">
      <c r="A93" s="325" t="s">
        <v>823</v>
      </c>
      <c r="B93" s="333" t="s">
        <v>2530</v>
      </c>
      <c r="C93" s="65">
        <f>res_pipe_length</f>
        <v>110</v>
      </c>
      <c r="D93" s="65" t="s">
        <v>2526</v>
      </c>
      <c r="E93" s="327">
        <f>res_pipe_diam</f>
        <v>1.5</v>
      </c>
      <c r="F93" s="65" t="s">
        <v>2527</v>
      </c>
      <c r="G93" s="327">
        <f>IF(curve=1,res_pipe_diam,VLOOKUP(res_pipe_diam,st_pipe_cost_cl,2))</f>
        <v>1.5</v>
      </c>
      <c r="H93" s="65" t="s">
        <v>2527</v>
      </c>
      <c r="I93" s="332">
        <f>IF(curve=1,st_pipe_eq_res,VLOOKUP(res_pipe_diam,st_pipe_cost_cl,3))</f>
        <v>30.206561511164892</v>
      </c>
      <c r="J93" s="323">
        <f>IF(I93="contact vendor","--",C93*I93)</f>
        <v>3322.7217662281382</v>
      </c>
      <c r="K93" s="120">
        <f>VLOOKUP(res_pipe_diam,st_pipe_cost_cl,IF(ss_cat="large",4,5))</f>
        <v>35</v>
      </c>
      <c r="L93" s="334">
        <v>0</v>
      </c>
      <c r="M93" s="27" t="str">
        <f t="shared" si="46"/>
        <v>Residuals Piping - Steel</v>
      </c>
      <c r="N93" s="5">
        <f t="shared" si="47"/>
        <v>3</v>
      </c>
      <c r="O93" s="5">
        <f t="shared" si="47"/>
        <v>3</v>
      </c>
      <c r="P93" s="5">
        <f t="shared" si="47"/>
        <v>2</v>
      </c>
      <c r="Q93" s="5">
        <f t="shared" si="47"/>
        <v>3</v>
      </c>
      <c r="R93" s="5">
        <f t="shared" si="47"/>
        <v>3</v>
      </c>
      <c r="S93" s="5">
        <f t="shared" si="47"/>
        <v>2</v>
      </c>
      <c r="T93" s="5">
        <f t="shared" si="47"/>
        <v>3</v>
      </c>
      <c r="U93" s="5">
        <f t="shared" si="48"/>
        <v>3</v>
      </c>
      <c r="V93" s="5">
        <f t="shared" si="49"/>
        <v>2</v>
      </c>
      <c r="W93" s="445">
        <v>0</v>
      </c>
      <c r="X93" s="414">
        <v>3</v>
      </c>
      <c r="Y93" s="414">
        <v>3</v>
      </c>
      <c r="Z93" s="414">
        <v>2</v>
      </c>
      <c r="AA93" s="414">
        <v>3</v>
      </c>
      <c r="AB93" s="414">
        <v>3</v>
      </c>
      <c r="AC93" s="414">
        <v>2</v>
      </c>
      <c r="AD93" s="414">
        <v>3</v>
      </c>
      <c r="AE93" s="414">
        <v>3</v>
      </c>
      <c r="AF93" s="414">
        <v>2</v>
      </c>
      <c r="AG93" s="414">
        <f t="shared" si="2"/>
        <v>0</v>
      </c>
      <c r="AH93" s="414">
        <f t="shared" si="3"/>
        <v>0</v>
      </c>
    </row>
    <row r="94" spans="1:34">
      <c r="A94" s="325" t="s">
        <v>2204</v>
      </c>
      <c r="B94" s="402" t="s">
        <v>1263</v>
      </c>
      <c r="C94" s="320">
        <f>res_trench_vol</f>
        <v>0</v>
      </c>
      <c r="D94" s="65" t="s">
        <v>1591</v>
      </c>
      <c r="E94" s="327" t="s">
        <v>720</v>
      </c>
      <c r="F94" s="327"/>
      <c r="G94" s="327" t="s">
        <v>720</v>
      </c>
      <c r="H94" s="65"/>
      <c r="I94" s="343" t="str">
        <f>IF(C94=0,"NA",VLOOKUP(0,excavate_cost_cl,3))</f>
        <v>NA</v>
      </c>
      <c r="J94" s="323" t="str">
        <f>IF(OR(I94="contact vendor",C94=0),"--",C94*I94)</f>
        <v>--</v>
      </c>
      <c r="K94" s="327" t="str">
        <f>IF(I94="NA","N/A",IF(L90=1,K90,IF(L91=1,K91,IF(L92=1,K92,IF(L93=1,K93,"N/A")))))</f>
        <v>N/A</v>
      </c>
      <c r="L94" s="324"/>
      <c r="M94" s="27" t="str">
        <f t="shared" si="46"/>
        <v>Residuals Piping - Excavation</v>
      </c>
      <c r="N94" s="5">
        <f t="shared" si="47"/>
        <v>1</v>
      </c>
      <c r="O94" s="5">
        <f t="shared" si="47"/>
        <v>1</v>
      </c>
      <c r="P94" s="5">
        <f t="shared" si="47"/>
        <v>1</v>
      </c>
      <c r="Q94" s="5">
        <f t="shared" si="47"/>
        <v>1</v>
      </c>
      <c r="R94" s="5">
        <f t="shared" si="47"/>
        <v>1</v>
      </c>
      <c r="S94" s="5">
        <f t="shared" si="47"/>
        <v>1</v>
      </c>
      <c r="T94" s="5">
        <f t="shared" si="47"/>
        <v>1</v>
      </c>
      <c r="U94" s="5">
        <f t="shared" si="48"/>
        <v>1</v>
      </c>
      <c r="V94" s="5">
        <f t="shared" si="49"/>
        <v>1</v>
      </c>
      <c r="W94" s="445">
        <v>0</v>
      </c>
      <c r="X94" s="414">
        <v>1</v>
      </c>
      <c r="Y94" s="414">
        <v>1</v>
      </c>
      <c r="Z94" s="414">
        <v>1</v>
      </c>
      <c r="AA94" s="414">
        <v>1</v>
      </c>
      <c r="AB94" s="414">
        <v>1</v>
      </c>
      <c r="AC94" s="414">
        <v>1</v>
      </c>
      <c r="AD94" s="414">
        <v>1</v>
      </c>
      <c r="AE94" s="414">
        <v>1</v>
      </c>
      <c r="AF94" s="414">
        <v>1</v>
      </c>
      <c r="AG94" s="414">
        <f t="shared" si="2"/>
        <v>0</v>
      </c>
      <c r="AH94" s="414">
        <f t="shared" si="3"/>
        <v>0</v>
      </c>
    </row>
    <row r="95" spans="1:34">
      <c r="A95" s="325" t="s">
        <v>2205</v>
      </c>
      <c r="B95" s="402" t="s">
        <v>2201</v>
      </c>
      <c r="C95" s="320">
        <f>res_pipe_bedding_vol</f>
        <v>0</v>
      </c>
      <c r="D95" s="65" t="s">
        <v>1591</v>
      </c>
      <c r="E95" s="327" t="s">
        <v>720</v>
      </c>
      <c r="F95" s="327"/>
      <c r="G95" s="327" t="s">
        <v>720</v>
      </c>
      <c r="H95" s="65"/>
      <c r="I95" s="343" t="str">
        <f>IF(C95=0,"NA",VLOOKUP(0,bedding_cost_cl,3))</f>
        <v>NA</v>
      </c>
      <c r="J95" s="323" t="str">
        <f>IF(OR(I95="contact vendor",C95=0),"--",C95*I95)</f>
        <v>--</v>
      </c>
      <c r="K95" s="327" t="str">
        <f>IF(I95="NA","N/A",IF(L90=1,K90,IF(L91=1,K91,IF(L92=1,K92,IF(L93=1,K93,"N/A")))))</f>
        <v>N/A</v>
      </c>
      <c r="L95" s="324"/>
      <c r="M95" s="27" t="str">
        <f t="shared" si="46"/>
        <v>Residuals Piping - Bedding</v>
      </c>
      <c r="N95" s="5">
        <f t="shared" si="47"/>
        <v>1</v>
      </c>
      <c r="O95" s="5">
        <f t="shared" si="47"/>
        <v>1</v>
      </c>
      <c r="P95" s="5">
        <f t="shared" si="47"/>
        <v>1</v>
      </c>
      <c r="Q95" s="5">
        <f t="shared" si="47"/>
        <v>1</v>
      </c>
      <c r="R95" s="5">
        <f t="shared" si="47"/>
        <v>1</v>
      </c>
      <c r="S95" s="5">
        <f t="shared" si="47"/>
        <v>1</v>
      </c>
      <c r="T95" s="5">
        <f t="shared" si="47"/>
        <v>1</v>
      </c>
      <c r="U95" s="5">
        <f t="shared" si="48"/>
        <v>1</v>
      </c>
      <c r="V95" s="5">
        <f t="shared" si="49"/>
        <v>1</v>
      </c>
      <c r="W95" s="445">
        <v>0</v>
      </c>
      <c r="X95" s="414">
        <v>1</v>
      </c>
      <c r="Y95" s="414">
        <v>1</v>
      </c>
      <c r="Z95" s="414">
        <v>1</v>
      </c>
      <c r="AA95" s="414">
        <v>1</v>
      </c>
      <c r="AB95" s="414">
        <v>1</v>
      </c>
      <c r="AC95" s="414">
        <v>1</v>
      </c>
      <c r="AD95" s="414">
        <v>1</v>
      </c>
      <c r="AE95" s="414">
        <v>1</v>
      </c>
      <c r="AF95" s="414">
        <v>1</v>
      </c>
      <c r="AG95" s="414">
        <f t="shared" si="2"/>
        <v>0</v>
      </c>
      <c r="AH95" s="414">
        <f t="shared" si="3"/>
        <v>0</v>
      </c>
    </row>
    <row r="96" spans="1:34">
      <c r="A96" s="325" t="s">
        <v>2206</v>
      </c>
      <c r="B96" s="402" t="s">
        <v>2202</v>
      </c>
      <c r="C96" s="320">
        <f>res_trench_vol</f>
        <v>0</v>
      </c>
      <c r="D96" s="65" t="s">
        <v>1591</v>
      </c>
      <c r="E96" s="327" t="s">
        <v>720</v>
      </c>
      <c r="F96" s="327"/>
      <c r="G96" s="327" t="s">
        <v>720</v>
      </c>
      <c r="H96" s="65"/>
      <c r="I96" s="343" t="str">
        <f>IF(C96=0,"NA",VLOOKUP(0,backfill_cost_cl,3))</f>
        <v>NA</v>
      </c>
      <c r="J96" s="323" t="str">
        <f>IF(OR(I96="contact vendor",C96=0),"--",C96*I96)</f>
        <v>--</v>
      </c>
      <c r="K96" s="327" t="str">
        <f>IF(I96="NA","N/A",IF(L90=1,K90,IF(L91=1,K91,IF(L92=1,K92,IF(L93=1,K93,"N/A")))))</f>
        <v>N/A</v>
      </c>
      <c r="L96" s="334"/>
      <c r="M96" s="27" t="str">
        <f t="shared" si="46"/>
        <v xml:space="preserve">Residuals Piping - Backfill and Compaction </v>
      </c>
      <c r="N96" s="5">
        <f t="shared" si="47"/>
        <v>1</v>
      </c>
      <c r="O96" s="5">
        <f t="shared" si="47"/>
        <v>1</v>
      </c>
      <c r="P96" s="5">
        <f t="shared" si="47"/>
        <v>1</v>
      </c>
      <c r="Q96" s="5">
        <f t="shared" si="47"/>
        <v>1</v>
      </c>
      <c r="R96" s="5">
        <f t="shared" si="47"/>
        <v>1</v>
      </c>
      <c r="S96" s="5">
        <f t="shared" si="47"/>
        <v>1</v>
      </c>
      <c r="T96" s="5">
        <f t="shared" si="47"/>
        <v>1</v>
      </c>
      <c r="U96" s="5">
        <f t="shared" si="48"/>
        <v>1</v>
      </c>
      <c r="V96" s="5">
        <f t="shared" si="49"/>
        <v>1</v>
      </c>
      <c r="W96" s="445">
        <v>0</v>
      </c>
      <c r="X96" s="414">
        <v>1</v>
      </c>
      <c r="Y96" s="414">
        <v>1</v>
      </c>
      <c r="Z96" s="414">
        <v>1</v>
      </c>
      <c r="AA96" s="414">
        <v>1</v>
      </c>
      <c r="AB96" s="414">
        <v>1</v>
      </c>
      <c r="AC96" s="414">
        <v>1</v>
      </c>
      <c r="AD96" s="414">
        <v>1</v>
      </c>
      <c r="AE96" s="414">
        <v>1</v>
      </c>
      <c r="AF96" s="414">
        <v>1</v>
      </c>
      <c r="AG96" s="414">
        <f t="shared" si="2"/>
        <v>0</v>
      </c>
      <c r="AH96" s="414">
        <f t="shared" si="3"/>
        <v>0</v>
      </c>
    </row>
    <row r="97" spans="1:38">
      <c r="A97" s="325" t="s">
        <v>2207</v>
      </c>
      <c r="B97" s="402" t="s">
        <v>2203</v>
      </c>
      <c r="C97" s="320">
        <f>res_block_vol</f>
        <v>0</v>
      </c>
      <c r="D97" s="65" t="s">
        <v>1591</v>
      </c>
      <c r="E97" s="327" t="s">
        <v>720</v>
      </c>
      <c r="F97" s="327"/>
      <c r="G97" s="327" t="s">
        <v>720</v>
      </c>
      <c r="H97" s="65"/>
      <c r="I97" s="343" t="str">
        <f>IF(C97=0,"NA",VLOOKUP(0,conc_basin_cost_cl,3))</f>
        <v>NA</v>
      </c>
      <c r="J97" s="323" t="str">
        <f>IF(OR(I97="contact vendor",C97=0),"--",C97*I97)</f>
        <v>--</v>
      </c>
      <c r="K97" s="327" t="str">
        <f>IF(I97="NA","N/A",IF(L90=1,K90,IF(L91=1,K91,IF(L92=1,K92,IF(L93=1,K93,"N/A")))))</f>
        <v>N/A</v>
      </c>
      <c r="L97" s="334"/>
      <c r="M97" s="27" t="str">
        <f t="shared" si="46"/>
        <v>Residuals Piping - Thrust Blocks</v>
      </c>
      <c r="N97" s="5">
        <f t="shared" si="47"/>
        <v>1</v>
      </c>
      <c r="O97" s="5">
        <f t="shared" si="47"/>
        <v>1</v>
      </c>
      <c r="P97" s="5">
        <f t="shared" si="47"/>
        <v>1</v>
      </c>
      <c r="Q97" s="5">
        <f t="shared" si="47"/>
        <v>1</v>
      </c>
      <c r="R97" s="5">
        <f t="shared" si="47"/>
        <v>1</v>
      </c>
      <c r="S97" s="5">
        <f t="shared" si="47"/>
        <v>1</v>
      </c>
      <c r="T97" s="5">
        <f t="shared" si="47"/>
        <v>1</v>
      </c>
      <c r="U97" s="5">
        <f t="shared" si="48"/>
        <v>1</v>
      </c>
      <c r="V97" s="5">
        <f t="shared" si="49"/>
        <v>1</v>
      </c>
      <c r="W97" s="445">
        <v>0</v>
      </c>
      <c r="X97" s="414">
        <v>1</v>
      </c>
      <c r="Y97" s="414">
        <v>1</v>
      </c>
      <c r="Z97" s="414">
        <v>1</v>
      </c>
      <c r="AA97" s="414">
        <v>1</v>
      </c>
      <c r="AB97" s="414">
        <v>1</v>
      </c>
      <c r="AC97" s="414">
        <v>1</v>
      </c>
      <c r="AD97" s="414">
        <v>1</v>
      </c>
      <c r="AE97" s="414">
        <v>1</v>
      </c>
      <c r="AF97" s="414">
        <v>1</v>
      </c>
      <c r="AG97" s="414">
        <f t="shared" si="2"/>
        <v>0</v>
      </c>
      <c r="AH97" s="414">
        <f t="shared" si="3"/>
        <v>0</v>
      </c>
    </row>
    <row r="98" spans="1:38">
      <c r="A98" s="504">
        <v>3.5</v>
      </c>
      <c r="B98" s="669" t="s">
        <v>3692</v>
      </c>
      <c r="C98" s="499"/>
      <c r="D98" s="669"/>
      <c r="E98" s="234"/>
      <c r="F98" s="671"/>
      <c r="G98" s="503"/>
      <c r="H98" s="671"/>
      <c r="I98" s="234"/>
      <c r="J98" s="234"/>
      <c r="K98" s="234"/>
      <c r="L98" s="200"/>
      <c r="M98" s="5"/>
      <c r="N98" s="5" t="str">
        <f t="shared" ref="N98:N100" si="50">IF(retrofit=1,$W98*X98,IF(ISBLANK(X98),"",X98))</f>
        <v/>
      </c>
      <c r="O98" s="5" t="str">
        <f t="shared" ref="O98:O100" si="51">IF(retrofit=1,$W98*Y98,IF(ISBLANK(Y98),"",Y98))</f>
        <v/>
      </c>
      <c r="P98" s="5" t="str">
        <f t="shared" ref="P98:P100" si="52">IF(retrofit=1,$W98*Z98,IF(ISBLANK(Z98),"",Z98))</f>
        <v/>
      </c>
      <c r="Q98" s="5" t="str">
        <f t="shared" ref="Q98:Q100" si="53">IF(retrofit=1,$W98*AA98,IF(ISBLANK(AA98),"",AA98))</f>
        <v/>
      </c>
      <c r="R98" s="5" t="str">
        <f t="shared" ref="R98:R100" si="54">IF(retrofit=1,$W98*AB98,IF(ISBLANK(AB98),"",AB98))</f>
        <v/>
      </c>
      <c r="S98" s="5" t="str">
        <f t="shared" ref="S98:S100" si="55">IF(retrofit=1,$W98*AC98,IF(ISBLANK(AC98),"",AC98))</f>
        <v/>
      </c>
      <c r="T98" s="5" t="str">
        <f t="shared" ref="T98:T100" si="56">IF(retrofit=1,$W98*AD98,IF(ISBLANK(AD98),"",AD98))</f>
        <v/>
      </c>
      <c r="U98" s="5" t="str">
        <f t="shared" ref="U98:U100" si="57">IF(retrofit=1,$W98*AE98,IF(ISBLANK(AE98),"",AE98))</f>
        <v/>
      </c>
      <c r="V98" s="5" t="str">
        <f t="shared" ref="V98:V100" si="58">IF(retrofit=1,$W98*AF98,IF(ISBLANK(AF98),"",AF98))</f>
        <v/>
      </c>
      <c r="X98" s="520"/>
      <c r="Y98" s="520"/>
      <c r="Z98" s="520"/>
      <c r="AA98" s="520"/>
      <c r="AB98" s="520"/>
      <c r="AC98" s="520"/>
      <c r="AD98" s="520"/>
      <c r="AE98" s="520"/>
      <c r="AF98" s="520"/>
      <c r="AG98">
        <f t="shared" ref="AG98:AG100" si="59">IF(ISERROR(K98*L98),0,IF(K98&lt;1,0,L98))</f>
        <v>0</v>
      </c>
      <c r="AH98">
        <f t="shared" ref="AH98:AH100" si="60">IF(AG98,J98/K98,0)</f>
        <v>0</v>
      </c>
    </row>
    <row r="99" spans="1:38">
      <c r="A99" s="325" t="s">
        <v>824</v>
      </c>
      <c r="B99" s="1" t="s">
        <v>2528</v>
      </c>
      <c r="C99" s="65">
        <f>coag_pipe_length</f>
        <v>0</v>
      </c>
      <c r="D99" s="1" t="s">
        <v>2526</v>
      </c>
      <c r="E99" s="120" t="str">
        <f>IF(C99=0,"NA",coag_pipe_diam)</f>
        <v>NA</v>
      </c>
      <c r="F99" s="1" t="str">
        <f>IF(C99=0,"","in diam")</f>
        <v/>
      </c>
      <c r="G99" s="327" t="str">
        <f>IF(C99=0,"NA",IF(curve=1,coag_pipe_diam,VLOOKUP(coag_pipe_diam,cpvc_pipe_cost_cl,2)))</f>
        <v>NA</v>
      </c>
      <c r="H99" s="483" t="str">
        <f>IF(C99=0,"","in diam")</f>
        <v/>
      </c>
      <c r="I99" s="502" t="str">
        <f>IF(C99=0,"NA",IF(curve=1,cpvc_pipe_eq_coag,VLOOKUP(coag_pipe_diam,cpvc_pipe_cost_cl,3)))</f>
        <v>NA</v>
      </c>
      <c r="J99" s="485" t="str">
        <f>IF(OR(C99=0,I99="contact vendor"),"--",C99*I99)</f>
        <v>--</v>
      </c>
      <c r="K99" s="120" t="str">
        <f>IF(C99=0,"NA",VLOOKUP(coag_pipe_diam,cpvc_pipe_cost_cl,IF(ss_cat="large",4,5)))</f>
        <v>NA</v>
      </c>
      <c r="L99" s="334"/>
      <c r="M99" s="5" t="str">
        <f>$B$71&amp;" - "&amp;$B$98&amp;" - "&amp;B99</f>
        <v>Piping - Ferric Chloride Piping - CPVC</v>
      </c>
      <c r="N99" s="5">
        <f t="shared" si="50"/>
        <v>2</v>
      </c>
      <c r="O99" s="5">
        <f t="shared" si="51"/>
        <v>1</v>
      </c>
      <c r="P99" s="5">
        <f t="shared" si="52"/>
        <v>1</v>
      </c>
      <c r="Q99" s="5">
        <f t="shared" si="53"/>
        <v>2</v>
      </c>
      <c r="R99" s="5">
        <f t="shared" si="54"/>
        <v>1</v>
      </c>
      <c r="S99" s="5">
        <f t="shared" si="55"/>
        <v>1</v>
      </c>
      <c r="T99" s="5">
        <f t="shared" si="56"/>
        <v>2</v>
      </c>
      <c r="U99" s="5">
        <f t="shared" si="57"/>
        <v>1</v>
      </c>
      <c r="V99" s="5">
        <f t="shared" si="58"/>
        <v>1</v>
      </c>
      <c r="W99" s="445">
        <v>0</v>
      </c>
      <c r="X99" s="414">
        <v>2</v>
      </c>
      <c r="Y99" s="414">
        <v>1</v>
      </c>
      <c r="Z99" s="414">
        <v>1</v>
      </c>
      <c r="AA99" s="414">
        <v>2</v>
      </c>
      <c r="AB99" s="414">
        <v>1</v>
      </c>
      <c r="AC99" s="414">
        <v>1</v>
      </c>
      <c r="AD99" s="414">
        <v>2</v>
      </c>
      <c r="AE99" s="414">
        <v>1</v>
      </c>
      <c r="AF99" s="414">
        <v>1</v>
      </c>
      <c r="AG99">
        <f t="shared" si="59"/>
        <v>0</v>
      </c>
      <c r="AH99">
        <f t="shared" si="60"/>
        <v>0</v>
      </c>
    </row>
    <row r="100" spans="1:38">
      <c r="A100" s="325" t="s">
        <v>824</v>
      </c>
      <c r="B100" s="1" t="s">
        <v>2529</v>
      </c>
      <c r="C100" s="65">
        <f>coag_pipe_length</f>
        <v>0</v>
      </c>
      <c r="D100" s="1" t="s">
        <v>2526</v>
      </c>
      <c r="E100" s="120" t="str">
        <f>IF(C100=0,"NA",coag_pipe_diam)</f>
        <v>NA</v>
      </c>
      <c r="F100" s="1" t="str">
        <f>IF(C100=0,"","in diam")</f>
        <v/>
      </c>
      <c r="G100" s="327" t="str">
        <f>IF(C100=0,"NA",IF(curve=1,coag_pipe_diam,VLOOKUP(coag_pipe_diam,pvc_pipe_cost_cl,2)))</f>
        <v>NA</v>
      </c>
      <c r="H100" s="483" t="str">
        <f>IF(C100=0,"","in diam")</f>
        <v/>
      </c>
      <c r="I100" s="502" t="str">
        <f>IF(C100=0,"NA",IF(curve=1,pvc_pipe_eq_coag,VLOOKUP(coag_pipe_diam,pvc_pipe_cost_cl,3)))</f>
        <v>NA</v>
      </c>
      <c r="J100" s="485" t="str">
        <f>IF(OR(C100=0,I100="contact vendor"),"--",C100*I100)</f>
        <v>--</v>
      </c>
      <c r="K100" s="120" t="str">
        <f>IF(C100=0,"NA",VLOOKUP(coag_pipe_diam,pvc_pipe_cost_cl,IF(ss_cat="large",4,5)))</f>
        <v>NA</v>
      </c>
      <c r="L100" s="334"/>
      <c r="M100" s="5" t="str">
        <f>$B$71&amp;" - "&amp;$B$98&amp;" - "&amp;B100</f>
        <v>Piping - Ferric Chloride Piping - PVC</v>
      </c>
      <c r="N100" s="5">
        <f t="shared" si="50"/>
        <v>1</v>
      </c>
      <c r="O100" s="5">
        <f t="shared" si="51"/>
        <v>2</v>
      </c>
      <c r="P100" s="5">
        <f t="shared" si="52"/>
        <v>2</v>
      </c>
      <c r="Q100" s="5">
        <f t="shared" si="53"/>
        <v>1</v>
      </c>
      <c r="R100" s="5">
        <f t="shared" si="54"/>
        <v>2</v>
      </c>
      <c r="S100" s="5">
        <f t="shared" si="55"/>
        <v>2</v>
      </c>
      <c r="T100" s="5">
        <f t="shared" si="56"/>
        <v>1</v>
      </c>
      <c r="U100" s="5">
        <f t="shared" si="57"/>
        <v>2</v>
      </c>
      <c r="V100" s="5">
        <f t="shared" si="58"/>
        <v>2</v>
      </c>
      <c r="W100" s="445">
        <v>0</v>
      </c>
      <c r="X100" s="414">
        <v>1</v>
      </c>
      <c r="Y100" s="414">
        <v>2</v>
      </c>
      <c r="Z100" s="414">
        <v>2</v>
      </c>
      <c r="AA100" s="414">
        <v>1</v>
      </c>
      <c r="AB100" s="414">
        <v>2</v>
      </c>
      <c r="AC100" s="414">
        <v>2</v>
      </c>
      <c r="AD100" s="414">
        <v>1</v>
      </c>
      <c r="AE100" s="414">
        <v>2</v>
      </c>
      <c r="AF100" s="414">
        <v>2</v>
      </c>
      <c r="AG100">
        <f t="shared" si="59"/>
        <v>0</v>
      </c>
      <c r="AH100">
        <f t="shared" si="60"/>
        <v>0</v>
      </c>
    </row>
    <row r="101" spans="1:38">
      <c r="A101" s="504">
        <v>3.6</v>
      </c>
      <c r="B101" s="11" t="s">
        <v>2299</v>
      </c>
      <c r="C101" s="499"/>
      <c r="D101" s="669"/>
      <c r="E101" s="234"/>
      <c r="F101" s="671"/>
      <c r="G101" s="503"/>
      <c r="H101" s="671"/>
      <c r="I101" s="234"/>
      <c r="J101" s="234"/>
      <c r="K101" s="234"/>
      <c r="L101" s="200"/>
      <c r="M101" s="5"/>
      <c r="N101" s="5" t="str">
        <f t="shared" si="47"/>
        <v/>
      </c>
      <c r="O101" s="5" t="str">
        <f t="shared" si="47"/>
        <v/>
      </c>
      <c r="P101" s="5" t="str">
        <f t="shared" si="47"/>
        <v/>
      </c>
      <c r="Q101" s="5" t="str">
        <f t="shared" si="47"/>
        <v/>
      </c>
      <c r="R101" s="5" t="str">
        <f t="shared" si="47"/>
        <v/>
      </c>
      <c r="S101" s="5" t="str">
        <f t="shared" si="47"/>
        <v/>
      </c>
      <c r="T101" s="5" t="str">
        <f t="shared" si="47"/>
        <v/>
      </c>
      <c r="U101" s="5" t="str">
        <f t="shared" si="48"/>
        <v/>
      </c>
      <c r="V101" s="5" t="str">
        <f t="shared" si="49"/>
        <v/>
      </c>
      <c r="X101" s="520"/>
      <c r="Y101" s="520"/>
      <c r="Z101" s="520"/>
      <c r="AA101" s="520"/>
      <c r="AB101" s="520"/>
      <c r="AC101" s="520"/>
      <c r="AD101" s="520"/>
      <c r="AE101" s="520"/>
      <c r="AF101" s="520"/>
      <c r="AG101">
        <f t="shared" si="2"/>
        <v>0</v>
      </c>
      <c r="AH101">
        <f t="shared" si="3"/>
        <v>0</v>
      </c>
      <c r="AI101" s="18"/>
      <c r="AJ101" s="18"/>
      <c r="AL101" s="18"/>
    </row>
    <row r="102" spans="1:38" s="1" customFormat="1">
      <c r="A102" s="325" t="s">
        <v>2326</v>
      </c>
      <c r="B102" s="1" t="s">
        <v>2528</v>
      </c>
      <c r="C102" s="65">
        <f>polymer_pipe_length</f>
        <v>0</v>
      </c>
      <c r="D102" s="1" t="s">
        <v>2526</v>
      </c>
      <c r="E102" s="120" t="str">
        <f>IF(C102=0,"NA",polymer_pipe_diam)</f>
        <v>NA</v>
      </c>
      <c r="F102" s="1" t="str">
        <f>IF(C102=0,"","in diam")</f>
        <v/>
      </c>
      <c r="G102" s="327" t="str">
        <f>IF(C102=0,"NA",IF(curve=1,polymer_pipe_diam,VLOOKUP(polymer_pipe_diam,cpvc_pipe_cost_cl,2)))</f>
        <v>NA</v>
      </c>
      <c r="H102" s="483" t="str">
        <f>IF(C102=0,"","in diam")</f>
        <v/>
      </c>
      <c r="I102" s="502" t="str">
        <f>IF(C102=0,"NA",IF(curve=1,cpvc_pipe_eq_polymer,VLOOKUP(polymer_pipe_diam,cpvc_pipe_cost_cl,3)))</f>
        <v>NA</v>
      </c>
      <c r="J102" s="485" t="str">
        <f>IF(OR(C102=0,I102="contact vendor"),"--",C102*I102)</f>
        <v>--</v>
      </c>
      <c r="K102" s="120" t="str">
        <f>IF(C102=0,"NA",VLOOKUP(polymer_pipe_diam,cpvc_pipe_cost_cl,IF(ss_cat="large",4,5)))</f>
        <v>NA</v>
      </c>
      <c r="L102" s="334"/>
      <c r="M102" s="5" t="str">
        <f>$B$71&amp;" - "&amp;$B$101&amp;" - "&amp;B102</f>
        <v>Piping - Polymer Piping - CPVC</v>
      </c>
      <c r="N102" s="5">
        <f t="shared" si="47"/>
        <v>2</v>
      </c>
      <c r="O102" s="5">
        <f t="shared" si="47"/>
        <v>1</v>
      </c>
      <c r="P102" s="5">
        <f t="shared" si="47"/>
        <v>3</v>
      </c>
      <c r="Q102" s="5">
        <f t="shared" si="47"/>
        <v>2</v>
      </c>
      <c r="R102" s="5">
        <f t="shared" si="47"/>
        <v>1</v>
      </c>
      <c r="S102" s="5">
        <f t="shared" si="47"/>
        <v>3</v>
      </c>
      <c r="T102" s="5">
        <f t="shared" si="47"/>
        <v>2</v>
      </c>
      <c r="U102" s="5">
        <f t="shared" si="48"/>
        <v>1</v>
      </c>
      <c r="V102" s="5">
        <f t="shared" si="49"/>
        <v>3</v>
      </c>
      <c r="W102" s="445">
        <v>0</v>
      </c>
      <c r="X102" s="414">
        <v>2</v>
      </c>
      <c r="Y102" s="414">
        <v>1</v>
      </c>
      <c r="Z102" s="414">
        <v>3</v>
      </c>
      <c r="AA102" s="414">
        <v>2</v>
      </c>
      <c r="AB102" s="414">
        <v>1</v>
      </c>
      <c r="AC102" s="414">
        <v>3</v>
      </c>
      <c r="AD102" s="414">
        <v>2</v>
      </c>
      <c r="AE102" s="414">
        <v>1</v>
      </c>
      <c r="AF102" s="414">
        <v>3</v>
      </c>
      <c r="AG102">
        <f t="shared" si="2"/>
        <v>0</v>
      </c>
      <c r="AH102">
        <f t="shared" si="3"/>
        <v>0</v>
      </c>
      <c r="AI102" s="153"/>
      <c r="AJ102" s="153"/>
      <c r="AL102" s="153"/>
    </row>
    <row r="103" spans="1:38" s="1" customFormat="1">
      <c r="A103" s="325" t="s">
        <v>2326</v>
      </c>
      <c r="B103" s="1" t="s">
        <v>2529</v>
      </c>
      <c r="C103" s="65">
        <f>polymer_pipe_length</f>
        <v>0</v>
      </c>
      <c r="D103" s="1" t="s">
        <v>2526</v>
      </c>
      <c r="E103" s="120" t="str">
        <f>IF(C103=0,"NA",polymer_pipe_diam)</f>
        <v>NA</v>
      </c>
      <c r="F103" s="1" t="str">
        <f>IF(C103=0,"","in diam")</f>
        <v/>
      </c>
      <c r="G103" s="327" t="str">
        <f>IF(C103=0,"NA",IF(curve=1,polymer_pipe_diam,VLOOKUP(polymer_pipe_diam,pvc_pipe_cost_cl,2)))</f>
        <v>NA</v>
      </c>
      <c r="H103" s="483" t="str">
        <f>IF(C103=0,"","in diam")</f>
        <v/>
      </c>
      <c r="I103" s="502" t="str">
        <f>IF(C103=0,"NA",IF(curve=1,pvc_pipe_eq_polymer,VLOOKUP(polymer_pipe_diam,pvc_pipe_cost_cl,3)))</f>
        <v>NA</v>
      </c>
      <c r="J103" s="485" t="str">
        <f>IF(OR(C103=0,I103="contact vendor"),"--",C103*I103)</f>
        <v>--</v>
      </c>
      <c r="K103" s="120" t="str">
        <f>IF(C103=0,"NA",VLOOKUP(polymer_pipe_diam,pvc_pipe_cost_cl,IF(ss_cat="large",4,5)))</f>
        <v>NA</v>
      </c>
      <c r="L103" s="334"/>
      <c r="M103" s="5" t="str">
        <f>$B$71&amp;" - "&amp;$B$101&amp;" - "&amp;B103</f>
        <v>Piping - Polymer Piping - PVC</v>
      </c>
      <c r="N103" s="5">
        <f t="shared" si="47"/>
        <v>1</v>
      </c>
      <c r="O103" s="5">
        <f t="shared" si="47"/>
        <v>2</v>
      </c>
      <c r="P103" s="5">
        <f t="shared" si="47"/>
        <v>4</v>
      </c>
      <c r="Q103" s="5">
        <f t="shared" si="47"/>
        <v>1</v>
      </c>
      <c r="R103" s="5">
        <f t="shared" si="47"/>
        <v>2</v>
      </c>
      <c r="S103" s="5">
        <f t="shared" si="47"/>
        <v>4</v>
      </c>
      <c r="T103" s="5">
        <f t="shared" si="47"/>
        <v>1</v>
      </c>
      <c r="U103" s="5">
        <f t="shared" si="48"/>
        <v>2</v>
      </c>
      <c r="V103" s="5">
        <f t="shared" si="49"/>
        <v>4</v>
      </c>
      <c r="W103" s="445">
        <v>0</v>
      </c>
      <c r="X103" s="414">
        <v>1</v>
      </c>
      <c r="Y103" s="414">
        <v>2</v>
      </c>
      <c r="Z103" s="414">
        <v>4</v>
      </c>
      <c r="AA103" s="414">
        <v>1</v>
      </c>
      <c r="AB103" s="414">
        <v>2</v>
      </c>
      <c r="AC103" s="414">
        <v>4</v>
      </c>
      <c r="AD103" s="414">
        <v>1</v>
      </c>
      <c r="AE103" s="414">
        <v>2</v>
      </c>
      <c r="AF103" s="414">
        <v>4</v>
      </c>
      <c r="AG103">
        <f t="shared" si="2"/>
        <v>0</v>
      </c>
      <c r="AH103">
        <f t="shared" si="3"/>
        <v>0</v>
      </c>
      <c r="AI103" s="153"/>
      <c r="AJ103" s="153"/>
      <c r="AL103" s="153"/>
    </row>
    <row r="104" spans="1:38" s="1" customFormat="1">
      <c r="A104" s="325" t="s">
        <v>2326</v>
      </c>
      <c r="B104" s="1" t="s">
        <v>17</v>
      </c>
      <c r="C104" s="65">
        <f>polymer_pipe_length</f>
        <v>0</v>
      </c>
      <c r="D104" s="1" t="s">
        <v>2526</v>
      </c>
      <c r="E104" s="120" t="str">
        <f>IF(C104=0,"NA",polymer_pipe_diam)</f>
        <v>NA</v>
      </c>
      <c r="F104" s="1" t="str">
        <f>IF(C104=0,"","in diam")</f>
        <v/>
      </c>
      <c r="G104" s="327" t="str">
        <f>IF(C104=0,"NA",IF(curve=1,polymer_pipe_diam,VLOOKUP(polymer_pipe_diam,ss_pipe_cost_cl,2)))</f>
        <v>NA</v>
      </c>
      <c r="H104" s="483" t="str">
        <f>IF(C104=0,"","in diam")</f>
        <v/>
      </c>
      <c r="I104" s="502" t="str">
        <f>IF(C104=0,"NA",IF(curve=1,ss_pipe_eq_polymer,VLOOKUP(polymer_pipe_diam,ss_pipe_cost_cl,3)))</f>
        <v>NA</v>
      </c>
      <c r="J104" s="485" t="str">
        <f>IF(OR(C104=0,I104="contact vendor"),"--",C104*I104)</f>
        <v>--</v>
      </c>
      <c r="K104" s="120" t="str">
        <f>IF(C104=0,"NA",VLOOKUP(polymer_pipe_diam,ss_pipe_cost_cl,IF(ss_cat="large",4,5)))</f>
        <v>NA</v>
      </c>
      <c r="L104" s="334"/>
      <c r="M104" s="5" t="str">
        <f>$B$71&amp;" - "&amp;$B$101&amp;" - "&amp;B104</f>
        <v>Piping - Polymer Piping - Stainless Steel</v>
      </c>
      <c r="N104" s="5">
        <f t="shared" si="47"/>
        <v>4</v>
      </c>
      <c r="O104" s="5">
        <f t="shared" si="47"/>
        <v>4</v>
      </c>
      <c r="P104" s="5">
        <f t="shared" si="47"/>
        <v>1</v>
      </c>
      <c r="Q104" s="5">
        <f t="shared" si="47"/>
        <v>4</v>
      </c>
      <c r="R104" s="5">
        <f t="shared" si="47"/>
        <v>4</v>
      </c>
      <c r="S104" s="5">
        <f t="shared" si="47"/>
        <v>1</v>
      </c>
      <c r="T104" s="5">
        <f t="shared" si="47"/>
        <v>4</v>
      </c>
      <c r="U104" s="5">
        <f t="shared" si="48"/>
        <v>4</v>
      </c>
      <c r="V104" s="5">
        <f t="shared" si="49"/>
        <v>1</v>
      </c>
      <c r="W104" s="445">
        <v>0</v>
      </c>
      <c r="X104" s="414">
        <v>4</v>
      </c>
      <c r="Y104" s="414">
        <v>4</v>
      </c>
      <c r="Z104" s="414">
        <v>1</v>
      </c>
      <c r="AA104" s="414">
        <v>4</v>
      </c>
      <c r="AB104" s="414">
        <v>4</v>
      </c>
      <c r="AC104" s="414">
        <v>1</v>
      </c>
      <c r="AD104" s="414">
        <v>4</v>
      </c>
      <c r="AE104" s="414">
        <v>4</v>
      </c>
      <c r="AF104" s="414">
        <v>1</v>
      </c>
      <c r="AG104">
        <f t="shared" si="2"/>
        <v>0</v>
      </c>
      <c r="AH104">
        <f t="shared" si="3"/>
        <v>0</v>
      </c>
      <c r="AI104" s="153"/>
      <c r="AJ104" s="153"/>
      <c r="AL104" s="153"/>
    </row>
    <row r="105" spans="1:38" s="1" customFormat="1">
      <c r="A105" s="325" t="s">
        <v>2326</v>
      </c>
      <c r="B105" s="1" t="s">
        <v>2530</v>
      </c>
      <c r="C105" s="65">
        <f>polymer_pipe_length</f>
        <v>0</v>
      </c>
      <c r="D105" s="1" t="s">
        <v>2526</v>
      </c>
      <c r="E105" s="120" t="str">
        <f>IF(C105=0,"NA",polymer_pipe_diam)</f>
        <v>NA</v>
      </c>
      <c r="F105" s="1" t="str">
        <f>IF(C105=0,"","in diam")</f>
        <v/>
      </c>
      <c r="G105" s="327" t="str">
        <f>IF(C105=0,"NA",IF(curve=1,polymer_pipe_diam,VLOOKUP(polymer_pipe_diam,st_pipe_cost_cl,2)))</f>
        <v>NA</v>
      </c>
      <c r="H105" s="483" t="str">
        <f>IF(C105=0,"","in diam")</f>
        <v/>
      </c>
      <c r="I105" s="502" t="str">
        <f>IF(C105=0,"NA",IF(curve=1,st_pipe_eq_polymer,VLOOKUP(polymer_pipe_diam,st_pipe_cost_cl,3)))</f>
        <v>NA</v>
      </c>
      <c r="J105" s="485" t="str">
        <f>IF(OR(C105=0,I105="contact vendor"),"--",C105*I105)</f>
        <v>--</v>
      </c>
      <c r="K105" s="120" t="str">
        <f>IF(C105=0,"NA",VLOOKUP(polymer_pipe_diam,st_pipe_cost_cl,IF(ss_cat="large",4,5)))</f>
        <v>NA</v>
      </c>
      <c r="L105" s="334"/>
      <c r="M105" s="5" t="str">
        <f>$B$71&amp;" - "&amp;$B$101&amp;" - "&amp;B105</f>
        <v>Piping - Polymer Piping - Steel</v>
      </c>
      <c r="N105" s="5">
        <f t="shared" si="47"/>
        <v>3</v>
      </c>
      <c r="O105" s="5">
        <f t="shared" si="47"/>
        <v>3</v>
      </c>
      <c r="P105" s="5">
        <f t="shared" si="47"/>
        <v>2</v>
      </c>
      <c r="Q105" s="5">
        <f t="shared" si="47"/>
        <v>3</v>
      </c>
      <c r="R105" s="5">
        <f t="shared" si="47"/>
        <v>3</v>
      </c>
      <c r="S105" s="5">
        <f t="shared" si="47"/>
        <v>2</v>
      </c>
      <c r="T105" s="5">
        <f t="shared" si="47"/>
        <v>3</v>
      </c>
      <c r="U105" s="5">
        <f t="shared" si="48"/>
        <v>3</v>
      </c>
      <c r="V105" s="5">
        <f t="shared" si="49"/>
        <v>2</v>
      </c>
      <c r="W105" s="445">
        <v>0</v>
      </c>
      <c r="X105" s="414">
        <v>3</v>
      </c>
      <c r="Y105" s="414">
        <v>3</v>
      </c>
      <c r="Z105" s="414">
        <v>2</v>
      </c>
      <c r="AA105" s="414">
        <v>3</v>
      </c>
      <c r="AB105" s="414">
        <v>3</v>
      </c>
      <c r="AC105" s="414">
        <v>2</v>
      </c>
      <c r="AD105" s="414">
        <v>3</v>
      </c>
      <c r="AE105" s="414">
        <v>3</v>
      </c>
      <c r="AF105" s="414">
        <v>2</v>
      </c>
      <c r="AG105">
        <f t="shared" si="2"/>
        <v>0</v>
      </c>
      <c r="AH105">
        <f t="shared" si="3"/>
        <v>0</v>
      </c>
      <c r="AI105" s="153"/>
      <c r="AJ105" s="153"/>
      <c r="AL105" s="153"/>
    </row>
    <row r="106" spans="1:38">
      <c r="A106" s="505">
        <v>3.7</v>
      </c>
      <c r="B106" s="39" t="s">
        <v>207</v>
      </c>
      <c r="C106" s="175"/>
      <c r="D106" s="668"/>
      <c r="E106" s="175"/>
      <c r="F106" s="668"/>
      <c r="G106" s="175"/>
      <c r="H106" s="668"/>
      <c r="I106" s="179"/>
      <c r="J106" s="175"/>
      <c r="K106" s="175"/>
      <c r="L106" s="180"/>
      <c r="M106" s="27"/>
      <c r="N106" s="5" t="str">
        <f t="shared" si="47"/>
        <v/>
      </c>
      <c r="O106" s="5" t="str">
        <f t="shared" si="47"/>
        <v/>
      </c>
      <c r="P106" s="5" t="str">
        <f t="shared" si="47"/>
        <v/>
      </c>
      <c r="Q106" s="5" t="str">
        <f t="shared" si="47"/>
        <v/>
      </c>
      <c r="R106" s="5" t="str">
        <f t="shared" si="47"/>
        <v/>
      </c>
      <c r="S106" s="5" t="str">
        <f t="shared" si="47"/>
        <v/>
      </c>
      <c r="T106" s="5" t="str">
        <f t="shared" si="47"/>
        <v/>
      </c>
      <c r="U106" s="5" t="str">
        <f t="shared" si="48"/>
        <v/>
      </c>
      <c r="V106" s="5" t="str">
        <f t="shared" si="49"/>
        <v/>
      </c>
      <c r="X106" s="520"/>
      <c r="Y106" s="520"/>
      <c r="Z106" s="520"/>
      <c r="AA106" s="520"/>
      <c r="AB106" s="520"/>
      <c r="AC106" s="520"/>
      <c r="AD106" s="520"/>
      <c r="AE106" s="520"/>
      <c r="AF106" s="520"/>
      <c r="AG106" s="414">
        <f t="shared" si="2"/>
        <v>0</v>
      </c>
      <c r="AH106" s="414">
        <f t="shared" si="3"/>
        <v>0</v>
      </c>
    </row>
    <row r="107" spans="1:38">
      <c r="A107" s="325" t="s">
        <v>3706</v>
      </c>
      <c r="B107" s="65" t="s">
        <v>2528</v>
      </c>
      <c r="C107" s="65">
        <f>bp_pipe_length</f>
        <v>0</v>
      </c>
      <c r="D107" s="65" t="s">
        <v>2526</v>
      </c>
      <c r="E107" s="327" t="str">
        <f>IF(bp_pct&gt;0,bp_pipe_diam,"NA")</f>
        <v>NA</v>
      </c>
      <c r="F107" s="65" t="str">
        <f>IF(bp_pct=0," ","in. diam")</f>
        <v xml:space="preserve"> </v>
      </c>
      <c r="G107" s="327" t="str">
        <f>IF(bp_pct=0,"NA",IF(curve=1,bp_pipe_diam,VLOOKUP(bp_pipe_diam,cpvc_pipe_cost_cl,2)))</f>
        <v>NA</v>
      </c>
      <c r="H107" s="65" t="str">
        <f>IF(bp_pct=0," ","in. diam")</f>
        <v xml:space="preserve"> </v>
      </c>
      <c r="I107" s="343" t="str">
        <f>IF(bp_pct=0,"NA",IF(curve=1,cpvc_pipe_eq_bp,VLOOKUP(bp_pipe_diam,cpvc_pipe_cost_cl,3)))</f>
        <v>NA</v>
      </c>
      <c r="J107" s="485" t="str">
        <f t="shared" ref="J107:J110" si="61">IF(OR(C107=0,I107="contact vendor"),"--",C107*I107)</f>
        <v>--</v>
      </c>
      <c r="K107" s="120" t="str">
        <f>IF(C107=0,"NA",VLOOKUP(E107,cpvc_pipe_cost_cl,IF(ss_cat="large",4,5)))</f>
        <v>NA</v>
      </c>
      <c r="L107" s="334"/>
      <c r="M107" s="27" t="str">
        <f>$B$106&amp;" - "&amp;B107</f>
        <v>Bypass Piping - CPVC</v>
      </c>
      <c r="N107" s="5">
        <f t="shared" ref="N107:T110" si="62">IF(retrofit=1,$W107*X107,IF(ISBLANK(X107),"",X107))</f>
        <v>2</v>
      </c>
      <c r="O107" s="5">
        <f t="shared" si="62"/>
        <v>1</v>
      </c>
      <c r="P107" s="5">
        <f t="shared" si="62"/>
        <v>3</v>
      </c>
      <c r="Q107" s="5">
        <f t="shared" si="62"/>
        <v>2</v>
      </c>
      <c r="R107" s="5">
        <f t="shared" si="62"/>
        <v>1</v>
      </c>
      <c r="S107" s="5">
        <f t="shared" si="62"/>
        <v>3</v>
      </c>
      <c r="T107" s="5">
        <f t="shared" si="62"/>
        <v>2</v>
      </c>
      <c r="U107" s="5">
        <f t="shared" ref="U107:V110" si="63">IF(retrofit=1,$W107*AE107,IF(ISBLANK(AE107),"",AE107))</f>
        <v>1</v>
      </c>
      <c r="V107" s="5">
        <f t="shared" si="63"/>
        <v>3</v>
      </c>
      <c r="W107" s="445">
        <v>0</v>
      </c>
      <c r="X107" s="414">
        <v>2</v>
      </c>
      <c r="Y107" s="520">
        <v>1</v>
      </c>
      <c r="Z107" s="414">
        <v>3</v>
      </c>
      <c r="AA107" s="414">
        <v>2</v>
      </c>
      <c r="AB107" s="520">
        <v>1</v>
      </c>
      <c r="AC107" s="414">
        <v>3</v>
      </c>
      <c r="AD107" s="414">
        <v>2</v>
      </c>
      <c r="AE107" s="520">
        <v>1</v>
      </c>
      <c r="AF107" s="414">
        <v>3</v>
      </c>
      <c r="AG107" s="414">
        <f t="shared" si="2"/>
        <v>0</v>
      </c>
      <c r="AH107" s="414">
        <f t="shared" si="3"/>
        <v>0</v>
      </c>
    </row>
    <row r="108" spans="1:38">
      <c r="A108" s="325" t="s">
        <v>3706</v>
      </c>
      <c r="B108" s="65" t="s">
        <v>2529</v>
      </c>
      <c r="C108" s="65">
        <f>bp_pipe_length</f>
        <v>0</v>
      </c>
      <c r="D108" s="65" t="s">
        <v>2526</v>
      </c>
      <c r="E108" s="327" t="str">
        <f>IF(bp_pct&gt;0,bp_pipe_diam,"NA")</f>
        <v>NA</v>
      </c>
      <c r="F108" s="65" t="str">
        <f>IF(bp_pct=0," ","in. diam")</f>
        <v xml:space="preserve"> </v>
      </c>
      <c r="G108" s="327" t="str">
        <f>IF(bp_pct=0,"NA",IF(curve=1,bp_pipe_diam,VLOOKUP(bp_pipe_diam,pvc_pipe_cost_cl,2)))</f>
        <v>NA</v>
      </c>
      <c r="H108" s="65" t="str">
        <f>IF(bp_pct=0," ","in. diam")</f>
        <v xml:space="preserve"> </v>
      </c>
      <c r="I108" s="343" t="str">
        <f>IF(bp_pct=0,"NA",IF(curve=1,pvc_pipe_eq_bp,VLOOKUP(bp_pipe_diam,pvc_pipe_cost_cl,3)))</f>
        <v>NA</v>
      </c>
      <c r="J108" s="485" t="str">
        <f t="shared" si="61"/>
        <v>--</v>
      </c>
      <c r="K108" s="120" t="str">
        <f>IF(C108=0,"NA",VLOOKUP(E108,pvc_pipe_cost_cl,IF(ss_cat="large",4,5)))</f>
        <v>NA</v>
      </c>
      <c r="L108" s="334"/>
      <c r="M108" s="27" t="str">
        <f>$B$106&amp;" - "&amp;B108</f>
        <v>Bypass Piping - PVC</v>
      </c>
      <c r="N108" s="5">
        <f t="shared" si="62"/>
        <v>1</v>
      </c>
      <c r="O108" s="5">
        <f t="shared" si="62"/>
        <v>2</v>
      </c>
      <c r="P108" s="5">
        <f t="shared" si="62"/>
        <v>4</v>
      </c>
      <c r="Q108" s="5">
        <f t="shared" si="62"/>
        <v>1</v>
      </c>
      <c r="R108" s="5">
        <f t="shared" si="62"/>
        <v>2</v>
      </c>
      <c r="S108" s="5">
        <f t="shared" si="62"/>
        <v>4</v>
      </c>
      <c r="T108" s="5">
        <f t="shared" si="62"/>
        <v>1</v>
      </c>
      <c r="U108" s="5">
        <f t="shared" si="63"/>
        <v>2</v>
      </c>
      <c r="V108" s="5">
        <f t="shared" si="63"/>
        <v>4</v>
      </c>
      <c r="W108" s="445">
        <v>0</v>
      </c>
      <c r="X108" s="414">
        <v>1</v>
      </c>
      <c r="Y108" s="520">
        <v>2</v>
      </c>
      <c r="Z108" s="414">
        <v>4</v>
      </c>
      <c r="AA108" s="414">
        <v>1</v>
      </c>
      <c r="AB108" s="520">
        <v>2</v>
      </c>
      <c r="AC108" s="414">
        <v>4</v>
      </c>
      <c r="AD108" s="414">
        <v>1</v>
      </c>
      <c r="AE108" s="520">
        <v>2</v>
      </c>
      <c r="AF108" s="414">
        <v>4</v>
      </c>
      <c r="AG108" s="414">
        <f t="shared" si="2"/>
        <v>0</v>
      </c>
      <c r="AH108" s="414">
        <f t="shared" si="3"/>
        <v>0</v>
      </c>
    </row>
    <row r="109" spans="1:38">
      <c r="A109" s="325" t="s">
        <v>3706</v>
      </c>
      <c r="B109" s="65" t="s">
        <v>17</v>
      </c>
      <c r="C109" s="65">
        <f>bp_pipe_length</f>
        <v>0</v>
      </c>
      <c r="D109" s="65" t="s">
        <v>2526</v>
      </c>
      <c r="E109" s="327" t="str">
        <f>IF(bp_pct&gt;0,bp_pipe_diam,"NA")</f>
        <v>NA</v>
      </c>
      <c r="F109" s="65" t="str">
        <f>IF(bp_pct=0," ","in. diam")</f>
        <v xml:space="preserve"> </v>
      </c>
      <c r="G109" s="327" t="str">
        <f>IF(bp_pct=0,"NA",IF(curve=1,bp_pipe_diam,VLOOKUP(bp_pipe_diam,ss_pipe_cost_cl,2)))</f>
        <v>NA</v>
      </c>
      <c r="H109" s="65" t="str">
        <f>IF(bp_pct=0," ","in. diam")</f>
        <v xml:space="preserve"> </v>
      </c>
      <c r="I109" s="343" t="str">
        <f>IF(bp_pct=0,"NA",IF(curve=1,ss_pipe_eq_bp,VLOOKUP(bp_pipe_diam,ss_pipe_cost_cl,3)))</f>
        <v>NA</v>
      </c>
      <c r="J109" s="485" t="str">
        <f t="shared" si="61"/>
        <v>--</v>
      </c>
      <c r="K109" s="120" t="str">
        <f>IF(C109=0,"NA",VLOOKUP(E109,ss_pipe_cost_cl,IF(ss_cat="large",4,5)))</f>
        <v>NA</v>
      </c>
      <c r="L109" s="334"/>
      <c r="M109" s="27" t="str">
        <f>$B$106&amp;" - "&amp;B109</f>
        <v>Bypass Piping - Stainless Steel</v>
      </c>
      <c r="N109" s="5">
        <f t="shared" si="62"/>
        <v>4</v>
      </c>
      <c r="O109" s="5">
        <f t="shared" si="62"/>
        <v>4</v>
      </c>
      <c r="P109" s="5">
        <f t="shared" si="62"/>
        <v>1</v>
      </c>
      <c r="Q109" s="5">
        <f t="shared" si="62"/>
        <v>4</v>
      </c>
      <c r="R109" s="5">
        <f t="shared" si="62"/>
        <v>4</v>
      </c>
      <c r="S109" s="5">
        <f t="shared" si="62"/>
        <v>1</v>
      </c>
      <c r="T109" s="5">
        <f t="shared" si="62"/>
        <v>4</v>
      </c>
      <c r="U109" s="5">
        <f t="shared" si="63"/>
        <v>4</v>
      </c>
      <c r="V109" s="5">
        <f t="shared" si="63"/>
        <v>1</v>
      </c>
      <c r="W109" s="445">
        <v>0</v>
      </c>
      <c r="X109" s="414">
        <v>4</v>
      </c>
      <c r="Y109" s="414">
        <v>4</v>
      </c>
      <c r="Z109" s="414">
        <v>1</v>
      </c>
      <c r="AA109" s="414">
        <v>4</v>
      </c>
      <c r="AB109" s="414">
        <v>4</v>
      </c>
      <c r="AC109" s="414">
        <v>1</v>
      </c>
      <c r="AD109" s="414">
        <v>4</v>
      </c>
      <c r="AE109" s="414">
        <v>4</v>
      </c>
      <c r="AF109" s="414">
        <v>1</v>
      </c>
      <c r="AG109" s="414">
        <f t="shared" si="2"/>
        <v>0</v>
      </c>
      <c r="AH109" s="414">
        <f t="shared" si="3"/>
        <v>0</v>
      </c>
    </row>
    <row r="110" spans="1:38">
      <c r="A110" s="325" t="s">
        <v>3706</v>
      </c>
      <c r="B110" s="65" t="s">
        <v>2530</v>
      </c>
      <c r="C110" s="65">
        <f>bp_pipe_length</f>
        <v>0</v>
      </c>
      <c r="D110" s="65" t="s">
        <v>2526</v>
      </c>
      <c r="E110" s="327" t="str">
        <f>IF(bp_pct&gt;0,bp_pipe_diam,"NA")</f>
        <v>NA</v>
      </c>
      <c r="F110" s="65" t="str">
        <f>IF(bp_pct=0," ","in. diam")</f>
        <v xml:space="preserve"> </v>
      </c>
      <c r="G110" s="327" t="str">
        <f>IF(bp_pct=0,"NA",IF(curve=1,bp_pipe_diam,VLOOKUP(bp_pipe_diam,st_pipe_cost_cl,2)))</f>
        <v>NA</v>
      </c>
      <c r="H110" s="65" t="str">
        <f>IF(bp_pct=0," ","in. diam")</f>
        <v xml:space="preserve"> </v>
      </c>
      <c r="I110" s="343" t="str">
        <f>IF(bp_pct=0,"NA",IF(curve=1,st_pipe_eq_bp,VLOOKUP(bp_pipe_diam,st_pipe_cost_cl,3)))</f>
        <v>NA</v>
      </c>
      <c r="J110" s="485" t="str">
        <f t="shared" si="61"/>
        <v>--</v>
      </c>
      <c r="K110" s="120" t="str">
        <f>IF(C110=0,"NA",VLOOKUP(E110,st_pipe_cost_cl,IF(ss_cat="large",4,5)))</f>
        <v>NA</v>
      </c>
      <c r="L110" s="334"/>
      <c r="M110" s="27" t="str">
        <f>$B$106&amp;" - "&amp;B110</f>
        <v>Bypass Piping - Steel</v>
      </c>
      <c r="N110" s="5">
        <f t="shared" si="62"/>
        <v>3</v>
      </c>
      <c r="O110" s="5">
        <f t="shared" si="62"/>
        <v>3</v>
      </c>
      <c r="P110" s="5">
        <f t="shared" si="62"/>
        <v>2</v>
      </c>
      <c r="Q110" s="5">
        <f t="shared" si="62"/>
        <v>3</v>
      </c>
      <c r="R110" s="5">
        <f t="shared" si="62"/>
        <v>3</v>
      </c>
      <c r="S110" s="5">
        <f t="shared" si="62"/>
        <v>2</v>
      </c>
      <c r="T110" s="5">
        <f t="shared" si="62"/>
        <v>3</v>
      </c>
      <c r="U110" s="5">
        <f t="shared" si="63"/>
        <v>3</v>
      </c>
      <c r="V110" s="5">
        <f t="shared" si="63"/>
        <v>2</v>
      </c>
      <c r="W110" s="445">
        <v>0</v>
      </c>
      <c r="X110" s="414">
        <v>3</v>
      </c>
      <c r="Y110" s="414">
        <v>3</v>
      </c>
      <c r="Z110" s="414">
        <v>2</v>
      </c>
      <c r="AA110" s="414">
        <v>3</v>
      </c>
      <c r="AB110" s="414">
        <v>3</v>
      </c>
      <c r="AC110" s="414">
        <v>2</v>
      </c>
      <c r="AD110" s="414">
        <v>3</v>
      </c>
      <c r="AE110" s="414">
        <v>3</v>
      </c>
      <c r="AF110" s="414">
        <v>2</v>
      </c>
      <c r="AG110" s="414">
        <f t="shared" si="2"/>
        <v>0</v>
      </c>
      <c r="AH110" s="414">
        <f t="shared" si="3"/>
        <v>0</v>
      </c>
    </row>
    <row r="111" spans="1:38">
      <c r="A111" s="191" t="s">
        <v>825</v>
      </c>
      <c r="B111" s="14" t="s">
        <v>2456</v>
      </c>
      <c r="C111" s="24"/>
      <c r="D111" s="24"/>
      <c r="E111" s="24"/>
      <c r="F111" s="14"/>
      <c r="G111" s="24"/>
      <c r="H111" s="14"/>
      <c r="I111" s="24"/>
      <c r="J111" s="24"/>
      <c r="K111" s="24"/>
      <c r="L111" s="193"/>
      <c r="M111" s="27"/>
      <c r="AG111" s="414">
        <f t="shared" si="2"/>
        <v>0</v>
      </c>
      <c r="AH111" s="414">
        <f t="shared" si="3"/>
        <v>0</v>
      </c>
    </row>
    <row r="112" spans="1:38">
      <c r="A112" s="388" t="s">
        <v>826</v>
      </c>
      <c r="B112" s="11" t="s">
        <v>1572</v>
      </c>
      <c r="C112" s="175"/>
      <c r="D112" s="668"/>
      <c r="E112" s="175"/>
      <c r="F112" s="669"/>
      <c r="G112" s="175"/>
      <c r="H112" s="669"/>
      <c r="I112" s="175"/>
      <c r="J112" s="175"/>
      <c r="K112" s="175"/>
      <c r="L112" s="196"/>
      <c r="M112" s="27"/>
      <c r="AG112" s="414">
        <f t="shared" ref="AG112:AG181" si="64">IF(ISERROR(K112*L112),0,IF(K112&lt;1,0,L112))</f>
        <v>0</v>
      </c>
      <c r="AH112" s="414">
        <f t="shared" ref="AH112:AH181" si="65">IF(AG112,J112/K112,0)</f>
        <v>0</v>
      </c>
    </row>
    <row r="113" spans="1:38">
      <c r="A113" s="325" t="s">
        <v>827</v>
      </c>
      <c r="B113" s="1" t="s">
        <v>2742</v>
      </c>
      <c r="C113" s="65">
        <f>tot_proc_MOVs</f>
        <v>0</v>
      </c>
      <c r="D113" s="65" t="s">
        <v>2222</v>
      </c>
      <c r="E113" s="65">
        <f>tank_valve_size</f>
        <v>8</v>
      </c>
      <c r="F113" s="1" t="s">
        <v>2527</v>
      </c>
      <c r="G113" s="65">
        <f>IF(curve=1,tank_valve_size,VLOOKUP(tank_valve_size,pp_mov_cost_cl,2))</f>
        <v>8</v>
      </c>
      <c r="H113" s="1" t="s">
        <v>2527</v>
      </c>
      <c r="I113" s="322">
        <f>IF(curve=1,pp_mov_eq_tank,VLOOKUP(tank_valve_size,pp_mov_cost_cl,3))</f>
        <v>2568.7492689327851</v>
      </c>
      <c r="J113" s="323">
        <f t="shared" ref="J113:J118" si="66">IF(I113="contact vendor","--",C113*I113)</f>
        <v>0</v>
      </c>
      <c r="K113" s="65">
        <f>VLOOKUP(tank_valve_size,pp_mov_cost_cl,IF(ss_cat="large",4,5))</f>
        <v>25</v>
      </c>
      <c r="L113" s="324"/>
      <c r="M113" s="27" t="str">
        <f t="shared" ref="M113:M128" si="67">$B$112&amp;" "&amp;$B$111&amp;" - "&amp;B113</f>
        <v>Motor/Air Operated (on/off) Valves - Process - Polypropylene/PVC</v>
      </c>
      <c r="N113" s="5">
        <f t="shared" ref="N113:N128" si="68">IF(retrofit=1,$W113*X113,IF(ISBLANK(X113),"",X113))</f>
        <v>1</v>
      </c>
      <c r="O113" s="5">
        <f t="shared" ref="O113:O128" si="69">IF(retrofit=1,$W113*Y113,IF(ISBLANK(Y113),"",Y113))</f>
        <v>2</v>
      </c>
      <c r="P113" s="5">
        <f t="shared" ref="P113:P128" si="70">IF(retrofit=1,$W113*Z113,IF(ISBLANK(Z113),"",Z113))</f>
        <v>3</v>
      </c>
      <c r="Q113" s="5">
        <f t="shared" ref="Q113:Q128" si="71">IF(retrofit=1,$W113*AA113,IF(ISBLANK(AA113),"",AA113))</f>
        <v>1</v>
      </c>
      <c r="R113" s="5">
        <f t="shared" ref="R113:R128" si="72">IF(retrofit=1,$W113*AB113,IF(ISBLANK(AB113),"",AB113))</f>
        <v>2</v>
      </c>
      <c r="S113" s="5">
        <f t="shared" ref="S113:S128" si="73">IF(retrofit=1,$W113*AC113,IF(ISBLANK(AC113),"",AC113))</f>
        <v>3</v>
      </c>
      <c r="T113" s="5">
        <f t="shared" ref="T113:T128" si="74">IF(retrofit=1,$W113*AD113,IF(ISBLANK(AD113),"",AD113))</f>
        <v>1</v>
      </c>
      <c r="U113" s="5">
        <f t="shared" ref="U113:U128" si="75">IF(retrofit=1,$W113*AE113,IF(ISBLANK(AE113),"",AE113))</f>
        <v>2</v>
      </c>
      <c r="V113" s="5">
        <f t="shared" ref="V113:V128" si="76">IF(retrofit=1,$W113*AF113,IF(ISBLANK(AF113),"",AF113))</f>
        <v>3</v>
      </c>
      <c r="W113" s="445">
        <v>0</v>
      </c>
      <c r="X113" s="414">
        <v>1</v>
      </c>
      <c r="Y113" s="414">
        <v>2</v>
      </c>
      <c r="Z113" s="414">
        <v>3</v>
      </c>
      <c r="AA113" s="414">
        <v>1</v>
      </c>
      <c r="AB113" s="414">
        <v>2</v>
      </c>
      <c r="AC113" s="414">
        <v>3</v>
      </c>
      <c r="AD113" s="414">
        <v>1</v>
      </c>
      <c r="AE113" s="414">
        <v>2</v>
      </c>
      <c r="AF113" s="414">
        <v>3</v>
      </c>
      <c r="AG113" s="414">
        <f t="shared" si="64"/>
        <v>0</v>
      </c>
      <c r="AH113" s="414">
        <f t="shared" si="65"/>
        <v>0</v>
      </c>
    </row>
    <row r="114" spans="1:38">
      <c r="A114" s="325" t="s">
        <v>827</v>
      </c>
      <c r="B114" s="1" t="s">
        <v>2743</v>
      </c>
      <c r="C114" s="65">
        <f>tot_proc_MOVs</f>
        <v>0</v>
      </c>
      <c r="D114" s="65" t="s">
        <v>2222</v>
      </c>
      <c r="E114" s="65">
        <f>tank_valve_size</f>
        <v>8</v>
      </c>
      <c r="F114" s="1" t="s">
        <v>2527</v>
      </c>
      <c r="G114" s="65">
        <f>IF(curve=1,tank_valve_size,VLOOKUP(tank_valve_size,ss_mov_cost_cl,2))</f>
        <v>8</v>
      </c>
      <c r="H114" s="1" t="s">
        <v>2527</v>
      </c>
      <c r="I114" s="322">
        <f>IF(curve=1,ss_mov_eq_tank,VLOOKUP(tank_valve_size,ss_mov_cost_cl,3))</f>
        <v>4698.0794499149997</v>
      </c>
      <c r="J114" s="323">
        <f t="shared" si="66"/>
        <v>0</v>
      </c>
      <c r="K114" s="65">
        <f>VLOOKUP(tank_valve_size,ss_mov_cost_cl,IF(ss_cat="large",4,5))</f>
        <v>25</v>
      </c>
      <c r="L114" s="324"/>
      <c r="M114" s="27" t="str">
        <f t="shared" si="67"/>
        <v>Motor/Air Operated (on/off) Valves - Process - Stainless Steel</v>
      </c>
      <c r="N114" s="5">
        <f t="shared" si="68"/>
        <v>3</v>
      </c>
      <c r="O114" s="5">
        <f t="shared" si="69"/>
        <v>3</v>
      </c>
      <c r="P114" s="5">
        <f t="shared" si="70"/>
        <v>1</v>
      </c>
      <c r="Q114" s="5">
        <f t="shared" si="71"/>
        <v>3</v>
      </c>
      <c r="R114" s="5">
        <f t="shared" si="72"/>
        <v>3</v>
      </c>
      <c r="S114" s="5">
        <f t="shared" si="73"/>
        <v>1</v>
      </c>
      <c r="T114" s="5">
        <f t="shared" si="74"/>
        <v>3</v>
      </c>
      <c r="U114" s="5">
        <f t="shared" si="75"/>
        <v>3</v>
      </c>
      <c r="V114" s="5">
        <f t="shared" si="76"/>
        <v>1</v>
      </c>
      <c r="W114" s="445">
        <v>0</v>
      </c>
      <c r="X114" s="414">
        <v>3</v>
      </c>
      <c r="Y114" s="414">
        <v>3</v>
      </c>
      <c r="Z114" s="414">
        <v>1</v>
      </c>
      <c r="AA114" s="414">
        <v>3</v>
      </c>
      <c r="AB114" s="414">
        <v>3</v>
      </c>
      <c r="AC114" s="414">
        <v>1</v>
      </c>
      <c r="AD114" s="414">
        <v>3</v>
      </c>
      <c r="AE114" s="414">
        <v>3</v>
      </c>
      <c r="AF114" s="414">
        <v>1</v>
      </c>
      <c r="AG114" s="414">
        <f t="shared" si="64"/>
        <v>0</v>
      </c>
      <c r="AH114" s="414">
        <f t="shared" si="65"/>
        <v>0</v>
      </c>
    </row>
    <row r="115" spans="1:38">
      <c r="A115" s="325" t="s">
        <v>827</v>
      </c>
      <c r="B115" s="1" t="s">
        <v>685</v>
      </c>
      <c r="C115" s="65">
        <f>tot_proc_MOVs</f>
        <v>0</v>
      </c>
      <c r="D115" s="65" t="s">
        <v>2222</v>
      </c>
      <c r="E115" s="65">
        <f>tank_valve_size</f>
        <v>8</v>
      </c>
      <c r="F115" s="1" t="s">
        <v>2527</v>
      </c>
      <c r="G115" s="65">
        <f>IF(curve=1,tank_valve_size,VLOOKUP(tank_valve_size,ci_mov_cost_cl,2))</f>
        <v>8</v>
      </c>
      <c r="H115" s="1" t="s">
        <v>2527</v>
      </c>
      <c r="I115" s="322">
        <f>IF(curve=1,ci_mov_eq_tank,VLOOKUP(tank_valve_size,ci_mov_cost_cl,3))</f>
        <v>9271.8480984270009</v>
      </c>
      <c r="J115" s="323">
        <f t="shared" si="66"/>
        <v>0</v>
      </c>
      <c r="K115" s="65">
        <f>VLOOKUP(tank_valve_size,ci_mov_cost_cl,IF(ss_cat="large",4,5))</f>
        <v>25</v>
      </c>
      <c r="L115" s="324"/>
      <c r="M115" s="27" t="str">
        <f t="shared" si="67"/>
        <v>Motor/Air Operated (on/off) Valves - Process - Cast Iron</v>
      </c>
      <c r="N115" s="5">
        <f t="shared" si="68"/>
        <v>2</v>
      </c>
      <c r="O115" s="5">
        <f t="shared" si="69"/>
        <v>1</v>
      </c>
      <c r="P115" s="5">
        <f t="shared" si="70"/>
        <v>2</v>
      </c>
      <c r="Q115" s="5">
        <f t="shared" si="71"/>
        <v>2</v>
      </c>
      <c r="R115" s="5">
        <f t="shared" si="72"/>
        <v>1</v>
      </c>
      <c r="S115" s="5">
        <f t="shared" si="73"/>
        <v>2</v>
      </c>
      <c r="T115" s="5">
        <f t="shared" si="74"/>
        <v>2</v>
      </c>
      <c r="U115" s="5">
        <f t="shared" si="75"/>
        <v>1</v>
      </c>
      <c r="V115" s="5">
        <f t="shared" si="76"/>
        <v>2</v>
      </c>
      <c r="W115" s="445">
        <v>0</v>
      </c>
      <c r="X115" s="414">
        <v>2</v>
      </c>
      <c r="Y115" s="414">
        <v>1</v>
      </c>
      <c r="Z115" s="414">
        <v>2</v>
      </c>
      <c r="AA115" s="414">
        <v>2</v>
      </c>
      <c r="AB115" s="414">
        <v>1</v>
      </c>
      <c r="AC115" s="414">
        <v>2</v>
      </c>
      <c r="AD115" s="414">
        <v>2</v>
      </c>
      <c r="AE115" s="414">
        <v>1</v>
      </c>
      <c r="AF115" s="414">
        <v>2</v>
      </c>
      <c r="AG115" s="414">
        <f t="shared" si="64"/>
        <v>0</v>
      </c>
      <c r="AH115" s="414">
        <f t="shared" si="65"/>
        <v>0</v>
      </c>
    </row>
    <row r="116" spans="1:38">
      <c r="A116" s="325" t="s">
        <v>832</v>
      </c>
      <c r="B116" s="1" t="s">
        <v>687</v>
      </c>
      <c r="C116" s="65">
        <f>tot_back_MOVs</f>
        <v>0</v>
      </c>
      <c r="D116" s="65" t="s">
        <v>2222</v>
      </c>
      <c r="E116" s="65">
        <f>back_valve_size</f>
        <v>8</v>
      </c>
      <c r="F116" s="1" t="s">
        <v>2527</v>
      </c>
      <c r="G116" s="65">
        <f>IF(curve=1,back_valve_size,VLOOKUP(back_valve_size,pp_mov_cost_cl,2))</f>
        <v>8</v>
      </c>
      <c r="H116" s="1" t="s">
        <v>2527</v>
      </c>
      <c r="I116" s="322">
        <f>IF(curve=1,pp_mov_eq_back,VLOOKUP(back_valve_size,pp_mov_cost_cl,3))</f>
        <v>2568.7492689327851</v>
      </c>
      <c r="J116" s="323">
        <f t="shared" si="66"/>
        <v>0</v>
      </c>
      <c r="K116" s="65">
        <f>VLOOKUP(back_valve_size,pp_mov_cost_cl,IF(ss_cat="large",4,5))</f>
        <v>25</v>
      </c>
      <c r="L116" s="324"/>
      <c r="M116" s="27" t="str">
        <f t="shared" si="67"/>
        <v>Motor/Air Operated (on/off) Valves - Backwash - Polypropylene/PVC</v>
      </c>
      <c r="N116" s="5">
        <f t="shared" si="68"/>
        <v>1</v>
      </c>
      <c r="O116" s="5">
        <f t="shared" si="69"/>
        <v>2</v>
      </c>
      <c r="P116" s="5">
        <f t="shared" si="70"/>
        <v>3</v>
      </c>
      <c r="Q116" s="5">
        <f t="shared" si="71"/>
        <v>1</v>
      </c>
      <c r="R116" s="5">
        <f t="shared" si="72"/>
        <v>2</v>
      </c>
      <c r="S116" s="5">
        <f t="shared" si="73"/>
        <v>3</v>
      </c>
      <c r="T116" s="5">
        <f t="shared" si="74"/>
        <v>1</v>
      </c>
      <c r="U116" s="5">
        <f t="shared" si="75"/>
        <v>2</v>
      </c>
      <c r="V116" s="5">
        <f t="shared" si="76"/>
        <v>3</v>
      </c>
      <c r="W116" s="445">
        <v>0</v>
      </c>
      <c r="X116" s="414">
        <v>1</v>
      </c>
      <c r="Y116" s="414">
        <v>2</v>
      </c>
      <c r="Z116" s="414">
        <v>3</v>
      </c>
      <c r="AA116" s="414">
        <v>1</v>
      </c>
      <c r="AB116" s="414">
        <v>2</v>
      </c>
      <c r="AC116" s="414">
        <v>3</v>
      </c>
      <c r="AD116" s="414">
        <v>1</v>
      </c>
      <c r="AE116" s="414">
        <v>2</v>
      </c>
      <c r="AF116" s="414">
        <v>3</v>
      </c>
      <c r="AG116" s="414">
        <f t="shared" si="64"/>
        <v>0</v>
      </c>
      <c r="AH116" s="414">
        <f t="shared" si="65"/>
        <v>0</v>
      </c>
    </row>
    <row r="117" spans="1:38">
      <c r="A117" s="325" t="s">
        <v>832</v>
      </c>
      <c r="B117" s="1" t="s">
        <v>686</v>
      </c>
      <c r="C117" s="65">
        <f>tot_back_MOVs</f>
        <v>0</v>
      </c>
      <c r="D117" s="65" t="s">
        <v>2222</v>
      </c>
      <c r="E117" s="65">
        <f>back_valve_size</f>
        <v>8</v>
      </c>
      <c r="F117" s="1" t="s">
        <v>2527</v>
      </c>
      <c r="G117" s="327">
        <f>IF(curve=1,back_valve_size,VLOOKUP(back_valve_size,ss_mov_cost_cl,2))</f>
        <v>8</v>
      </c>
      <c r="H117" s="1" t="s">
        <v>2527</v>
      </c>
      <c r="I117" s="322">
        <f>IF(curve=1,ss_mov_eq_back,VLOOKUP(back_valve_size,ss_mov_cost_cl,3))</f>
        <v>4698.0794499149997</v>
      </c>
      <c r="J117" s="323">
        <f t="shared" si="66"/>
        <v>0</v>
      </c>
      <c r="K117" s="65">
        <f>VLOOKUP(back_valve_size,ss_mov_cost_cl,IF(ss_cat="large",4,5))</f>
        <v>25</v>
      </c>
      <c r="L117" s="324"/>
      <c r="M117" s="27" t="str">
        <f t="shared" si="67"/>
        <v>Motor/Air Operated (on/off) Valves - Backwash - Stainless Steel</v>
      </c>
      <c r="N117" s="5">
        <f t="shared" si="68"/>
        <v>3</v>
      </c>
      <c r="O117" s="5">
        <f t="shared" si="69"/>
        <v>3</v>
      </c>
      <c r="P117" s="5">
        <f t="shared" si="70"/>
        <v>1</v>
      </c>
      <c r="Q117" s="5">
        <f t="shared" si="71"/>
        <v>3</v>
      </c>
      <c r="R117" s="5">
        <f t="shared" si="72"/>
        <v>3</v>
      </c>
      <c r="S117" s="5">
        <f t="shared" si="73"/>
        <v>1</v>
      </c>
      <c r="T117" s="5">
        <f t="shared" si="74"/>
        <v>3</v>
      </c>
      <c r="U117" s="5">
        <f t="shared" si="75"/>
        <v>3</v>
      </c>
      <c r="V117" s="5">
        <f t="shared" si="76"/>
        <v>1</v>
      </c>
      <c r="W117" s="445">
        <v>0</v>
      </c>
      <c r="X117" s="414">
        <v>3</v>
      </c>
      <c r="Y117" s="414">
        <v>3</v>
      </c>
      <c r="Z117" s="414">
        <v>1</v>
      </c>
      <c r="AA117" s="414">
        <v>3</v>
      </c>
      <c r="AB117" s="414">
        <v>3</v>
      </c>
      <c r="AC117" s="414">
        <v>1</v>
      </c>
      <c r="AD117" s="414">
        <v>3</v>
      </c>
      <c r="AE117" s="414">
        <v>3</v>
      </c>
      <c r="AF117" s="414">
        <v>1</v>
      </c>
      <c r="AG117" s="414">
        <f t="shared" si="64"/>
        <v>0</v>
      </c>
      <c r="AH117" s="414">
        <f t="shared" si="65"/>
        <v>0</v>
      </c>
    </row>
    <row r="118" spans="1:38">
      <c r="A118" s="325" t="s">
        <v>832</v>
      </c>
      <c r="B118" s="65" t="s">
        <v>688</v>
      </c>
      <c r="C118" s="65">
        <f>tot_back_MOVs</f>
        <v>0</v>
      </c>
      <c r="D118" s="65" t="s">
        <v>2222</v>
      </c>
      <c r="E118" s="65">
        <f>back_valve_size</f>
        <v>8</v>
      </c>
      <c r="F118" s="1" t="s">
        <v>2527</v>
      </c>
      <c r="G118" s="327">
        <f>IF(curve=1,back_valve_size,VLOOKUP(back_valve_size,ci_mov_cost_cl,2))</f>
        <v>8</v>
      </c>
      <c r="H118" s="1" t="s">
        <v>2527</v>
      </c>
      <c r="I118" s="322">
        <f>IF(curve=1,ci_mov_eq_back,VLOOKUP(back_valve_size,ci_mov_cost_cl,3))</f>
        <v>9271.8480984270009</v>
      </c>
      <c r="J118" s="323">
        <f t="shared" si="66"/>
        <v>0</v>
      </c>
      <c r="K118" s="65">
        <f>VLOOKUP(back_valve_size,ci_mov_cost_cl,IF(ss_cat="large",4,5))</f>
        <v>25</v>
      </c>
      <c r="L118" s="324"/>
      <c r="M118" s="27" t="str">
        <f t="shared" si="67"/>
        <v>Motor/Air Operated (on/off) Valves - Backwash - Cast Iron</v>
      </c>
      <c r="N118" s="5">
        <f t="shared" si="68"/>
        <v>2</v>
      </c>
      <c r="O118" s="5">
        <f t="shared" si="69"/>
        <v>1</v>
      </c>
      <c r="P118" s="5">
        <f t="shared" si="70"/>
        <v>2</v>
      </c>
      <c r="Q118" s="5">
        <f t="shared" si="71"/>
        <v>2</v>
      </c>
      <c r="R118" s="5">
        <f t="shared" si="72"/>
        <v>1</v>
      </c>
      <c r="S118" s="5">
        <f t="shared" si="73"/>
        <v>2</v>
      </c>
      <c r="T118" s="5">
        <f t="shared" si="74"/>
        <v>2</v>
      </c>
      <c r="U118" s="5">
        <f t="shared" si="75"/>
        <v>1</v>
      </c>
      <c r="V118" s="5">
        <f t="shared" si="76"/>
        <v>2</v>
      </c>
      <c r="W118" s="445">
        <v>0</v>
      </c>
      <c r="X118" s="414">
        <v>2</v>
      </c>
      <c r="Y118" s="414">
        <v>1</v>
      </c>
      <c r="Z118" s="414">
        <v>2</v>
      </c>
      <c r="AA118" s="414">
        <v>2</v>
      </c>
      <c r="AB118" s="414">
        <v>1</v>
      </c>
      <c r="AC118" s="414">
        <v>2</v>
      </c>
      <c r="AD118" s="414">
        <v>2</v>
      </c>
      <c r="AE118" s="414">
        <v>1</v>
      </c>
      <c r="AF118" s="414">
        <v>2</v>
      </c>
      <c r="AG118" s="414">
        <f t="shared" si="64"/>
        <v>0</v>
      </c>
      <c r="AH118" s="414">
        <f t="shared" si="65"/>
        <v>0</v>
      </c>
    </row>
    <row r="119" spans="1:38">
      <c r="A119" s="325" t="s">
        <v>612</v>
      </c>
      <c r="B119" s="1" t="s">
        <v>2604</v>
      </c>
      <c r="C119" s="65">
        <f>total_res_MOVs</f>
        <v>0</v>
      </c>
      <c r="D119" s="65" t="s">
        <v>2222</v>
      </c>
      <c r="E119" s="327" t="str">
        <f>IF(C119=0,"NA",res_valve_size)</f>
        <v>NA</v>
      </c>
      <c r="F119" s="1" t="str">
        <f t="shared" ref="F119:F125" si="77">IF(C119=0,"","in. diam")</f>
        <v/>
      </c>
      <c r="G119" s="327" t="str">
        <f>IF(C119=0,"NA",IF(curve=1,res_valve_size,VLOOKUP(res_valve_size,pp_mov_cost_cl,2)))</f>
        <v>NA</v>
      </c>
      <c r="H119" s="1" t="str">
        <f t="shared" ref="H119:H125" si="78">IF(C119=0,"","in. diam")</f>
        <v/>
      </c>
      <c r="I119" s="326" t="str">
        <f>IF(C119=0,"NA",IF(curve=1,pp_mov_eq_res,VLOOKUP(res_valve_size,pp_mov_cost_cl,3)))</f>
        <v>NA</v>
      </c>
      <c r="J119" s="323" t="str">
        <f t="shared" ref="J119:J128" si="79">IF(OR(C119=0,I119="contact vendor"),"--",C119*I119)</f>
        <v>--</v>
      </c>
      <c r="K119" s="327" t="str">
        <f>IF(C119=0,"NA",VLOOKUP(res_valve_size,pp_mov_cost_cl,IF(ss_cat="large",4,5)))</f>
        <v>NA</v>
      </c>
      <c r="L119" s="334"/>
      <c r="M119" s="27" t="str">
        <f t="shared" si="67"/>
        <v>Motor/Air Operated (on/off) Valves - Residuals - Polypropylene/PVC</v>
      </c>
      <c r="N119" s="5">
        <f t="shared" si="68"/>
        <v>1</v>
      </c>
      <c r="O119" s="5">
        <f t="shared" si="69"/>
        <v>2</v>
      </c>
      <c r="P119" s="5">
        <f t="shared" si="70"/>
        <v>3</v>
      </c>
      <c r="Q119" s="5">
        <f t="shared" si="71"/>
        <v>1</v>
      </c>
      <c r="R119" s="5">
        <f t="shared" si="72"/>
        <v>2</v>
      </c>
      <c r="S119" s="5">
        <f t="shared" si="73"/>
        <v>3</v>
      </c>
      <c r="T119" s="5">
        <f t="shared" si="74"/>
        <v>1</v>
      </c>
      <c r="U119" s="5">
        <f t="shared" si="75"/>
        <v>2</v>
      </c>
      <c r="V119" s="5">
        <f t="shared" si="76"/>
        <v>3</v>
      </c>
      <c r="W119" s="445">
        <v>0</v>
      </c>
      <c r="X119" s="414">
        <v>1</v>
      </c>
      <c r="Y119" s="414">
        <v>2</v>
      </c>
      <c r="Z119" s="414">
        <v>3</v>
      </c>
      <c r="AA119" s="414">
        <v>1</v>
      </c>
      <c r="AB119" s="414">
        <v>2</v>
      </c>
      <c r="AC119" s="414">
        <v>3</v>
      </c>
      <c r="AD119" s="414">
        <v>1</v>
      </c>
      <c r="AE119" s="414">
        <v>2</v>
      </c>
      <c r="AF119" s="414">
        <v>3</v>
      </c>
      <c r="AG119" s="414">
        <f t="shared" si="64"/>
        <v>0</v>
      </c>
      <c r="AH119" s="414">
        <f t="shared" si="65"/>
        <v>0</v>
      </c>
    </row>
    <row r="120" spans="1:38">
      <c r="A120" s="325" t="s">
        <v>612</v>
      </c>
      <c r="B120" s="1" t="s">
        <v>2605</v>
      </c>
      <c r="C120" s="65">
        <f>total_res_MOVs</f>
        <v>0</v>
      </c>
      <c r="D120" s="65" t="s">
        <v>2222</v>
      </c>
      <c r="E120" s="327" t="str">
        <f>IF(C120=0,"NA",res_valve_size)</f>
        <v>NA</v>
      </c>
      <c r="F120" s="1" t="str">
        <f t="shared" si="77"/>
        <v/>
      </c>
      <c r="G120" s="327" t="str">
        <f>IF(C120=0,"NA",IF(curve=1,res_valve_size,VLOOKUP(res_valve_size,ss_mov_cost_cl,2)))</f>
        <v>NA</v>
      </c>
      <c r="H120" s="1" t="str">
        <f t="shared" si="78"/>
        <v/>
      </c>
      <c r="I120" s="326" t="str">
        <f>IF(C120=0,"NA",IF(curve=1,ss_mov_eq_res,VLOOKUP(res_valve_size,ss_mov_cost_cl,3)))</f>
        <v>NA</v>
      </c>
      <c r="J120" s="323" t="str">
        <f t="shared" si="79"/>
        <v>--</v>
      </c>
      <c r="K120" s="327" t="str">
        <f>IF(C120=0,"NA",VLOOKUP(res_valve_size,ss_mov_cost_cl,IF(ss_cat="large",4,5)))</f>
        <v>NA</v>
      </c>
      <c r="L120" s="334"/>
      <c r="M120" s="27" t="str">
        <f t="shared" si="67"/>
        <v>Motor/Air Operated (on/off) Valves - Residuals - Stainless Steel</v>
      </c>
      <c r="N120" s="5">
        <f t="shared" si="68"/>
        <v>3</v>
      </c>
      <c r="O120" s="5">
        <f t="shared" si="69"/>
        <v>3</v>
      </c>
      <c r="P120" s="5">
        <f t="shared" si="70"/>
        <v>1</v>
      </c>
      <c r="Q120" s="5">
        <f t="shared" si="71"/>
        <v>3</v>
      </c>
      <c r="R120" s="5">
        <f t="shared" si="72"/>
        <v>3</v>
      </c>
      <c r="S120" s="5">
        <f t="shared" si="73"/>
        <v>1</v>
      </c>
      <c r="T120" s="5">
        <f t="shared" si="74"/>
        <v>3</v>
      </c>
      <c r="U120" s="5">
        <f t="shared" si="75"/>
        <v>3</v>
      </c>
      <c r="V120" s="5">
        <f t="shared" si="76"/>
        <v>1</v>
      </c>
      <c r="W120" s="445">
        <v>0</v>
      </c>
      <c r="X120" s="414">
        <v>3</v>
      </c>
      <c r="Y120" s="414">
        <v>3</v>
      </c>
      <c r="Z120" s="414">
        <v>1</v>
      </c>
      <c r="AA120" s="414">
        <v>3</v>
      </c>
      <c r="AB120" s="414">
        <v>3</v>
      </c>
      <c r="AC120" s="414">
        <v>1</v>
      </c>
      <c r="AD120" s="414">
        <v>3</v>
      </c>
      <c r="AE120" s="414">
        <v>3</v>
      </c>
      <c r="AF120" s="414">
        <v>1</v>
      </c>
      <c r="AG120" s="414">
        <f t="shared" si="64"/>
        <v>0</v>
      </c>
      <c r="AH120" s="414">
        <f t="shared" si="65"/>
        <v>0</v>
      </c>
    </row>
    <row r="121" spans="1:38">
      <c r="A121" s="325" t="s">
        <v>612</v>
      </c>
      <c r="B121" s="1" t="s">
        <v>2606</v>
      </c>
      <c r="C121" s="65">
        <f>total_res_MOVs</f>
        <v>0</v>
      </c>
      <c r="D121" s="65" t="s">
        <v>2222</v>
      </c>
      <c r="E121" s="327" t="str">
        <f>IF(C121=0,"NA",res_valve_size)</f>
        <v>NA</v>
      </c>
      <c r="F121" s="1" t="str">
        <f t="shared" si="77"/>
        <v/>
      </c>
      <c r="G121" s="327" t="str">
        <f>IF(C121=0,"NA",IF(curve=1,res_valve_size,VLOOKUP(res_valve_size,ci_mov_cost_cl,2)))</f>
        <v>NA</v>
      </c>
      <c r="H121" s="1" t="str">
        <f t="shared" si="78"/>
        <v/>
      </c>
      <c r="I121" s="326" t="str">
        <f>IF(C121=0,"NA",IF(curve=1,ci_mov_eq_res,VLOOKUP(res_valve_size,ci_mov_cost_cl,3)))</f>
        <v>NA</v>
      </c>
      <c r="J121" s="323" t="str">
        <f t="shared" si="79"/>
        <v>--</v>
      </c>
      <c r="K121" s="327" t="str">
        <f>IF(C121=0,"NA",VLOOKUP(res_valve_size,ci_mov_cost_cl,IF(ss_cat="large",4,5)))</f>
        <v>NA</v>
      </c>
      <c r="L121" s="334"/>
      <c r="M121" s="27" t="str">
        <f t="shared" si="67"/>
        <v>Motor/Air Operated (on/off) Valves - Residuals - Cast Iron</v>
      </c>
      <c r="N121" s="5">
        <f t="shared" si="68"/>
        <v>2</v>
      </c>
      <c r="O121" s="5">
        <f t="shared" si="69"/>
        <v>1</v>
      </c>
      <c r="P121" s="5">
        <f t="shared" si="70"/>
        <v>2</v>
      </c>
      <c r="Q121" s="5">
        <f t="shared" si="71"/>
        <v>2</v>
      </c>
      <c r="R121" s="5">
        <f t="shared" si="72"/>
        <v>1</v>
      </c>
      <c r="S121" s="5">
        <f t="shared" si="73"/>
        <v>2</v>
      </c>
      <c r="T121" s="5">
        <f t="shared" si="74"/>
        <v>2</v>
      </c>
      <c r="U121" s="5">
        <f t="shared" si="75"/>
        <v>1</v>
      </c>
      <c r="V121" s="5">
        <f t="shared" si="76"/>
        <v>2</v>
      </c>
      <c r="W121" s="445">
        <v>0</v>
      </c>
      <c r="X121" s="414">
        <v>2</v>
      </c>
      <c r="Y121" s="414">
        <v>1</v>
      </c>
      <c r="Z121" s="414">
        <v>2</v>
      </c>
      <c r="AA121" s="414">
        <v>2</v>
      </c>
      <c r="AB121" s="414">
        <v>1</v>
      </c>
      <c r="AC121" s="414">
        <v>2</v>
      </c>
      <c r="AD121" s="414">
        <v>2</v>
      </c>
      <c r="AE121" s="414">
        <v>1</v>
      </c>
      <c r="AF121" s="414">
        <v>2</v>
      </c>
      <c r="AG121" s="414">
        <f t="shared" si="64"/>
        <v>0</v>
      </c>
      <c r="AH121" s="414">
        <f t="shared" si="65"/>
        <v>0</v>
      </c>
    </row>
    <row r="122" spans="1:38">
      <c r="A122" s="325" t="s">
        <v>613</v>
      </c>
      <c r="B122" s="1" t="s">
        <v>3707</v>
      </c>
      <c r="C122" s="65">
        <f>tot_coag_MOVs</f>
        <v>0</v>
      </c>
      <c r="D122" s="1" t="s">
        <v>2222</v>
      </c>
      <c r="E122" s="327" t="str">
        <f>IF(C122=0,"NA",coag_valve_size)</f>
        <v>NA</v>
      </c>
      <c r="F122" s="1" t="str">
        <f t="shared" ref="F122" si="80">IF(C122=0,"","in. diam")</f>
        <v/>
      </c>
      <c r="G122" s="327" t="str">
        <f>IF(C122=0,"NA",IF(curve=1,coag_valve_size,VLOOKUP(coag_valve_size,pp_mov_cost_cl,2)))</f>
        <v>NA</v>
      </c>
      <c r="H122" s="483" t="str">
        <f t="shared" ref="H122" si="81">IF(C122=0,"","in. diam")</f>
        <v/>
      </c>
      <c r="I122" s="326" t="str">
        <f>IF(C122=0,"NA",IF(curve=1,pp_mov_eq_coag,VLOOKUP(coag_valve_size,pp_mov_cost_cl,3)))</f>
        <v>NA</v>
      </c>
      <c r="J122" s="323" t="str">
        <f t="shared" ref="J122" si="82">IF(OR(C122=0,I122="contact vendor"),"--",C122*I122)</f>
        <v>--</v>
      </c>
      <c r="K122" s="120" t="str">
        <f>IF(C122=0,"NA",VLOOKUP(coag_valve_size,pp_mov_cost_cl,IF(ss_cat="large",4,5)))</f>
        <v>NA</v>
      </c>
      <c r="L122" s="334"/>
      <c r="M122" s="27" t="str">
        <f t="shared" ref="M122" si="83">$B$112&amp;" "&amp;$B$111&amp;" - "&amp;B122</f>
        <v>Motor/Air Operated (on/off) Valves - Ferric Chloride - Polypropylene/PVC</v>
      </c>
      <c r="N122" s="5">
        <f t="shared" si="68"/>
        <v>1</v>
      </c>
      <c r="O122" s="5">
        <f t="shared" si="69"/>
        <v>1</v>
      </c>
      <c r="P122" s="5">
        <f t="shared" si="70"/>
        <v>1</v>
      </c>
      <c r="Q122" s="5">
        <f t="shared" si="71"/>
        <v>1</v>
      </c>
      <c r="R122" s="5">
        <f t="shared" si="72"/>
        <v>1</v>
      </c>
      <c r="S122" s="5">
        <f t="shared" si="73"/>
        <v>1</v>
      </c>
      <c r="T122" s="5">
        <f t="shared" si="74"/>
        <v>1</v>
      </c>
      <c r="U122" s="5">
        <f t="shared" si="75"/>
        <v>1</v>
      </c>
      <c r="V122" s="5">
        <f t="shared" si="76"/>
        <v>1</v>
      </c>
      <c r="W122" s="445">
        <v>0</v>
      </c>
      <c r="X122" s="414">
        <v>1</v>
      </c>
      <c r="Y122" s="414">
        <v>1</v>
      </c>
      <c r="Z122" s="414">
        <v>1</v>
      </c>
      <c r="AA122" s="414">
        <v>1</v>
      </c>
      <c r="AB122" s="414">
        <v>1</v>
      </c>
      <c r="AC122" s="414">
        <v>1</v>
      </c>
      <c r="AD122" s="414">
        <v>1</v>
      </c>
      <c r="AE122" s="414">
        <v>1</v>
      </c>
      <c r="AF122" s="414">
        <v>1</v>
      </c>
      <c r="AG122">
        <f t="shared" ref="AG122" si="84">IF(ISERROR(K122*L122),0,IF(K122&lt;1,0,L122))</f>
        <v>0</v>
      </c>
      <c r="AH122">
        <f t="shared" ref="AH122" si="85">IF(AG122,J122/K122,0)</f>
        <v>0</v>
      </c>
    </row>
    <row r="123" spans="1:38" s="65" customFormat="1">
      <c r="A123" s="325" t="s">
        <v>2328</v>
      </c>
      <c r="B123" s="1" t="s">
        <v>1795</v>
      </c>
      <c r="C123" s="65">
        <f>tot_polymer_MOVs</f>
        <v>0</v>
      </c>
      <c r="D123" s="1" t="s">
        <v>2222</v>
      </c>
      <c r="E123" s="327" t="str">
        <f>IF(C123=0,"NA",polymer_valve_size)</f>
        <v>NA</v>
      </c>
      <c r="F123" s="1" t="str">
        <f t="shared" si="77"/>
        <v/>
      </c>
      <c r="G123" s="327" t="str">
        <f>IF(C123=0,"NA",IF(curve=1,polymer_valve_size,VLOOKUP(polymer_valve_size,pp_mov_cost_cl,2)))</f>
        <v>NA</v>
      </c>
      <c r="H123" s="483" t="str">
        <f t="shared" si="78"/>
        <v/>
      </c>
      <c r="I123" s="326" t="str">
        <f>IF(C123=0,"NA",IF(curve=1,pp_mov_eq_polymer,VLOOKUP(polymer_valve_size,pp_mov_cost_cl,3)))</f>
        <v>NA</v>
      </c>
      <c r="J123" s="323" t="str">
        <f t="shared" si="79"/>
        <v>--</v>
      </c>
      <c r="K123" s="120" t="str">
        <f>IF(C123=0,"NA",VLOOKUP(polymer_valve_size,pp_mov_cost_cl,IF(ss_cat="large",4,5)))</f>
        <v>NA</v>
      </c>
      <c r="L123" s="334"/>
      <c r="M123" s="27" t="str">
        <f t="shared" si="67"/>
        <v>Motor/Air Operated (on/off) Valves - Polymer - Polypropylene/PVC</v>
      </c>
      <c r="N123" s="5">
        <f t="shared" ref="N123:V125" si="86">IF(retrofit=1,$W123*X123,IF(ISBLANK(X123),"",X123))</f>
        <v>1</v>
      </c>
      <c r="O123" s="5">
        <f t="shared" si="86"/>
        <v>2</v>
      </c>
      <c r="P123" s="5">
        <f t="shared" si="86"/>
        <v>3</v>
      </c>
      <c r="Q123" s="5">
        <f t="shared" si="86"/>
        <v>1</v>
      </c>
      <c r="R123" s="5">
        <f t="shared" si="86"/>
        <v>2</v>
      </c>
      <c r="S123" s="5">
        <f t="shared" si="86"/>
        <v>3</v>
      </c>
      <c r="T123" s="5">
        <f t="shared" si="86"/>
        <v>1</v>
      </c>
      <c r="U123" s="5">
        <f t="shared" si="86"/>
        <v>2</v>
      </c>
      <c r="V123" s="5">
        <f t="shared" si="86"/>
        <v>3</v>
      </c>
      <c r="W123" s="445">
        <v>0</v>
      </c>
      <c r="X123" s="414">
        <v>1</v>
      </c>
      <c r="Y123" s="414">
        <v>2</v>
      </c>
      <c r="Z123" s="414">
        <v>3</v>
      </c>
      <c r="AA123" s="414">
        <v>1</v>
      </c>
      <c r="AB123" s="414">
        <v>2</v>
      </c>
      <c r="AC123" s="414">
        <v>3</v>
      </c>
      <c r="AD123" s="414">
        <v>1</v>
      </c>
      <c r="AE123" s="414">
        <v>2</v>
      </c>
      <c r="AF123" s="414">
        <v>3</v>
      </c>
      <c r="AG123">
        <f t="shared" si="64"/>
        <v>0</v>
      </c>
      <c r="AH123">
        <f t="shared" si="65"/>
        <v>0</v>
      </c>
      <c r="AI123" s="87"/>
      <c r="AJ123" s="87"/>
      <c r="AL123" s="87"/>
    </row>
    <row r="124" spans="1:38" s="65" customFormat="1">
      <c r="A124" s="325" t="s">
        <v>2328</v>
      </c>
      <c r="B124" s="1" t="s">
        <v>1796</v>
      </c>
      <c r="C124" s="65">
        <f>tot_polymer_MOVs</f>
        <v>0</v>
      </c>
      <c r="D124" s="1" t="s">
        <v>2222</v>
      </c>
      <c r="E124" s="327" t="str">
        <f>IF(C124=0,"NA",polymer_valve_size)</f>
        <v>NA</v>
      </c>
      <c r="F124" s="1" t="str">
        <f t="shared" si="77"/>
        <v/>
      </c>
      <c r="G124" s="327" t="str">
        <f>IF(C124=0,"NA",IF(curve=1,polymer_valve_size,VLOOKUP(polymer_valve_size,ss_mov_cost_cl,2)))</f>
        <v>NA</v>
      </c>
      <c r="H124" s="483" t="str">
        <f t="shared" si="78"/>
        <v/>
      </c>
      <c r="I124" s="326" t="str">
        <f>IF(C124=0,"NA",IF(curve=1,ss_mov_eq_polymer,VLOOKUP(polymer_valve_size,ss_mov_cost_cl,3)))</f>
        <v>NA</v>
      </c>
      <c r="J124" s="323" t="str">
        <f t="shared" si="79"/>
        <v>--</v>
      </c>
      <c r="K124" s="120" t="str">
        <f>IF(C124=0,"NA",VLOOKUP(polymer_valve_size,ss_mov_cost_cl,IF(ss_cat="large",4,5)))</f>
        <v>NA</v>
      </c>
      <c r="L124" s="334"/>
      <c r="M124" s="27" t="str">
        <f t="shared" si="67"/>
        <v>Motor/Air Operated (on/off) Valves - Polymer - Stainless Steel</v>
      </c>
      <c r="N124" s="5">
        <f t="shared" si="86"/>
        <v>3</v>
      </c>
      <c r="O124" s="5">
        <f t="shared" si="86"/>
        <v>3</v>
      </c>
      <c r="P124" s="5">
        <f t="shared" si="86"/>
        <v>1</v>
      </c>
      <c r="Q124" s="5">
        <f t="shared" si="86"/>
        <v>3</v>
      </c>
      <c r="R124" s="5">
        <f t="shared" si="86"/>
        <v>3</v>
      </c>
      <c r="S124" s="5">
        <f t="shared" si="86"/>
        <v>1</v>
      </c>
      <c r="T124" s="5">
        <f t="shared" si="86"/>
        <v>3</v>
      </c>
      <c r="U124" s="5">
        <f t="shared" si="86"/>
        <v>3</v>
      </c>
      <c r="V124" s="5">
        <f t="shared" si="86"/>
        <v>1</v>
      </c>
      <c r="W124" s="445">
        <v>0</v>
      </c>
      <c r="X124" s="414">
        <v>3</v>
      </c>
      <c r="Y124" s="414">
        <v>3</v>
      </c>
      <c r="Z124" s="414">
        <v>1</v>
      </c>
      <c r="AA124" s="414">
        <v>3</v>
      </c>
      <c r="AB124" s="414">
        <v>3</v>
      </c>
      <c r="AC124" s="414">
        <v>1</v>
      </c>
      <c r="AD124" s="414">
        <v>3</v>
      </c>
      <c r="AE124" s="414">
        <v>3</v>
      </c>
      <c r="AF124" s="414">
        <v>1</v>
      </c>
      <c r="AG124">
        <f t="shared" si="64"/>
        <v>0</v>
      </c>
      <c r="AH124">
        <f t="shared" si="65"/>
        <v>0</v>
      </c>
      <c r="AI124" s="87"/>
      <c r="AJ124" s="87"/>
      <c r="AL124" s="87"/>
    </row>
    <row r="125" spans="1:38" s="65" customFormat="1">
      <c r="A125" s="325" t="s">
        <v>2328</v>
      </c>
      <c r="B125" s="1" t="s">
        <v>1797</v>
      </c>
      <c r="C125" s="65">
        <f>tot_polymer_MOVs</f>
        <v>0</v>
      </c>
      <c r="D125" s="1" t="s">
        <v>2222</v>
      </c>
      <c r="E125" s="327" t="str">
        <f>IF(C125=0,"NA",polymer_valve_size)</f>
        <v>NA</v>
      </c>
      <c r="F125" s="1" t="str">
        <f t="shared" si="77"/>
        <v/>
      </c>
      <c r="G125" s="327" t="str">
        <f>IF(C125=0,"NA",IF(curve=1,polymer_valve_size,VLOOKUP(polymer_valve_size,ci_mov_cost_cl,2)))</f>
        <v>NA</v>
      </c>
      <c r="H125" s="483" t="str">
        <f t="shared" si="78"/>
        <v/>
      </c>
      <c r="I125" s="326" t="str">
        <f>IF(C125=0,"NA",IF(curve=1,ci_mov_eq_polymer,VLOOKUP(polymer_valve_size,ci_mov_cost_cl,3)))</f>
        <v>NA</v>
      </c>
      <c r="J125" s="323" t="str">
        <f t="shared" si="79"/>
        <v>--</v>
      </c>
      <c r="K125" s="120" t="str">
        <f>IF(C125=0,"NA",VLOOKUP(polymer_valve_size,ci_mov_cost_cl,IF(ss_cat="large",4,5)))</f>
        <v>NA</v>
      </c>
      <c r="L125" s="334"/>
      <c r="M125" s="27" t="str">
        <f t="shared" si="67"/>
        <v>Motor/Air Operated (on/off) Valves - Polymer - Cast Iron</v>
      </c>
      <c r="N125" s="5">
        <f t="shared" si="86"/>
        <v>2</v>
      </c>
      <c r="O125" s="5">
        <f t="shared" si="86"/>
        <v>1</v>
      </c>
      <c r="P125" s="5">
        <f t="shared" si="86"/>
        <v>2</v>
      </c>
      <c r="Q125" s="5">
        <f t="shared" si="86"/>
        <v>2</v>
      </c>
      <c r="R125" s="5">
        <f t="shared" si="86"/>
        <v>1</v>
      </c>
      <c r="S125" s="5">
        <f t="shared" si="86"/>
        <v>2</v>
      </c>
      <c r="T125" s="5">
        <f t="shared" si="86"/>
        <v>2</v>
      </c>
      <c r="U125" s="5">
        <f t="shared" si="86"/>
        <v>1</v>
      </c>
      <c r="V125" s="5">
        <f t="shared" si="86"/>
        <v>2</v>
      </c>
      <c r="W125" s="445">
        <v>0</v>
      </c>
      <c r="X125" s="414">
        <v>2</v>
      </c>
      <c r="Y125" s="414">
        <v>1</v>
      </c>
      <c r="Z125" s="414">
        <v>2</v>
      </c>
      <c r="AA125" s="414">
        <v>2</v>
      </c>
      <c r="AB125" s="414">
        <v>1</v>
      </c>
      <c r="AC125" s="414">
        <v>2</v>
      </c>
      <c r="AD125" s="414">
        <v>2</v>
      </c>
      <c r="AE125" s="414">
        <v>1</v>
      </c>
      <c r="AF125" s="414">
        <v>2</v>
      </c>
      <c r="AG125">
        <f t="shared" si="64"/>
        <v>0</v>
      </c>
      <c r="AH125">
        <f t="shared" si="65"/>
        <v>0</v>
      </c>
      <c r="AI125" s="87"/>
      <c r="AJ125" s="87"/>
      <c r="AL125" s="87"/>
    </row>
    <row r="126" spans="1:38">
      <c r="A126" s="325" t="s">
        <v>3708</v>
      </c>
      <c r="B126" s="65" t="s">
        <v>216</v>
      </c>
      <c r="C126" s="65">
        <f>IF(bp_pct&gt;0,tot_bp_MOVs,0)</f>
        <v>0</v>
      </c>
      <c r="D126" s="65" t="s">
        <v>2222</v>
      </c>
      <c r="E126" s="327" t="str">
        <f>IF(bp_pct=0,"NA",bypass_valve_size)</f>
        <v>NA</v>
      </c>
      <c r="F126" s="1" t="str">
        <f>IF(bp_pct=0," ","in. diam")</f>
        <v xml:space="preserve"> </v>
      </c>
      <c r="G126" s="327" t="str">
        <f>IF(bp_pct=0,"NA",(IF(curve=1,bypass_valve_size,VLOOKUP(bypass_valve_size,pp_mov_cost_cl,2))))</f>
        <v>NA</v>
      </c>
      <c r="H126" s="1" t="str">
        <f>IF(bp_pct=0," ","in. diam")</f>
        <v xml:space="preserve"> </v>
      </c>
      <c r="I126" s="327" t="str">
        <f>IF(bp_pct=0,"NA",(IF(curve=1,pp_mov_eq_bp,VLOOKUP(bypass_valve_size,pp_mov_cost_cl,3))))</f>
        <v>NA</v>
      </c>
      <c r="J126" s="323" t="str">
        <f t="shared" si="79"/>
        <v>--</v>
      </c>
      <c r="K126" s="327" t="str">
        <f>IF(C126=0,"NA",VLOOKUP(E126,pp_mov_cost_cl,IF(ss_cat="large",4,5)))</f>
        <v>NA</v>
      </c>
      <c r="L126" s="334"/>
      <c r="M126" s="27" t="str">
        <f t="shared" si="67"/>
        <v>Motor/Air Operated (on/off) Valves - Bypass - Polypropylene/PVC</v>
      </c>
      <c r="N126" s="5">
        <f t="shared" si="68"/>
        <v>1</v>
      </c>
      <c r="O126" s="5">
        <f t="shared" si="69"/>
        <v>2</v>
      </c>
      <c r="P126" s="5">
        <f t="shared" si="70"/>
        <v>3</v>
      </c>
      <c r="Q126" s="5">
        <f t="shared" si="71"/>
        <v>1</v>
      </c>
      <c r="R126" s="5">
        <f t="shared" si="72"/>
        <v>2</v>
      </c>
      <c r="S126" s="5">
        <f t="shared" si="73"/>
        <v>3</v>
      </c>
      <c r="T126" s="5">
        <f t="shared" si="74"/>
        <v>1</v>
      </c>
      <c r="U126" s="5">
        <f t="shared" si="75"/>
        <v>2</v>
      </c>
      <c r="V126" s="5">
        <f t="shared" si="76"/>
        <v>3</v>
      </c>
      <c r="W126" s="445">
        <v>0</v>
      </c>
      <c r="X126" s="414">
        <v>1</v>
      </c>
      <c r="Y126" s="414">
        <v>2</v>
      </c>
      <c r="Z126" s="414">
        <v>3</v>
      </c>
      <c r="AA126" s="414">
        <v>1</v>
      </c>
      <c r="AB126" s="414">
        <v>2</v>
      </c>
      <c r="AC126" s="414">
        <v>3</v>
      </c>
      <c r="AD126" s="414">
        <v>1</v>
      </c>
      <c r="AE126" s="414">
        <v>2</v>
      </c>
      <c r="AF126" s="414">
        <v>3</v>
      </c>
      <c r="AG126" s="414">
        <f t="shared" si="64"/>
        <v>0</v>
      </c>
      <c r="AH126" s="414">
        <f t="shared" si="65"/>
        <v>0</v>
      </c>
    </row>
    <row r="127" spans="1:38">
      <c r="A127" s="325" t="s">
        <v>3708</v>
      </c>
      <c r="B127" s="65" t="s">
        <v>217</v>
      </c>
      <c r="C127" s="65">
        <f>IF(bp_pct&gt;0,tot_bp_MOVs,0)</f>
        <v>0</v>
      </c>
      <c r="D127" s="65" t="s">
        <v>2222</v>
      </c>
      <c r="E127" s="327" t="str">
        <f>IF(bp_pct=0,"NA",bypass_valve_size)</f>
        <v>NA</v>
      </c>
      <c r="F127" s="1" t="str">
        <f>IF(bp_pct=0," ","in. diam")</f>
        <v xml:space="preserve"> </v>
      </c>
      <c r="G127" s="327" t="str">
        <f>IF(bp_pct=0,"NA",(IF(curve=1,bypass_valve_size,VLOOKUP(bypass_valve_size,ss_mov_cost_cl,2))))</f>
        <v>NA</v>
      </c>
      <c r="H127" s="1" t="str">
        <f>IF(bp_pct=0," ","in. diam")</f>
        <v xml:space="preserve"> </v>
      </c>
      <c r="I127" s="327" t="str">
        <f>IF(bp_pct=0,"NA",(IF(curve=1,ss_mov_eq_bp,VLOOKUP(bypass_valve_size,ss_mov_cost_cl,3))))</f>
        <v>NA</v>
      </c>
      <c r="J127" s="323" t="str">
        <f t="shared" si="79"/>
        <v>--</v>
      </c>
      <c r="K127" s="327" t="str">
        <f>IF(C127=0,"NA",VLOOKUP(E127,ss_mov_cost_cl,IF(ss_cat="large",4,5)))</f>
        <v>NA</v>
      </c>
      <c r="L127" s="334"/>
      <c r="M127" s="27" t="str">
        <f t="shared" si="67"/>
        <v>Motor/Air Operated (on/off) Valves - Bypass - Stainless Steel</v>
      </c>
      <c r="N127" s="5">
        <f t="shared" si="68"/>
        <v>3</v>
      </c>
      <c r="O127" s="5">
        <f t="shared" si="69"/>
        <v>3</v>
      </c>
      <c r="P127" s="5">
        <f t="shared" si="70"/>
        <v>1</v>
      </c>
      <c r="Q127" s="5">
        <f t="shared" si="71"/>
        <v>3</v>
      </c>
      <c r="R127" s="5">
        <f t="shared" si="72"/>
        <v>3</v>
      </c>
      <c r="S127" s="5">
        <f t="shared" si="73"/>
        <v>1</v>
      </c>
      <c r="T127" s="5">
        <f t="shared" si="74"/>
        <v>3</v>
      </c>
      <c r="U127" s="5">
        <f t="shared" si="75"/>
        <v>3</v>
      </c>
      <c r="V127" s="5">
        <f t="shared" si="76"/>
        <v>1</v>
      </c>
      <c r="W127" s="445">
        <v>0</v>
      </c>
      <c r="X127" s="414">
        <v>3</v>
      </c>
      <c r="Y127" s="414">
        <v>3</v>
      </c>
      <c r="Z127" s="414">
        <v>1</v>
      </c>
      <c r="AA127" s="414">
        <v>3</v>
      </c>
      <c r="AB127" s="414">
        <v>3</v>
      </c>
      <c r="AC127" s="414">
        <v>1</v>
      </c>
      <c r="AD127" s="414">
        <v>3</v>
      </c>
      <c r="AE127" s="414">
        <v>3</v>
      </c>
      <c r="AF127" s="414">
        <v>1</v>
      </c>
      <c r="AG127" s="414">
        <f t="shared" si="64"/>
        <v>0</v>
      </c>
      <c r="AH127" s="414">
        <f t="shared" si="65"/>
        <v>0</v>
      </c>
    </row>
    <row r="128" spans="1:38">
      <c r="A128" s="325" t="s">
        <v>3708</v>
      </c>
      <c r="B128" s="65" t="s">
        <v>218</v>
      </c>
      <c r="C128" s="65">
        <f>IF(bp_pct&gt;0,tot_bp_MOVs,0)</f>
        <v>0</v>
      </c>
      <c r="D128" s="65" t="s">
        <v>2222</v>
      </c>
      <c r="E128" s="327" t="str">
        <f>IF(bp_pct=0,"NA",bypass_valve_size)</f>
        <v>NA</v>
      </c>
      <c r="F128" s="1" t="str">
        <f>IF(bp_pct=0," ","in. diam")</f>
        <v xml:space="preserve"> </v>
      </c>
      <c r="G128" s="327" t="str">
        <f>IF(bp_pct=0,"NA",(IF(curve=1,bypass_valve_size,VLOOKUP(bypass_valve_size,ci_mov_cost_cl,2))))</f>
        <v>NA</v>
      </c>
      <c r="H128" s="1" t="str">
        <f>IF(bp_pct=0," ","in. diam")</f>
        <v xml:space="preserve"> </v>
      </c>
      <c r="I128" s="327" t="str">
        <f>IF(bp_pct=0,"NA",(IF(curve=1,ci_mov_eq_bp,VLOOKUP(bypass_valve_size,ci_mov_cost_cl,3))))</f>
        <v>NA</v>
      </c>
      <c r="J128" s="323" t="str">
        <f t="shared" si="79"/>
        <v>--</v>
      </c>
      <c r="K128" s="327" t="str">
        <f>IF(C128=0,"NA",VLOOKUP(E128,ci_mov_cost_cl,IF(ss_cat="large",4,5)))</f>
        <v>NA</v>
      </c>
      <c r="L128" s="334"/>
      <c r="M128" s="27" t="str">
        <f t="shared" si="67"/>
        <v>Motor/Air Operated (on/off) Valves - Bypass - Cast Iron</v>
      </c>
      <c r="N128" s="5">
        <f t="shared" si="68"/>
        <v>2</v>
      </c>
      <c r="O128" s="5">
        <f t="shared" si="69"/>
        <v>1</v>
      </c>
      <c r="P128" s="5">
        <f t="shared" si="70"/>
        <v>2</v>
      </c>
      <c r="Q128" s="5">
        <f t="shared" si="71"/>
        <v>2</v>
      </c>
      <c r="R128" s="5">
        <f t="shared" si="72"/>
        <v>1</v>
      </c>
      <c r="S128" s="5">
        <f t="shared" si="73"/>
        <v>2</v>
      </c>
      <c r="T128" s="5">
        <f t="shared" si="74"/>
        <v>2</v>
      </c>
      <c r="U128" s="5">
        <f t="shared" si="75"/>
        <v>1</v>
      </c>
      <c r="V128" s="5">
        <f t="shared" si="76"/>
        <v>2</v>
      </c>
      <c r="W128" s="445">
        <v>0</v>
      </c>
      <c r="X128" s="414">
        <v>2</v>
      </c>
      <c r="Y128" s="414">
        <v>1</v>
      </c>
      <c r="Z128" s="414">
        <v>2</v>
      </c>
      <c r="AA128" s="414">
        <v>2</v>
      </c>
      <c r="AB128" s="414">
        <v>1</v>
      </c>
      <c r="AC128" s="414">
        <v>2</v>
      </c>
      <c r="AD128" s="414">
        <v>2</v>
      </c>
      <c r="AE128" s="414">
        <v>1</v>
      </c>
      <c r="AF128" s="414">
        <v>2</v>
      </c>
      <c r="AG128" s="414">
        <f t="shared" si="64"/>
        <v>0</v>
      </c>
      <c r="AH128" s="414">
        <f t="shared" si="65"/>
        <v>0</v>
      </c>
    </row>
    <row r="129" spans="1:38">
      <c r="A129" s="388" t="s">
        <v>828</v>
      </c>
      <c r="B129" s="11" t="s">
        <v>1570</v>
      </c>
      <c r="C129" s="175"/>
      <c r="D129" s="668"/>
      <c r="E129" s="175"/>
      <c r="F129" s="669"/>
      <c r="G129" s="175"/>
      <c r="H129" s="669"/>
      <c r="I129" s="175"/>
      <c r="J129" s="175"/>
      <c r="K129" s="175"/>
      <c r="L129" s="196"/>
      <c r="M129" s="27"/>
      <c r="AG129" s="414">
        <f t="shared" si="64"/>
        <v>0</v>
      </c>
      <c r="AH129" s="414">
        <f t="shared" si="65"/>
        <v>0</v>
      </c>
    </row>
    <row r="130" spans="1:38">
      <c r="A130" s="325" t="s">
        <v>829</v>
      </c>
      <c r="B130" s="1" t="s">
        <v>3765</v>
      </c>
      <c r="C130" s="65">
        <f>tot_in_man</f>
        <v>2</v>
      </c>
      <c r="D130" s="65" t="s">
        <v>2222</v>
      </c>
      <c r="E130" s="327">
        <f>IF(C130=0,"NA",in_valve_size)</f>
        <v>10</v>
      </c>
      <c r="F130" s="1" t="str">
        <f>IF(C130=0,"","in. diam")</f>
        <v>in. diam</v>
      </c>
      <c r="G130" s="327">
        <f>IF(C130=0,"NA",IF(curve=1,in_valve_size,VLOOKUP(in_valve_size,pp_man_cost_cl,2)))</f>
        <v>10</v>
      </c>
      <c r="H130" s="1" t="str">
        <f>IF(C130=0,"","in. diam")</f>
        <v>in. diam</v>
      </c>
      <c r="I130" s="326">
        <f>IF(C130=0,"NA",IF(curve=1,pp_man_eq,VLOOKUP(in_valve_size,pp_man_cost_cl,3)))</f>
        <v>1775.3570923089999</v>
      </c>
      <c r="J130" s="323">
        <f>IF(OR(C130=0,I130="contact vendor"),"--",C130*I130)</f>
        <v>3550.7141846179998</v>
      </c>
      <c r="K130" s="327">
        <f>IF(C130=0,"NA",VLOOKUP(in_valve_size,pp_man_cost_cl,IF(ss_cat="large",4,5)))</f>
        <v>25</v>
      </c>
      <c r="L130" s="328">
        <v>1</v>
      </c>
      <c r="M130" s="27" t="str">
        <f t="shared" ref="M130:M148" si="87">$B$129&amp;" "&amp;$B$111&amp;" - "&amp;B130</f>
        <v>Manual Valves - Influent and treated water - Polypropylene/PVC</v>
      </c>
      <c r="N130" s="5">
        <f t="shared" ref="N130:N148" si="88">IF(retrofit=1,$W130*X130,IF(ISBLANK(X130),"",X130))</f>
        <v>1</v>
      </c>
      <c r="O130" s="5">
        <f t="shared" ref="O130:O148" si="89">IF(retrofit=1,$W130*Y130,IF(ISBLANK(Y130),"",Y130))</f>
        <v>2</v>
      </c>
      <c r="P130" s="5">
        <f t="shared" ref="P130:P148" si="90">IF(retrofit=1,$W130*Z130,IF(ISBLANK(Z130),"",Z130))</f>
        <v>3</v>
      </c>
      <c r="Q130" s="5">
        <f t="shared" ref="Q130:Q148" si="91">IF(retrofit=1,$W130*AA130,IF(ISBLANK(AA130),"",AA130))</f>
        <v>1</v>
      </c>
      <c r="R130" s="5">
        <f t="shared" ref="R130:R148" si="92">IF(retrofit=1,$W130*AB130,IF(ISBLANK(AB130),"",AB130))</f>
        <v>2</v>
      </c>
      <c r="S130" s="5">
        <f t="shared" ref="S130:S148" si="93">IF(retrofit=1,$W130*AC130,IF(ISBLANK(AC130),"",AC130))</f>
        <v>3</v>
      </c>
      <c r="T130" s="5">
        <f t="shared" ref="T130:T148" si="94">IF(retrofit=1,$W130*AD130,IF(ISBLANK(AD130),"",AD130))</f>
        <v>1</v>
      </c>
      <c r="U130" s="5">
        <f t="shared" ref="U130:U148" si="95">IF(retrofit=1,$W130*AE130,IF(ISBLANK(AE130),"",AE130))</f>
        <v>2</v>
      </c>
      <c r="V130" s="5">
        <f t="shared" ref="V130:V148" si="96">IF(retrofit=1,$W130*AF130,IF(ISBLANK(AF130),"",AF130))</f>
        <v>3</v>
      </c>
      <c r="W130" s="445">
        <v>0</v>
      </c>
      <c r="X130" s="414">
        <v>1</v>
      </c>
      <c r="Y130" s="414">
        <v>2</v>
      </c>
      <c r="Z130" s="414">
        <v>3</v>
      </c>
      <c r="AA130" s="414">
        <v>1</v>
      </c>
      <c r="AB130" s="414">
        <v>2</v>
      </c>
      <c r="AC130" s="414">
        <v>3</v>
      </c>
      <c r="AD130" s="414">
        <v>1</v>
      </c>
      <c r="AE130" s="414">
        <v>2</v>
      </c>
      <c r="AF130" s="414">
        <v>3</v>
      </c>
      <c r="AG130" s="414">
        <f t="shared" si="64"/>
        <v>1</v>
      </c>
      <c r="AH130" s="414">
        <f t="shared" si="65"/>
        <v>142.02856738471999</v>
      </c>
    </row>
    <row r="131" spans="1:38">
      <c r="A131" s="325" t="s">
        <v>829</v>
      </c>
      <c r="B131" s="1" t="s">
        <v>3757</v>
      </c>
      <c r="C131" s="65">
        <f>tot_in_man</f>
        <v>2</v>
      </c>
      <c r="D131" s="65" t="s">
        <v>2222</v>
      </c>
      <c r="E131" s="327">
        <f>IF(C131=0,"NA",in_valve_size)</f>
        <v>10</v>
      </c>
      <c r="F131" s="1" t="str">
        <f>IF(C131=0,"","in. diam")</f>
        <v>in. diam</v>
      </c>
      <c r="G131" s="327">
        <f>IF(C131=0,"NA",IF(curve=1,in_valve_size,VLOOKUP(in_valve_size,ss_man_cost_cl,2)))</f>
        <v>10</v>
      </c>
      <c r="H131" s="1" t="str">
        <f>IF(C131=0,"","in. diam")</f>
        <v>in. diam</v>
      </c>
      <c r="I131" s="326">
        <f>IF(C131=0,"NA",IF(curve=1,ss_man_eq,VLOOKUP(in_valve_size,ss_man_cost_cl,3)))</f>
        <v>2292.5888431361109</v>
      </c>
      <c r="J131" s="323">
        <f>IF(OR(C131=0,I131="contact vendor"),"--",C131*I131)</f>
        <v>4585.1776862722218</v>
      </c>
      <c r="K131" s="327">
        <f>IF(C131=0,"NA",VLOOKUP(in_valve_size,ss_man_cost_cl,IF(ss_cat="large",4,5)))</f>
        <v>25</v>
      </c>
      <c r="L131" s="324">
        <v>0</v>
      </c>
      <c r="M131" s="27" t="str">
        <f t="shared" si="87"/>
        <v>Manual Valves - Influent and treated water - Stainless Steel</v>
      </c>
      <c r="N131" s="5">
        <f t="shared" si="88"/>
        <v>3</v>
      </c>
      <c r="O131" s="5">
        <f t="shared" si="89"/>
        <v>3</v>
      </c>
      <c r="P131" s="5">
        <f t="shared" si="90"/>
        <v>1</v>
      </c>
      <c r="Q131" s="5">
        <f t="shared" si="91"/>
        <v>3</v>
      </c>
      <c r="R131" s="5">
        <f t="shared" si="92"/>
        <v>3</v>
      </c>
      <c r="S131" s="5">
        <f t="shared" si="93"/>
        <v>1</v>
      </c>
      <c r="T131" s="5">
        <f t="shared" si="94"/>
        <v>3</v>
      </c>
      <c r="U131" s="5">
        <f t="shared" si="95"/>
        <v>3</v>
      </c>
      <c r="V131" s="5">
        <f t="shared" si="96"/>
        <v>1</v>
      </c>
      <c r="W131" s="445">
        <v>0</v>
      </c>
      <c r="X131" s="414">
        <v>3</v>
      </c>
      <c r="Y131" s="414">
        <v>3</v>
      </c>
      <c r="Z131" s="414">
        <v>1</v>
      </c>
      <c r="AA131" s="414">
        <v>3</v>
      </c>
      <c r="AB131" s="414">
        <v>3</v>
      </c>
      <c r="AC131" s="414">
        <v>1</v>
      </c>
      <c r="AD131" s="414">
        <v>3</v>
      </c>
      <c r="AE131" s="414">
        <v>3</v>
      </c>
      <c r="AF131" s="414">
        <v>1</v>
      </c>
      <c r="AG131" s="414">
        <f t="shared" si="64"/>
        <v>0</v>
      </c>
      <c r="AH131" s="414">
        <f t="shared" si="65"/>
        <v>0</v>
      </c>
    </row>
    <row r="132" spans="1:38">
      <c r="A132" s="325" t="s">
        <v>829</v>
      </c>
      <c r="B132" s="1" t="s">
        <v>3758</v>
      </c>
      <c r="C132" s="65">
        <f>tot_in_man</f>
        <v>2</v>
      </c>
      <c r="D132" s="65" t="s">
        <v>2222</v>
      </c>
      <c r="E132" s="327">
        <f>IF(C132=0,"NA",in_valve_size)</f>
        <v>10</v>
      </c>
      <c r="F132" s="1" t="str">
        <f>IF(C132=0,"","in. diam")</f>
        <v>in. diam</v>
      </c>
      <c r="G132" s="327">
        <f>IF(C132=0,"NA",IF(curve=1,in_valve_size,VLOOKUP(in_valve_size,ci_bfv_cost_cl,2)))</f>
        <v>10</v>
      </c>
      <c r="H132" s="1" t="str">
        <f>IF(C132=0,"","in. diam")</f>
        <v>in. diam</v>
      </c>
      <c r="I132" s="336">
        <f>IF(C132=0,"NA",IF(curve=1,ci_bfv_eq,VLOOKUP(in_valve_size,ci_bfv_cost_cl,3)))</f>
        <v>2467.6673917276885</v>
      </c>
      <c r="J132" s="323">
        <f>IF(OR(C132=0,I132="contact vendor"),"--",C132*I132)</f>
        <v>4935.334783455377</v>
      </c>
      <c r="K132" s="327">
        <f>IF(C132=0,"NA",VLOOKUP(in_valve_size,ci_bfv_cost_cl,IF(ss_cat="large",4,5)))</f>
        <v>25</v>
      </c>
      <c r="L132" s="324">
        <v>0</v>
      </c>
      <c r="M132" s="27" t="str">
        <f t="shared" si="87"/>
        <v>Manual Valves - Influent and treated water - Cast Iron</v>
      </c>
      <c r="N132" s="5">
        <f t="shared" si="88"/>
        <v>2</v>
      </c>
      <c r="O132" s="5">
        <f t="shared" si="89"/>
        <v>1</v>
      </c>
      <c r="P132" s="5">
        <f t="shared" si="90"/>
        <v>2</v>
      </c>
      <c r="Q132" s="5">
        <f t="shared" si="91"/>
        <v>2</v>
      </c>
      <c r="R132" s="5">
        <f t="shared" si="92"/>
        <v>1</v>
      </c>
      <c r="S132" s="5">
        <f t="shared" si="93"/>
        <v>2</v>
      </c>
      <c r="T132" s="5">
        <f t="shared" si="94"/>
        <v>2</v>
      </c>
      <c r="U132" s="5">
        <f t="shared" si="95"/>
        <v>1</v>
      </c>
      <c r="V132" s="5">
        <f t="shared" si="96"/>
        <v>2</v>
      </c>
      <c r="W132" s="445">
        <v>0</v>
      </c>
      <c r="X132" s="414">
        <v>2</v>
      </c>
      <c r="Y132" s="414">
        <v>1</v>
      </c>
      <c r="Z132" s="414">
        <v>2</v>
      </c>
      <c r="AA132" s="414">
        <v>2</v>
      </c>
      <c r="AB132" s="414">
        <v>1</v>
      </c>
      <c r="AC132" s="414">
        <v>2</v>
      </c>
      <c r="AD132" s="414">
        <v>2</v>
      </c>
      <c r="AE132" s="414">
        <v>1</v>
      </c>
      <c r="AF132" s="414">
        <v>2</v>
      </c>
      <c r="AG132" s="414">
        <f t="shared" si="64"/>
        <v>0</v>
      </c>
      <c r="AH132" s="414">
        <f t="shared" si="65"/>
        <v>0</v>
      </c>
    </row>
    <row r="133" spans="1:38">
      <c r="A133" s="325" t="s">
        <v>614</v>
      </c>
      <c r="B133" s="1" t="s">
        <v>2742</v>
      </c>
      <c r="C133" s="65">
        <f>tot_proc_man</f>
        <v>22</v>
      </c>
      <c r="D133" s="65" t="s">
        <v>2222</v>
      </c>
      <c r="E133" s="327">
        <f>tank_valve_size</f>
        <v>8</v>
      </c>
      <c r="F133" s="1" t="s">
        <v>2527</v>
      </c>
      <c r="G133" s="327">
        <f>IF(curve=1,tank_valve_size,VLOOKUP(tank_valve_size,pp_man_cost_cl,2))</f>
        <v>8</v>
      </c>
      <c r="H133" s="1" t="s">
        <v>2527</v>
      </c>
      <c r="I133" s="326">
        <f>IF(curve=1,pp_man_eq_proc,VLOOKUP(tank_valve_size,pp_man_cost_cl,3))</f>
        <v>1248.999987445</v>
      </c>
      <c r="J133" s="323">
        <f>IF(I133="contact vendor","--",C133*I133)</f>
        <v>27477.999723789999</v>
      </c>
      <c r="K133" s="327">
        <f>VLOOKUP(tank_valve_size,pp_man_cost_cl,IF(ss_cat="large",4,5))</f>
        <v>25</v>
      </c>
      <c r="L133" s="328">
        <v>1</v>
      </c>
      <c r="M133" s="27" t="str">
        <f t="shared" si="87"/>
        <v>Manual Valves - Process - Polypropylene/PVC</v>
      </c>
      <c r="N133" s="5">
        <f t="shared" si="88"/>
        <v>1</v>
      </c>
      <c r="O133" s="5">
        <f t="shared" si="89"/>
        <v>2</v>
      </c>
      <c r="P133" s="5">
        <f t="shared" si="90"/>
        <v>3</v>
      </c>
      <c r="Q133" s="5">
        <f t="shared" si="91"/>
        <v>1</v>
      </c>
      <c r="R133" s="5">
        <f t="shared" si="92"/>
        <v>2</v>
      </c>
      <c r="S133" s="5">
        <f t="shared" si="93"/>
        <v>3</v>
      </c>
      <c r="T133" s="5">
        <f t="shared" si="94"/>
        <v>1</v>
      </c>
      <c r="U133" s="5">
        <f t="shared" si="95"/>
        <v>2</v>
      </c>
      <c r="V133" s="5">
        <f t="shared" si="96"/>
        <v>3</v>
      </c>
      <c r="W133" s="445">
        <v>0</v>
      </c>
      <c r="X133" s="414">
        <v>1</v>
      </c>
      <c r="Y133" s="414">
        <v>2</v>
      </c>
      <c r="Z133" s="414">
        <v>3</v>
      </c>
      <c r="AA133" s="414">
        <v>1</v>
      </c>
      <c r="AB133" s="414">
        <v>2</v>
      </c>
      <c r="AC133" s="414">
        <v>3</v>
      </c>
      <c r="AD133" s="414">
        <v>1</v>
      </c>
      <c r="AE133" s="414">
        <v>2</v>
      </c>
      <c r="AF133" s="414">
        <v>3</v>
      </c>
      <c r="AG133" s="414">
        <f t="shared" si="64"/>
        <v>1</v>
      </c>
      <c r="AH133" s="414">
        <f t="shared" si="65"/>
        <v>1099.1199889515999</v>
      </c>
    </row>
    <row r="134" spans="1:38">
      <c r="A134" s="325" t="s">
        <v>614</v>
      </c>
      <c r="B134" s="1" t="s">
        <v>2743</v>
      </c>
      <c r="C134" s="65">
        <f>tot_proc_man</f>
        <v>22</v>
      </c>
      <c r="D134" s="65" t="s">
        <v>2222</v>
      </c>
      <c r="E134" s="327">
        <f>tank_valve_size</f>
        <v>8</v>
      </c>
      <c r="F134" s="1" t="s">
        <v>2527</v>
      </c>
      <c r="G134" s="327">
        <f>IF(curve=1,tank_valve_size,VLOOKUP(tank_valve_size,ss_man_cost_cl,2))</f>
        <v>8</v>
      </c>
      <c r="H134" s="1" t="s">
        <v>2527</v>
      </c>
      <c r="I134" s="322">
        <f>IF(curve=1,ss_man_eq_proc,VLOOKUP(tank_valve_size,ss_man_cost_cl,3))</f>
        <v>1864.6976365755643</v>
      </c>
      <c r="J134" s="323">
        <f>IF(I134="contact vendor","--",C134*I134)</f>
        <v>41023.348004662417</v>
      </c>
      <c r="K134" s="65">
        <f>VLOOKUP(tank_valve_size,ss_man_cost_cl,IF(ss_cat="large",4,5))</f>
        <v>25</v>
      </c>
      <c r="L134" s="324">
        <v>0</v>
      </c>
      <c r="M134" s="27" t="str">
        <f t="shared" si="87"/>
        <v>Manual Valves - Process - Stainless Steel</v>
      </c>
      <c r="N134" s="5">
        <f t="shared" si="88"/>
        <v>3</v>
      </c>
      <c r="O134" s="5">
        <f t="shared" si="89"/>
        <v>3</v>
      </c>
      <c r="P134" s="5">
        <f t="shared" si="90"/>
        <v>1</v>
      </c>
      <c r="Q134" s="5">
        <f t="shared" si="91"/>
        <v>3</v>
      </c>
      <c r="R134" s="5">
        <f t="shared" si="92"/>
        <v>3</v>
      </c>
      <c r="S134" s="5">
        <f t="shared" si="93"/>
        <v>1</v>
      </c>
      <c r="T134" s="5">
        <f t="shared" si="94"/>
        <v>3</v>
      </c>
      <c r="U134" s="5">
        <f t="shared" si="95"/>
        <v>3</v>
      </c>
      <c r="V134" s="5">
        <f t="shared" si="96"/>
        <v>1</v>
      </c>
      <c r="W134" s="445">
        <v>0</v>
      </c>
      <c r="X134" s="414">
        <v>3</v>
      </c>
      <c r="Y134" s="414">
        <v>3</v>
      </c>
      <c r="Z134" s="414">
        <v>1</v>
      </c>
      <c r="AA134" s="414">
        <v>3</v>
      </c>
      <c r="AB134" s="414">
        <v>3</v>
      </c>
      <c r="AC134" s="414">
        <v>1</v>
      </c>
      <c r="AD134" s="414">
        <v>3</v>
      </c>
      <c r="AE134" s="414">
        <v>3</v>
      </c>
      <c r="AF134" s="414">
        <v>1</v>
      </c>
      <c r="AG134" s="414">
        <f t="shared" si="64"/>
        <v>0</v>
      </c>
      <c r="AH134" s="414">
        <f t="shared" si="65"/>
        <v>0</v>
      </c>
    </row>
    <row r="135" spans="1:38">
      <c r="A135" s="325" t="s">
        <v>614</v>
      </c>
      <c r="B135" s="1" t="s">
        <v>685</v>
      </c>
      <c r="C135" s="65">
        <f>tot_proc_man</f>
        <v>22</v>
      </c>
      <c r="D135" s="65" t="s">
        <v>2222</v>
      </c>
      <c r="E135" s="327">
        <f>tank_valve_size</f>
        <v>8</v>
      </c>
      <c r="F135" s="1" t="s">
        <v>2527</v>
      </c>
      <c r="G135" s="327">
        <f>IF(curve=1,tank_valve_size,VLOOKUP(tank_valve_size,ci_bfv_cost_cl,2))</f>
        <v>8</v>
      </c>
      <c r="H135" s="1" t="s">
        <v>2527</v>
      </c>
      <c r="I135" s="336">
        <f>IF(curve=1,ci_bfv_eq_proc,VLOOKUP(tank_valve_size,ci_bfv_cost_cl,3))</f>
        <v>1953.812085973698</v>
      </c>
      <c r="J135" s="323">
        <f>IF(I135="contact vendor","--",C135*I135)</f>
        <v>42983.865891421359</v>
      </c>
      <c r="K135" s="65">
        <f>VLOOKUP(tank_valve_size,ci_bfv_cost_cl,IF(ss_cat="large",4,5))</f>
        <v>25</v>
      </c>
      <c r="L135" s="324">
        <v>0</v>
      </c>
      <c r="M135" s="27" t="str">
        <f t="shared" si="87"/>
        <v>Manual Valves - Process - Cast Iron</v>
      </c>
      <c r="N135" s="5">
        <f t="shared" si="88"/>
        <v>2</v>
      </c>
      <c r="O135" s="5">
        <f t="shared" si="89"/>
        <v>1</v>
      </c>
      <c r="P135" s="5">
        <f t="shared" si="90"/>
        <v>2</v>
      </c>
      <c r="Q135" s="5">
        <f t="shared" si="91"/>
        <v>2</v>
      </c>
      <c r="R135" s="5">
        <f t="shared" si="92"/>
        <v>1</v>
      </c>
      <c r="S135" s="5">
        <f t="shared" si="93"/>
        <v>2</v>
      </c>
      <c r="T135" s="5">
        <f t="shared" si="94"/>
        <v>2</v>
      </c>
      <c r="U135" s="5">
        <f t="shared" si="95"/>
        <v>1</v>
      </c>
      <c r="V135" s="5">
        <f t="shared" si="96"/>
        <v>2</v>
      </c>
      <c r="W135" s="445">
        <v>0</v>
      </c>
      <c r="X135" s="414">
        <v>2</v>
      </c>
      <c r="Y135" s="414">
        <v>1</v>
      </c>
      <c r="Z135" s="414">
        <v>2</v>
      </c>
      <c r="AA135" s="414">
        <v>2</v>
      </c>
      <c r="AB135" s="414">
        <v>1</v>
      </c>
      <c r="AC135" s="414">
        <v>2</v>
      </c>
      <c r="AD135" s="414">
        <v>2</v>
      </c>
      <c r="AE135" s="414">
        <v>1</v>
      </c>
      <c r="AF135" s="414">
        <v>2</v>
      </c>
      <c r="AG135" s="414">
        <f t="shared" si="64"/>
        <v>0</v>
      </c>
      <c r="AH135" s="414">
        <f t="shared" si="65"/>
        <v>0</v>
      </c>
    </row>
    <row r="136" spans="1:38">
      <c r="A136" s="325" t="s">
        <v>615</v>
      </c>
      <c r="B136" s="65" t="s">
        <v>687</v>
      </c>
      <c r="C136" s="65">
        <f>tot_back_man</f>
        <v>13</v>
      </c>
      <c r="D136" s="65" t="s">
        <v>2222</v>
      </c>
      <c r="E136" s="327">
        <f>IF(C136=0,"NA",back_valve_size)</f>
        <v>8</v>
      </c>
      <c r="F136" s="1" t="str">
        <f t="shared" ref="F136:F141" si="97">IF(C136=0,"","in. diam")</f>
        <v>in. diam</v>
      </c>
      <c r="G136" s="327">
        <f>IF(C136=0,"NA",IF(curve=1,back_valve_size,VLOOKUP(back_valve_size,pp_man_cost_cl,2)))</f>
        <v>8</v>
      </c>
      <c r="H136" s="1" t="str">
        <f t="shared" ref="H136:H141" si="98">IF(C136=0,"","in. diam")</f>
        <v>in. diam</v>
      </c>
      <c r="I136" s="336">
        <f>IF(C136=0,"NA",IF(curve=1,pp_man_eq_back,VLOOKUP(back_valve_size,pp_man_cost_cl,3)))</f>
        <v>1248.999987445</v>
      </c>
      <c r="J136" s="323">
        <f t="shared" ref="J136:J142" si="99">IF(OR(C136=0,I136="contact vendor"),"--",C136*I136)</f>
        <v>16236.999836785</v>
      </c>
      <c r="K136" s="327">
        <f>IF(C136=0,"NA",VLOOKUP(back_valve_size,pp_man_cost_cl,IF(ss_cat="large",4,5)))</f>
        <v>25</v>
      </c>
      <c r="L136" s="324">
        <v>1</v>
      </c>
      <c r="M136" s="27" t="str">
        <f t="shared" si="87"/>
        <v>Manual Valves - Backwash - Polypropylene/PVC</v>
      </c>
      <c r="N136" s="5">
        <f t="shared" si="88"/>
        <v>1</v>
      </c>
      <c r="O136" s="5">
        <f t="shared" si="89"/>
        <v>2</v>
      </c>
      <c r="P136" s="5">
        <f t="shared" si="90"/>
        <v>3</v>
      </c>
      <c r="Q136" s="5">
        <f t="shared" si="91"/>
        <v>1</v>
      </c>
      <c r="R136" s="5">
        <f t="shared" si="92"/>
        <v>2</v>
      </c>
      <c r="S136" s="5">
        <f t="shared" si="93"/>
        <v>3</v>
      </c>
      <c r="T136" s="5">
        <f t="shared" si="94"/>
        <v>1</v>
      </c>
      <c r="U136" s="5">
        <f t="shared" si="95"/>
        <v>2</v>
      </c>
      <c r="V136" s="5">
        <f t="shared" si="96"/>
        <v>3</v>
      </c>
      <c r="W136" s="445">
        <v>0</v>
      </c>
      <c r="X136" s="414">
        <v>1</v>
      </c>
      <c r="Y136" s="414">
        <v>2</v>
      </c>
      <c r="Z136" s="414">
        <v>3</v>
      </c>
      <c r="AA136" s="414">
        <v>1</v>
      </c>
      <c r="AB136" s="414">
        <v>2</v>
      </c>
      <c r="AC136" s="414">
        <v>3</v>
      </c>
      <c r="AD136" s="414">
        <v>1</v>
      </c>
      <c r="AE136" s="414">
        <v>2</v>
      </c>
      <c r="AF136" s="414">
        <v>3</v>
      </c>
      <c r="AG136" s="414">
        <f t="shared" si="64"/>
        <v>1</v>
      </c>
      <c r="AH136" s="414">
        <f t="shared" si="65"/>
        <v>649.47999347140001</v>
      </c>
    </row>
    <row r="137" spans="1:38">
      <c r="A137" s="325" t="s">
        <v>615</v>
      </c>
      <c r="B137" s="65" t="s">
        <v>686</v>
      </c>
      <c r="C137" s="65">
        <f>tot_back_man</f>
        <v>13</v>
      </c>
      <c r="D137" s="65" t="s">
        <v>2222</v>
      </c>
      <c r="E137" s="327">
        <f>IF(C137=0,"NA",back_valve_size)</f>
        <v>8</v>
      </c>
      <c r="F137" s="1" t="str">
        <f t="shared" si="97"/>
        <v>in. diam</v>
      </c>
      <c r="G137" s="327">
        <f>IF(C137=0,"NA",IF(curve=1,back_valve_size,VLOOKUP(back_valve_size,ss_man_cost_cl,2)))</f>
        <v>8</v>
      </c>
      <c r="H137" s="1" t="str">
        <f t="shared" si="98"/>
        <v>in. diam</v>
      </c>
      <c r="I137" s="336">
        <f>IF(C137=0,"NA",IF(curve=1,ss_man_eq_back,VLOOKUP(back_valve_size,ss_man_cost_cl,3)))</f>
        <v>1864.6976365755643</v>
      </c>
      <c r="J137" s="323">
        <f t="shared" si="99"/>
        <v>24241.069275482336</v>
      </c>
      <c r="K137" s="327">
        <f>IF(C137=0,"NA",VLOOKUP(back_valve_size,ss_man_cost_cl,IF(ss_cat="large",4,5)))</f>
        <v>25</v>
      </c>
      <c r="L137" s="324">
        <v>0</v>
      </c>
      <c r="M137" s="27" t="str">
        <f t="shared" si="87"/>
        <v>Manual Valves - Backwash - Stainless Steel</v>
      </c>
      <c r="N137" s="5">
        <f t="shared" si="88"/>
        <v>3</v>
      </c>
      <c r="O137" s="5">
        <f t="shared" si="89"/>
        <v>3</v>
      </c>
      <c r="P137" s="5">
        <f t="shared" si="90"/>
        <v>1</v>
      </c>
      <c r="Q137" s="5">
        <f t="shared" si="91"/>
        <v>3</v>
      </c>
      <c r="R137" s="5">
        <f t="shared" si="92"/>
        <v>3</v>
      </c>
      <c r="S137" s="5">
        <f t="shared" si="93"/>
        <v>1</v>
      </c>
      <c r="T137" s="5">
        <f t="shared" si="94"/>
        <v>3</v>
      </c>
      <c r="U137" s="5">
        <f t="shared" si="95"/>
        <v>3</v>
      </c>
      <c r="V137" s="5">
        <f t="shared" si="96"/>
        <v>1</v>
      </c>
      <c r="W137" s="445">
        <v>0</v>
      </c>
      <c r="X137" s="414">
        <v>3</v>
      </c>
      <c r="Y137" s="414">
        <v>3</v>
      </c>
      <c r="Z137" s="414">
        <v>1</v>
      </c>
      <c r="AA137" s="414">
        <v>3</v>
      </c>
      <c r="AB137" s="414">
        <v>3</v>
      </c>
      <c r="AC137" s="414">
        <v>1</v>
      </c>
      <c r="AD137" s="414">
        <v>3</v>
      </c>
      <c r="AE137" s="414">
        <v>3</v>
      </c>
      <c r="AF137" s="414">
        <v>1</v>
      </c>
      <c r="AG137" s="414">
        <f t="shared" si="64"/>
        <v>0</v>
      </c>
      <c r="AH137" s="414">
        <f t="shared" si="65"/>
        <v>0</v>
      </c>
    </row>
    <row r="138" spans="1:38">
      <c r="A138" s="325" t="s">
        <v>615</v>
      </c>
      <c r="B138" s="65" t="s">
        <v>688</v>
      </c>
      <c r="C138" s="65">
        <f>tot_back_man</f>
        <v>13</v>
      </c>
      <c r="D138" s="65" t="s">
        <v>2222</v>
      </c>
      <c r="E138" s="327">
        <f>IF(C138=0,"NA",back_valve_size)</f>
        <v>8</v>
      </c>
      <c r="F138" s="1" t="str">
        <f t="shared" si="97"/>
        <v>in. diam</v>
      </c>
      <c r="G138" s="327">
        <f>IF(C138=0,"NA",IF(curve=1,back_valve_size,VLOOKUP(back_valve_size,ci_bfv_cost_cl,2)))</f>
        <v>8</v>
      </c>
      <c r="H138" s="1" t="str">
        <f t="shared" si="98"/>
        <v>in. diam</v>
      </c>
      <c r="I138" s="336">
        <f>IF(C138=0,"NA",IF(curve=1,ci_man_eq_back,VLOOKUP(back_valve_size,ci_bfv_cost_cl,3)))</f>
        <v>1953.812085973698</v>
      </c>
      <c r="J138" s="323">
        <f t="shared" si="99"/>
        <v>25399.557117658074</v>
      </c>
      <c r="K138" s="327">
        <f>IF(C138=0,"NA",VLOOKUP(back_valve_size,ci_bfv_cost_cl,IF(ss_cat="large",4,5)))</f>
        <v>25</v>
      </c>
      <c r="L138" s="324">
        <v>0</v>
      </c>
      <c r="M138" s="27" t="str">
        <f t="shared" si="87"/>
        <v>Manual Valves - Backwash - Cast Iron</v>
      </c>
      <c r="N138" s="5">
        <f t="shared" si="88"/>
        <v>2</v>
      </c>
      <c r="O138" s="5">
        <f t="shared" si="89"/>
        <v>1</v>
      </c>
      <c r="P138" s="5">
        <f t="shared" si="90"/>
        <v>2</v>
      </c>
      <c r="Q138" s="5">
        <f t="shared" si="91"/>
        <v>2</v>
      </c>
      <c r="R138" s="5">
        <f t="shared" si="92"/>
        <v>1</v>
      </c>
      <c r="S138" s="5">
        <f t="shared" si="93"/>
        <v>2</v>
      </c>
      <c r="T138" s="5">
        <f t="shared" si="94"/>
        <v>2</v>
      </c>
      <c r="U138" s="5">
        <f t="shared" si="95"/>
        <v>1</v>
      </c>
      <c r="V138" s="5">
        <f t="shared" si="96"/>
        <v>2</v>
      </c>
      <c r="W138" s="445">
        <v>0</v>
      </c>
      <c r="X138" s="414">
        <v>2</v>
      </c>
      <c r="Y138" s="414">
        <v>1</v>
      </c>
      <c r="Z138" s="414">
        <v>2</v>
      </c>
      <c r="AA138" s="414">
        <v>2</v>
      </c>
      <c r="AB138" s="414">
        <v>1</v>
      </c>
      <c r="AC138" s="414">
        <v>2</v>
      </c>
      <c r="AD138" s="414">
        <v>2</v>
      </c>
      <c r="AE138" s="414">
        <v>1</v>
      </c>
      <c r="AF138" s="414">
        <v>2</v>
      </c>
      <c r="AG138" s="414">
        <f t="shared" si="64"/>
        <v>0</v>
      </c>
      <c r="AH138" s="414">
        <f t="shared" si="65"/>
        <v>0</v>
      </c>
    </row>
    <row r="139" spans="1:38">
      <c r="A139" s="325" t="s">
        <v>616</v>
      </c>
      <c r="B139" s="1" t="s">
        <v>2604</v>
      </c>
      <c r="C139" s="65">
        <f>total_res_man</f>
        <v>3</v>
      </c>
      <c r="D139" s="65" t="s">
        <v>2222</v>
      </c>
      <c r="E139" s="327">
        <f>IF(C139=0,"NA",res_valve_size)</f>
        <v>1.5</v>
      </c>
      <c r="F139" s="1" t="str">
        <f t="shared" si="97"/>
        <v>in. diam</v>
      </c>
      <c r="G139" s="327">
        <f>IF(C139=0,"NA",IF(curve=1,res_valve_size,VLOOKUP(back_valve_size,pp_man_cost_cl,2)))</f>
        <v>1.5</v>
      </c>
      <c r="H139" s="1" t="str">
        <f t="shared" si="98"/>
        <v>in. diam</v>
      </c>
      <c r="I139" s="336">
        <f>IF(C139=0,"NA",IF(curve=1,pp_man_eq_res,VLOOKUP(res_valve_size,pp_man_cost_cl,3)))</f>
        <v>207.84914633800003</v>
      </c>
      <c r="J139" s="323">
        <f t="shared" si="99"/>
        <v>623.54743901400002</v>
      </c>
      <c r="K139" s="327">
        <f>IF(C139=0,"NA",VLOOKUP(res_valve_size,pp_man_cost_cl,IF(ss_cat="large",4,5)))</f>
        <v>25</v>
      </c>
      <c r="L139" s="324">
        <v>1</v>
      </c>
      <c r="M139" s="27" t="str">
        <f t="shared" si="87"/>
        <v>Manual Valves - Residuals - Polypropylene/PVC</v>
      </c>
      <c r="N139" s="5">
        <f t="shared" si="88"/>
        <v>1</v>
      </c>
      <c r="O139" s="5">
        <f t="shared" si="89"/>
        <v>2</v>
      </c>
      <c r="P139" s="5">
        <f t="shared" si="90"/>
        <v>3</v>
      </c>
      <c r="Q139" s="5">
        <f t="shared" si="91"/>
        <v>1</v>
      </c>
      <c r="R139" s="5">
        <f t="shared" si="92"/>
        <v>2</v>
      </c>
      <c r="S139" s="5">
        <f t="shared" si="93"/>
        <v>3</v>
      </c>
      <c r="T139" s="5">
        <f t="shared" si="94"/>
        <v>1</v>
      </c>
      <c r="U139" s="5">
        <f t="shared" si="95"/>
        <v>2</v>
      </c>
      <c r="V139" s="5">
        <f t="shared" si="96"/>
        <v>3</v>
      </c>
      <c r="W139" s="445">
        <v>0</v>
      </c>
      <c r="X139" s="414">
        <v>1</v>
      </c>
      <c r="Y139" s="414">
        <v>2</v>
      </c>
      <c r="Z139" s="414">
        <v>3</v>
      </c>
      <c r="AA139" s="414">
        <v>1</v>
      </c>
      <c r="AB139" s="414">
        <v>2</v>
      </c>
      <c r="AC139" s="414">
        <v>3</v>
      </c>
      <c r="AD139" s="414">
        <v>1</v>
      </c>
      <c r="AE139" s="414">
        <v>2</v>
      </c>
      <c r="AF139" s="414">
        <v>3</v>
      </c>
      <c r="AG139" s="414">
        <f t="shared" si="64"/>
        <v>1</v>
      </c>
      <c r="AH139" s="414">
        <f t="shared" si="65"/>
        <v>24.941897560560001</v>
      </c>
    </row>
    <row r="140" spans="1:38">
      <c r="A140" s="325" t="s">
        <v>616</v>
      </c>
      <c r="B140" s="1" t="s">
        <v>2605</v>
      </c>
      <c r="C140" s="65">
        <f>total_res_man</f>
        <v>3</v>
      </c>
      <c r="D140" s="65" t="s">
        <v>2222</v>
      </c>
      <c r="E140" s="327">
        <f>IF(C140=0,"NA",res_valve_size)</f>
        <v>1.5</v>
      </c>
      <c r="F140" s="1" t="str">
        <f t="shared" si="97"/>
        <v>in. diam</v>
      </c>
      <c r="G140" s="327">
        <f>IF(C140=0,"NA",IF(curve=1,res_valve_size,VLOOKUP(back_valve_size,ss_man_cost_cl,2)))</f>
        <v>1.5</v>
      </c>
      <c r="H140" s="1" t="str">
        <f t="shared" si="98"/>
        <v>in. diam</v>
      </c>
      <c r="I140" s="336">
        <f>IF(C140=0,"NA",IF(curve=1,ss_man_eq_res,VLOOKUP(res_valve_size,ss_man_cost_cl,3)))</f>
        <v>395.88087320259683</v>
      </c>
      <c r="J140" s="323">
        <f t="shared" si="99"/>
        <v>1187.6426196077905</v>
      </c>
      <c r="K140" s="327">
        <f>IF(C140=0,"NA",VLOOKUP(res_valve_size,ss_man_cost_cl,IF(ss_cat="large",4,5)))</f>
        <v>25</v>
      </c>
      <c r="L140" s="324">
        <v>0</v>
      </c>
      <c r="M140" s="27" t="str">
        <f t="shared" si="87"/>
        <v>Manual Valves - Residuals - Stainless Steel</v>
      </c>
      <c r="N140" s="5">
        <f t="shared" si="88"/>
        <v>3</v>
      </c>
      <c r="O140" s="5">
        <f t="shared" si="89"/>
        <v>3</v>
      </c>
      <c r="P140" s="5">
        <f t="shared" si="90"/>
        <v>1</v>
      </c>
      <c r="Q140" s="5">
        <f t="shared" si="91"/>
        <v>3</v>
      </c>
      <c r="R140" s="5">
        <f t="shared" si="92"/>
        <v>3</v>
      </c>
      <c r="S140" s="5">
        <f t="shared" si="93"/>
        <v>1</v>
      </c>
      <c r="T140" s="5">
        <f t="shared" si="94"/>
        <v>3</v>
      </c>
      <c r="U140" s="5">
        <f t="shared" si="95"/>
        <v>3</v>
      </c>
      <c r="V140" s="5">
        <f t="shared" si="96"/>
        <v>1</v>
      </c>
      <c r="W140" s="445">
        <v>0</v>
      </c>
      <c r="X140" s="414">
        <v>3</v>
      </c>
      <c r="Y140" s="414">
        <v>3</v>
      </c>
      <c r="Z140" s="414">
        <v>1</v>
      </c>
      <c r="AA140" s="414">
        <v>3</v>
      </c>
      <c r="AB140" s="414">
        <v>3</v>
      </c>
      <c r="AC140" s="414">
        <v>1</v>
      </c>
      <c r="AD140" s="414">
        <v>3</v>
      </c>
      <c r="AE140" s="414">
        <v>3</v>
      </c>
      <c r="AF140" s="414">
        <v>1</v>
      </c>
      <c r="AG140" s="414">
        <f t="shared" si="64"/>
        <v>0</v>
      </c>
      <c r="AH140" s="414">
        <f t="shared" si="65"/>
        <v>0</v>
      </c>
    </row>
    <row r="141" spans="1:38">
      <c r="A141" s="325" t="s">
        <v>616</v>
      </c>
      <c r="B141" s="1" t="s">
        <v>2606</v>
      </c>
      <c r="C141" s="65">
        <f>total_res_man</f>
        <v>3</v>
      </c>
      <c r="D141" s="65" t="s">
        <v>2222</v>
      </c>
      <c r="E141" s="327">
        <f>IF(C141=0,"NA",res_valve_size)</f>
        <v>1.5</v>
      </c>
      <c r="F141" s="1" t="str">
        <f t="shared" si="97"/>
        <v>in. diam</v>
      </c>
      <c r="G141" s="327">
        <f>IF(C141=0,"NA",IF(curve=1,res_valve_size,VLOOKUP(back_valve_size,ci_bfv_cost_cl,2)))</f>
        <v>1.5</v>
      </c>
      <c r="H141" s="1" t="str">
        <f t="shared" si="98"/>
        <v>in. diam</v>
      </c>
      <c r="I141" s="336">
        <f>IF(C141=0,"NA",IF(curve=1,ci_man_eq_res,VLOOKUP(res_valve_size,ci_bfv_cost_cl,3)))</f>
        <v>338.97867757464161</v>
      </c>
      <c r="J141" s="323">
        <f t="shared" si="99"/>
        <v>1016.9360327239249</v>
      </c>
      <c r="K141" s="327">
        <f>IF(C141=0,"NA",VLOOKUP(res_valve_size,ci_bfv_cost_cl,IF(ss_cat="large",4,5)))</f>
        <v>25</v>
      </c>
      <c r="L141" s="324">
        <v>0</v>
      </c>
      <c r="M141" s="27" t="str">
        <f t="shared" si="87"/>
        <v>Manual Valves - Residuals - Cast Iron</v>
      </c>
      <c r="N141" s="5">
        <f t="shared" si="88"/>
        <v>2</v>
      </c>
      <c r="O141" s="5">
        <f t="shared" si="89"/>
        <v>1</v>
      </c>
      <c r="P141" s="5">
        <f t="shared" si="90"/>
        <v>2</v>
      </c>
      <c r="Q141" s="5">
        <f t="shared" si="91"/>
        <v>2</v>
      </c>
      <c r="R141" s="5">
        <f t="shared" si="92"/>
        <v>1</v>
      </c>
      <c r="S141" s="5">
        <f t="shared" si="93"/>
        <v>2</v>
      </c>
      <c r="T141" s="5">
        <f t="shared" si="94"/>
        <v>2</v>
      </c>
      <c r="U141" s="5">
        <f t="shared" si="95"/>
        <v>1</v>
      </c>
      <c r="V141" s="5">
        <f t="shared" si="96"/>
        <v>2</v>
      </c>
      <c r="W141" s="445">
        <v>0</v>
      </c>
      <c r="X141" s="414">
        <v>2</v>
      </c>
      <c r="Y141" s="414">
        <v>1</v>
      </c>
      <c r="Z141" s="414">
        <v>2</v>
      </c>
      <c r="AA141" s="414">
        <v>2</v>
      </c>
      <c r="AB141" s="414">
        <v>1</v>
      </c>
      <c r="AC141" s="414">
        <v>2</v>
      </c>
      <c r="AD141" s="414">
        <v>2</v>
      </c>
      <c r="AE141" s="414">
        <v>1</v>
      </c>
      <c r="AF141" s="414">
        <v>2</v>
      </c>
      <c r="AG141" s="414">
        <f t="shared" si="64"/>
        <v>0</v>
      </c>
      <c r="AH141" s="414">
        <f t="shared" si="65"/>
        <v>0</v>
      </c>
    </row>
    <row r="142" spans="1:38">
      <c r="A142" s="325" t="s">
        <v>617</v>
      </c>
      <c r="B142" s="1" t="s">
        <v>3707</v>
      </c>
      <c r="C142" s="65">
        <f>tot_coag_man</f>
        <v>0</v>
      </c>
      <c r="D142" s="1" t="s">
        <v>2222</v>
      </c>
      <c r="E142" s="327" t="str">
        <f>IF(C142=0,"NA",coag_valve_size)</f>
        <v>NA</v>
      </c>
      <c r="F142" s="1" t="str">
        <f>IF(C142=0,"","in. diam")</f>
        <v/>
      </c>
      <c r="G142" s="327" t="str">
        <f>IF(C142=0,"NA",IF(curve=1,coag_valve_size,VLOOKUP(coag_valve_size,pp_man_cost_cl,2)))</f>
        <v>NA</v>
      </c>
      <c r="H142" s="1" t="str">
        <f>IF(C142=0,"","in. diam")</f>
        <v/>
      </c>
      <c r="I142" s="336" t="str">
        <f>IF(C142=0,"NA",IF(curve=1,pp_man_eq_coag,VLOOKUP(coag_valve_size,pp_man_cost_cl,3)))</f>
        <v>NA</v>
      </c>
      <c r="J142" s="323" t="str">
        <f t="shared" si="99"/>
        <v>--</v>
      </c>
      <c r="K142" s="327" t="str">
        <f>IF(C142=0,"NA",VLOOKUP(coag_valve_size,pp_man_cost_cl,IF(ss_cat="large",4,5)))</f>
        <v>NA</v>
      </c>
      <c r="L142" s="324"/>
      <c r="M142" s="27" t="str">
        <f t="shared" si="87"/>
        <v>Manual Valves - Ferric Chloride - Polypropylene/PVC</v>
      </c>
      <c r="N142" s="5">
        <f t="shared" si="88"/>
        <v>1</v>
      </c>
      <c r="O142" s="5">
        <f t="shared" si="89"/>
        <v>1</v>
      </c>
      <c r="P142" s="5">
        <f t="shared" si="90"/>
        <v>1</v>
      </c>
      <c r="Q142" s="5">
        <f t="shared" si="91"/>
        <v>1</v>
      </c>
      <c r="R142" s="5">
        <f t="shared" si="92"/>
        <v>1</v>
      </c>
      <c r="S142" s="5">
        <f t="shared" si="93"/>
        <v>1</v>
      </c>
      <c r="T142" s="5">
        <f t="shared" si="94"/>
        <v>1</v>
      </c>
      <c r="U142" s="5">
        <f t="shared" si="95"/>
        <v>1</v>
      </c>
      <c r="V142" s="5">
        <f t="shared" si="96"/>
        <v>1</v>
      </c>
      <c r="W142" s="445">
        <v>0</v>
      </c>
      <c r="X142" s="414">
        <v>1</v>
      </c>
      <c r="Y142" s="414">
        <v>1</v>
      </c>
      <c r="Z142" s="414">
        <v>1</v>
      </c>
      <c r="AA142" s="414">
        <v>1</v>
      </c>
      <c r="AB142" s="414">
        <v>1</v>
      </c>
      <c r="AC142" s="414">
        <v>1</v>
      </c>
      <c r="AD142" s="414">
        <v>1</v>
      </c>
      <c r="AE142" s="414">
        <v>1</v>
      </c>
      <c r="AF142" s="414">
        <v>1</v>
      </c>
      <c r="AG142">
        <f t="shared" ref="AG142" si="100">IF(ISERROR(K142*L142),0,IF(K142&lt;1,0,L142))</f>
        <v>0</v>
      </c>
      <c r="AH142">
        <f t="shared" ref="AH142" si="101">IF(AG142,J142/K142,0)</f>
        <v>0</v>
      </c>
    </row>
    <row r="143" spans="1:38" s="65" customFormat="1">
      <c r="A143" s="325" t="s">
        <v>2327</v>
      </c>
      <c r="B143" s="1" t="s">
        <v>1795</v>
      </c>
      <c r="C143" s="65">
        <f>tot_polymer_man</f>
        <v>0</v>
      </c>
      <c r="D143" s="1" t="s">
        <v>2222</v>
      </c>
      <c r="E143" s="327" t="str">
        <f>IF(C143=0,"NA",polymer_valve_size)</f>
        <v>NA</v>
      </c>
      <c r="F143" s="1" t="str">
        <f>IF(C143=0,"","in. diam")</f>
        <v/>
      </c>
      <c r="G143" s="327" t="str">
        <f>IF(C143=0,"NA",IF(curve=1,polymer_valve_size,VLOOKUP(polymer_valve_size,pp_man_cost_cl,2)))</f>
        <v>NA</v>
      </c>
      <c r="H143" s="1" t="str">
        <f>IF(C143=0,"","in. diam")</f>
        <v/>
      </c>
      <c r="I143" s="336" t="str">
        <f>IF(C143=0,"NA",IF(curve=1,pp_man_eq_polymer,VLOOKUP(polymer_valve_size,pp_man_cost_cl,3)))</f>
        <v>NA</v>
      </c>
      <c r="J143" s="323" t="str">
        <f t="shared" ref="J143:J148" si="102">IF(OR(C143=0,I143="contact vendor"),"--",C143*I143)</f>
        <v>--</v>
      </c>
      <c r="K143" s="327" t="str">
        <f>IF(C143=0,"NA",VLOOKUP(polymer_valve_size,pp_man_cost_cl,IF(ss_cat="large",4,5)))</f>
        <v>NA</v>
      </c>
      <c r="L143" s="324"/>
      <c r="M143" s="27" t="str">
        <f t="shared" si="87"/>
        <v>Manual Valves - Polymer - Polypropylene/PVC</v>
      </c>
      <c r="N143" s="5">
        <f t="shared" ref="N143:V145" si="103">IF(retrofit=1,$W143*X143,IF(ISBLANK(X143),"",X143))</f>
        <v>1</v>
      </c>
      <c r="O143" s="5">
        <f t="shared" si="103"/>
        <v>2</v>
      </c>
      <c r="P143" s="5">
        <f t="shared" si="103"/>
        <v>3</v>
      </c>
      <c r="Q143" s="5">
        <f t="shared" si="103"/>
        <v>1</v>
      </c>
      <c r="R143" s="5">
        <f t="shared" si="103"/>
        <v>2</v>
      </c>
      <c r="S143" s="5">
        <f t="shared" si="103"/>
        <v>3</v>
      </c>
      <c r="T143" s="5">
        <f t="shared" si="103"/>
        <v>1</v>
      </c>
      <c r="U143" s="5">
        <f t="shared" si="103"/>
        <v>2</v>
      </c>
      <c r="V143" s="5">
        <f t="shared" si="103"/>
        <v>3</v>
      </c>
      <c r="W143" s="445">
        <v>0</v>
      </c>
      <c r="X143" s="414">
        <v>1</v>
      </c>
      <c r="Y143" s="414">
        <v>2</v>
      </c>
      <c r="Z143" s="414">
        <v>3</v>
      </c>
      <c r="AA143" s="414">
        <v>1</v>
      </c>
      <c r="AB143" s="414">
        <v>2</v>
      </c>
      <c r="AC143" s="414">
        <v>3</v>
      </c>
      <c r="AD143" s="414">
        <v>1</v>
      </c>
      <c r="AE143" s="414">
        <v>2</v>
      </c>
      <c r="AF143" s="414">
        <v>3</v>
      </c>
      <c r="AG143">
        <f t="shared" si="64"/>
        <v>0</v>
      </c>
      <c r="AH143">
        <f t="shared" si="65"/>
        <v>0</v>
      </c>
      <c r="AI143" s="87"/>
      <c r="AJ143" s="87"/>
      <c r="AL143" s="87"/>
    </row>
    <row r="144" spans="1:38" s="65" customFormat="1">
      <c r="A144" s="325" t="s">
        <v>2327</v>
      </c>
      <c r="B144" s="1" t="s">
        <v>1796</v>
      </c>
      <c r="C144" s="65">
        <f>tot_polymer_man</f>
        <v>0</v>
      </c>
      <c r="D144" s="1" t="s">
        <v>2222</v>
      </c>
      <c r="E144" s="327" t="str">
        <f>IF(C144=0,"NA",polymer_valve_size)</f>
        <v>NA</v>
      </c>
      <c r="F144" s="1" t="str">
        <f>IF(C144=0,"","in. diam")</f>
        <v/>
      </c>
      <c r="G144" s="327" t="str">
        <f>IF(C144=0,"NA",IF(curve=1,polymer_valve_size,VLOOKUP(polymer_valve_size,ss_man_cost_cl,2)))</f>
        <v>NA</v>
      </c>
      <c r="H144" s="1" t="str">
        <f>IF(C144=0,"","in. diam")</f>
        <v/>
      </c>
      <c r="I144" s="336" t="str">
        <f>IF(C144=0,"NA",IF(curve=1,ss_man_eq_polymer,VLOOKUP(polymer_valve_size,ss_man_cost_cl,3)))</f>
        <v>NA</v>
      </c>
      <c r="J144" s="323" t="str">
        <f t="shared" si="102"/>
        <v>--</v>
      </c>
      <c r="K144" s="327" t="str">
        <f>IF(C144=0,"NA",VLOOKUP(polymer_valve_size,ss_man_cost_cl,IF(ss_cat="large",4,5)))</f>
        <v>NA</v>
      </c>
      <c r="L144" s="324"/>
      <c r="M144" s="27" t="str">
        <f t="shared" si="87"/>
        <v>Manual Valves - Polymer - Stainless Steel</v>
      </c>
      <c r="N144" s="5">
        <f t="shared" si="103"/>
        <v>3</v>
      </c>
      <c r="O144" s="5">
        <f t="shared" si="103"/>
        <v>3</v>
      </c>
      <c r="P144" s="5">
        <f t="shared" si="103"/>
        <v>1</v>
      </c>
      <c r="Q144" s="5">
        <f t="shared" si="103"/>
        <v>3</v>
      </c>
      <c r="R144" s="5">
        <f t="shared" si="103"/>
        <v>3</v>
      </c>
      <c r="S144" s="5">
        <f t="shared" si="103"/>
        <v>1</v>
      </c>
      <c r="T144" s="5">
        <f t="shared" si="103"/>
        <v>3</v>
      </c>
      <c r="U144" s="5">
        <f t="shared" si="103"/>
        <v>3</v>
      </c>
      <c r="V144" s="5">
        <f t="shared" si="103"/>
        <v>1</v>
      </c>
      <c r="W144" s="445">
        <v>0</v>
      </c>
      <c r="X144" s="414">
        <v>3</v>
      </c>
      <c r="Y144" s="414">
        <v>3</v>
      </c>
      <c r="Z144" s="414">
        <v>1</v>
      </c>
      <c r="AA144" s="414">
        <v>3</v>
      </c>
      <c r="AB144" s="414">
        <v>3</v>
      </c>
      <c r="AC144" s="414">
        <v>1</v>
      </c>
      <c r="AD144" s="414">
        <v>3</v>
      </c>
      <c r="AE144" s="414">
        <v>3</v>
      </c>
      <c r="AF144" s="414">
        <v>1</v>
      </c>
      <c r="AG144">
        <f t="shared" si="64"/>
        <v>0</v>
      </c>
      <c r="AH144">
        <f t="shared" si="65"/>
        <v>0</v>
      </c>
      <c r="AI144" s="87"/>
      <c r="AJ144" s="87"/>
      <c r="AL144" s="87"/>
    </row>
    <row r="145" spans="1:38" s="65" customFormat="1">
      <c r="A145" s="325" t="s">
        <v>2327</v>
      </c>
      <c r="B145" s="1" t="s">
        <v>1797</v>
      </c>
      <c r="C145" s="65">
        <f>tot_polymer_man</f>
        <v>0</v>
      </c>
      <c r="D145" s="1" t="s">
        <v>2222</v>
      </c>
      <c r="E145" s="327" t="str">
        <f>IF(C145=0,"NA",polymer_valve_size)</f>
        <v>NA</v>
      </c>
      <c r="F145" s="1" t="str">
        <f>IF(C145=0,"","in. diam")</f>
        <v/>
      </c>
      <c r="G145" s="327" t="str">
        <f>IF(C145=0,"NA",IF(curve=1,polymer_valve_size,VLOOKUP(polymer_valve_size,ci_bfv_cost_cl,2)))</f>
        <v>NA</v>
      </c>
      <c r="H145" s="1" t="str">
        <f>IF(C145=0,"","in. diam")</f>
        <v/>
      </c>
      <c r="I145" s="336" t="str">
        <f>IF(C145=0,"NA",IF(curve=1,ci_man_eq_polymer,VLOOKUP(polymer_valve_size,ci_bfv_cost_cl,3)))</f>
        <v>NA</v>
      </c>
      <c r="J145" s="323" t="str">
        <f t="shared" si="102"/>
        <v>--</v>
      </c>
      <c r="K145" s="327" t="str">
        <f>IF(C145=0,"NA",VLOOKUP(polymer_valve_size,ci_bfv_cost_cl,IF(ss_cat="large",4,5)))</f>
        <v>NA</v>
      </c>
      <c r="L145" s="324"/>
      <c r="M145" s="27" t="str">
        <f t="shared" si="87"/>
        <v>Manual Valves - Polymer - Cast Iron</v>
      </c>
      <c r="N145" s="5">
        <f t="shared" si="103"/>
        <v>2</v>
      </c>
      <c r="O145" s="5">
        <f t="shared" si="103"/>
        <v>1</v>
      </c>
      <c r="P145" s="5">
        <f t="shared" si="103"/>
        <v>2</v>
      </c>
      <c r="Q145" s="5">
        <f t="shared" si="103"/>
        <v>2</v>
      </c>
      <c r="R145" s="5">
        <f t="shared" si="103"/>
        <v>1</v>
      </c>
      <c r="S145" s="5">
        <f t="shared" si="103"/>
        <v>2</v>
      </c>
      <c r="T145" s="5">
        <f t="shared" si="103"/>
        <v>2</v>
      </c>
      <c r="U145" s="5">
        <f t="shared" si="103"/>
        <v>1</v>
      </c>
      <c r="V145" s="5">
        <f t="shared" si="103"/>
        <v>2</v>
      </c>
      <c r="W145" s="445">
        <v>0</v>
      </c>
      <c r="X145" s="414">
        <v>2</v>
      </c>
      <c r="Y145" s="414">
        <v>1</v>
      </c>
      <c r="Z145" s="414">
        <v>2</v>
      </c>
      <c r="AA145" s="414">
        <v>2</v>
      </c>
      <c r="AB145" s="414">
        <v>1</v>
      </c>
      <c r="AC145" s="414">
        <v>2</v>
      </c>
      <c r="AD145" s="414">
        <v>2</v>
      </c>
      <c r="AE145" s="414">
        <v>1</v>
      </c>
      <c r="AF145" s="414">
        <v>2</v>
      </c>
      <c r="AG145">
        <f t="shared" si="64"/>
        <v>0</v>
      </c>
      <c r="AH145">
        <f t="shared" si="65"/>
        <v>0</v>
      </c>
      <c r="AI145" s="87"/>
      <c r="AJ145" s="87"/>
      <c r="AL145" s="87"/>
    </row>
    <row r="146" spans="1:38">
      <c r="A146" s="325" t="s">
        <v>3709</v>
      </c>
      <c r="B146" s="65" t="s">
        <v>216</v>
      </c>
      <c r="C146" s="65">
        <f>IF(bp_pct&gt;0,tot_bp_man,0)</f>
        <v>0</v>
      </c>
      <c r="D146" s="65" t="s">
        <v>2222</v>
      </c>
      <c r="E146" s="327" t="str">
        <f>IF(bp_pct=0,"NA",bypass_valve_size)</f>
        <v>NA</v>
      </c>
      <c r="F146" s="1" t="str">
        <f>IF(bp_pct=0," ","in. diam")</f>
        <v xml:space="preserve"> </v>
      </c>
      <c r="G146" s="327" t="str">
        <f>IF(bp_pct=0,"NA",(IF(curve=1,bypass_valve_size,VLOOKUP(bypass_valve_size,pp_man_cost_cl,2))))</f>
        <v>NA</v>
      </c>
      <c r="H146" s="1" t="str">
        <f>IF(bp_pct=0," ","in. diam")</f>
        <v xml:space="preserve"> </v>
      </c>
      <c r="I146" s="326" t="str">
        <f>IF(bp_pct=0,"NA",(IF(curve=1,pp_man_eq_bp,VLOOKUP(bypass_valve_size,pp_man_cost_cl,3))))</f>
        <v>NA</v>
      </c>
      <c r="J146" s="323" t="str">
        <f t="shared" si="102"/>
        <v>--</v>
      </c>
      <c r="K146" s="327" t="str">
        <f>IF(C146=0,"NA",VLOOKUP(E146,pp_man_cost_cl,IF(ss_cat="large",4,5)))</f>
        <v>NA</v>
      </c>
      <c r="L146" s="324"/>
      <c r="M146" s="27" t="str">
        <f t="shared" si="87"/>
        <v>Manual Valves - Bypass - Polypropylene/PVC</v>
      </c>
      <c r="N146" s="5">
        <f t="shared" si="88"/>
        <v>1</v>
      </c>
      <c r="O146" s="5">
        <f t="shared" si="89"/>
        <v>2</v>
      </c>
      <c r="P146" s="5">
        <f t="shared" si="90"/>
        <v>3</v>
      </c>
      <c r="Q146" s="5">
        <f t="shared" si="91"/>
        <v>1</v>
      </c>
      <c r="R146" s="5">
        <f t="shared" si="92"/>
        <v>2</v>
      </c>
      <c r="S146" s="5">
        <f t="shared" si="93"/>
        <v>3</v>
      </c>
      <c r="T146" s="5">
        <f t="shared" si="94"/>
        <v>1</v>
      </c>
      <c r="U146" s="5">
        <f t="shared" si="95"/>
        <v>2</v>
      </c>
      <c r="V146" s="5">
        <f t="shared" si="96"/>
        <v>3</v>
      </c>
      <c r="W146" s="445">
        <v>0</v>
      </c>
      <c r="X146" s="414">
        <v>1</v>
      </c>
      <c r="Y146" s="414">
        <v>2</v>
      </c>
      <c r="Z146" s="414">
        <v>3</v>
      </c>
      <c r="AA146" s="414">
        <v>1</v>
      </c>
      <c r="AB146" s="414">
        <v>2</v>
      </c>
      <c r="AC146" s="414">
        <v>3</v>
      </c>
      <c r="AD146" s="414">
        <v>1</v>
      </c>
      <c r="AE146" s="414">
        <v>2</v>
      </c>
      <c r="AF146" s="414">
        <v>3</v>
      </c>
      <c r="AG146" s="414">
        <f t="shared" si="64"/>
        <v>0</v>
      </c>
      <c r="AH146" s="414">
        <f t="shared" si="65"/>
        <v>0</v>
      </c>
    </row>
    <row r="147" spans="1:38">
      <c r="A147" s="325" t="s">
        <v>3709</v>
      </c>
      <c r="B147" s="65" t="s">
        <v>217</v>
      </c>
      <c r="C147" s="65">
        <f>IF(bp_pct&gt;0,tot_bp_man,0)</f>
        <v>0</v>
      </c>
      <c r="D147" s="65" t="s">
        <v>2222</v>
      </c>
      <c r="E147" s="327" t="str">
        <f>IF(bp_pct=0,"NA",bypass_valve_size)</f>
        <v>NA</v>
      </c>
      <c r="F147" s="1" t="str">
        <f>IF(bp_pct=0," ","in. diam")</f>
        <v xml:space="preserve"> </v>
      </c>
      <c r="G147" s="327" t="str">
        <f>IF(bp_pct=0,"NA",(IF(curve=1,bypass_valve_size,VLOOKUP(bypass_valve_size,ss_man_cost_cl,2))))</f>
        <v>NA</v>
      </c>
      <c r="H147" s="1" t="str">
        <f>IF(bp_pct=0," ","in. diam")</f>
        <v xml:space="preserve"> </v>
      </c>
      <c r="I147" s="326" t="str">
        <f>IF(bp_pct=0,"NA",(IF(curve=1,ss_man_eq_bp,VLOOKUP(bypass_valve_size,ss_man_cost_cl,3))))</f>
        <v>NA</v>
      </c>
      <c r="J147" s="323" t="str">
        <f t="shared" si="102"/>
        <v>--</v>
      </c>
      <c r="K147" s="327" t="str">
        <f>IF(C147=0,"NA",VLOOKUP(E147,ss_man_cost_cl,IF(ss_cat="large",4,5)))</f>
        <v>NA</v>
      </c>
      <c r="L147" s="324"/>
      <c r="M147" s="27" t="str">
        <f t="shared" si="87"/>
        <v>Manual Valves - Bypass - Stainless Steel</v>
      </c>
      <c r="N147" s="5">
        <f t="shared" si="88"/>
        <v>3</v>
      </c>
      <c r="O147" s="5">
        <f t="shared" si="89"/>
        <v>3</v>
      </c>
      <c r="P147" s="5">
        <f t="shared" si="90"/>
        <v>1</v>
      </c>
      <c r="Q147" s="5">
        <f t="shared" si="91"/>
        <v>3</v>
      </c>
      <c r="R147" s="5">
        <f t="shared" si="92"/>
        <v>3</v>
      </c>
      <c r="S147" s="5">
        <f t="shared" si="93"/>
        <v>1</v>
      </c>
      <c r="T147" s="5">
        <f t="shared" si="94"/>
        <v>3</v>
      </c>
      <c r="U147" s="5">
        <f t="shared" si="95"/>
        <v>3</v>
      </c>
      <c r="V147" s="5">
        <f t="shared" si="96"/>
        <v>1</v>
      </c>
      <c r="W147" s="445">
        <v>0</v>
      </c>
      <c r="X147" s="414">
        <v>3</v>
      </c>
      <c r="Y147" s="414">
        <v>3</v>
      </c>
      <c r="Z147" s="414">
        <v>1</v>
      </c>
      <c r="AA147" s="414">
        <v>3</v>
      </c>
      <c r="AB147" s="414">
        <v>3</v>
      </c>
      <c r="AC147" s="414">
        <v>1</v>
      </c>
      <c r="AD147" s="414">
        <v>3</v>
      </c>
      <c r="AE147" s="414">
        <v>3</v>
      </c>
      <c r="AF147" s="414">
        <v>1</v>
      </c>
      <c r="AG147" s="414">
        <f t="shared" si="64"/>
        <v>0</v>
      </c>
      <c r="AH147" s="414">
        <f t="shared" si="65"/>
        <v>0</v>
      </c>
    </row>
    <row r="148" spans="1:38">
      <c r="A148" s="325" t="s">
        <v>3709</v>
      </c>
      <c r="B148" s="65" t="s">
        <v>218</v>
      </c>
      <c r="C148" s="65">
        <f>IF(bp_pct&gt;0,tot_bp_man,0)</f>
        <v>0</v>
      </c>
      <c r="D148" s="65" t="s">
        <v>2222</v>
      </c>
      <c r="E148" s="327" t="str">
        <f>IF(bp_pct=0,"NA",bypass_valve_size)</f>
        <v>NA</v>
      </c>
      <c r="F148" s="1" t="str">
        <f>IF(bp_pct=0," ","in. diam")</f>
        <v xml:space="preserve"> </v>
      </c>
      <c r="G148" s="327" t="str">
        <f>IF(bp_pct=0,"NA",(IF(curve=1,bypass_valve_size,VLOOKUP(bypass_valve_size,ci_bfv_cost_cl,2))))</f>
        <v>NA</v>
      </c>
      <c r="H148" s="1" t="str">
        <f>IF(bp_pct=0," ","in. diam")</f>
        <v xml:space="preserve"> </v>
      </c>
      <c r="I148" s="326" t="str">
        <f>IF(bp_pct=0,"NA",(IF(curve=1,ci_man_eq_bp,VLOOKUP(bypass_valve_size,ci_bfv_cost_cl,3))))</f>
        <v>NA</v>
      </c>
      <c r="J148" s="323" t="str">
        <f t="shared" si="102"/>
        <v>--</v>
      </c>
      <c r="K148" s="327" t="str">
        <f>IF(C148=0,"NA",VLOOKUP(E148,ci_bfv_cost_cl,IF(ss_cat="large",4,5)))</f>
        <v>NA</v>
      </c>
      <c r="L148" s="324"/>
      <c r="M148" s="27" t="str">
        <f t="shared" si="87"/>
        <v>Manual Valves - Bypass - Cast Iron</v>
      </c>
      <c r="N148" s="5">
        <f t="shared" si="88"/>
        <v>2</v>
      </c>
      <c r="O148" s="5">
        <f t="shared" si="89"/>
        <v>1</v>
      </c>
      <c r="P148" s="5">
        <f t="shared" si="90"/>
        <v>2</v>
      </c>
      <c r="Q148" s="5">
        <f t="shared" si="91"/>
        <v>2</v>
      </c>
      <c r="R148" s="5">
        <f t="shared" si="92"/>
        <v>1</v>
      </c>
      <c r="S148" s="5">
        <f t="shared" si="93"/>
        <v>2</v>
      </c>
      <c r="T148" s="5">
        <f t="shared" si="94"/>
        <v>2</v>
      </c>
      <c r="U148" s="5">
        <f t="shared" si="95"/>
        <v>1</v>
      </c>
      <c r="V148" s="5">
        <f t="shared" si="96"/>
        <v>2</v>
      </c>
      <c r="W148" s="445">
        <v>0</v>
      </c>
      <c r="X148" s="414">
        <v>2</v>
      </c>
      <c r="Y148" s="414">
        <v>1</v>
      </c>
      <c r="Z148" s="414">
        <v>2</v>
      </c>
      <c r="AA148" s="414">
        <v>2</v>
      </c>
      <c r="AB148" s="414">
        <v>1</v>
      </c>
      <c r="AC148" s="414">
        <v>2</v>
      </c>
      <c r="AD148" s="414">
        <v>2</v>
      </c>
      <c r="AE148" s="414">
        <v>1</v>
      </c>
      <c r="AF148" s="414">
        <v>2</v>
      </c>
      <c r="AG148" s="414">
        <f t="shared" si="64"/>
        <v>0</v>
      </c>
      <c r="AH148" s="414">
        <f t="shared" si="65"/>
        <v>0</v>
      </c>
    </row>
    <row r="149" spans="1:38">
      <c r="A149" s="388" t="s">
        <v>830</v>
      </c>
      <c r="B149" s="11" t="s">
        <v>1571</v>
      </c>
      <c r="C149" s="175"/>
      <c r="D149" s="668"/>
      <c r="E149" s="175"/>
      <c r="F149" s="669"/>
      <c r="G149" s="175"/>
      <c r="H149" s="669"/>
      <c r="I149" s="175"/>
      <c r="J149" s="175"/>
      <c r="K149" s="175"/>
      <c r="L149" s="196"/>
      <c r="M149" s="27"/>
      <c r="AG149" s="414">
        <f t="shared" si="64"/>
        <v>0</v>
      </c>
      <c r="AH149" s="414">
        <f t="shared" si="65"/>
        <v>0</v>
      </c>
    </row>
    <row r="150" spans="1:38">
      <c r="A150" s="325" t="s">
        <v>831</v>
      </c>
      <c r="B150" s="1" t="s">
        <v>687</v>
      </c>
      <c r="C150" s="65">
        <f>tot_back_chv</f>
        <v>2</v>
      </c>
      <c r="D150" s="65" t="s">
        <v>2222</v>
      </c>
      <c r="E150" s="327">
        <f>IF(C150=0,"NA",back_valve_size)</f>
        <v>8</v>
      </c>
      <c r="F150" s="1" t="str">
        <f t="shared" ref="F150:F162" si="104">IF(C150=0,"","in. diam")</f>
        <v>in. diam</v>
      </c>
      <c r="G150" s="327">
        <f>IF(C150=0,"NA",IF(curve=1,back_valve_size,VLOOKUP(back_valve_size,pp_chv_cost_cl,2)))</f>
        <v>8</v>
      </c>
      <c r="H150" s="1" t="str">
        <f t="shared" ref="H150:H162" si="105">IF(C150=0,"","in. diam")</f>
        <v>in. diam</v>
      </c>
      <c r="I150" s="326">
        <f>IF(C150=0,"NA",IF(curve=1,pp_chv_eq_back,VLOOKUP(back_valve_size,pp_chv_cost_cl,3)))</f>
        <v>2002.4577720340001</v>
      </c>
      <c r="J150" s="323">
        <f>IF(C150=0,0,IF(I150="contact vendor","--",C150*I150))</f>
        <v>4004.9155440680001</v>
      </c>
      <c r="K150" s="327">
        <f>IF(C150=0,"NA",VLOOKUP(back_valve_size,pp_chv_cost_cl,IF(ss_cat="large",4,5)))</f>
        <v>25</v>
      </c>
      <c r="L150" s="328">
        <v>1</v>
      </c>
      <c r="M150" s="27" t="str">
        <f t="shared" ref="M150:M165" si="106">$B$149&amp;" - "&amp;B150</f>
        <v>Check Valves - Backwash - Polypropylene/PVC</v>
      </c>
      <c r="N150" s="5">
        <f t="shared" ref="N150:N165" si="107">IF(retrofit=1,$W150*X150,IF(ISBLANK(X150),"",X150))</f>
        <v>1</v>
      </c>
      <c r="O150" s="5">
        <f t="shared" ref="O150:O165" si="108">IF(retrofit=1,$W150*Y150,IF(ISBLANK(Y150),"",Y150))</f>
        <v>2</v>
      </c>
      <c r="P150" s="5">
        <f t="shared" ref="P150:P165" si="109">IF(retrofit=1,$W150*Z150,IF(ISBLANK(Z150),"",Z150))</f>
        <v>3</v>
      </c>
      <c r="Q150" s="5">
        <f t="shared" ref="Q150:Q165" si="110">IF(retrofit=1,$W150*AA150,IF(ISBLANK(AA150),"",AA150))</f>
        <v>1</v>
      </c>
      <c r="R150" s="5">
        <f t="shared" ref="R150:R165" si="111">IF(retrofit=1,$W150*AB150,IF(ISBLANK(AB150),"",AB150))</f>
        <v>2</v>
      </c>
      <c r="S150" s="5">
        <f t="shared" ref="S150:S165" si="112">IF(retrofit=1,$W150*AC150,IF(ISBLANK(AC150),"",AC150))</f>
        <v>3</v>
      </c>
      <c r="T150" s="5">
        <f t="shared" ref="T150:T165" si="113">IF(retrofit=1,$W150*AD150,IF(ISBLANK(AD150),"",AD150))</f>
        <v>1</v>
      </c>
      <c r="U150" s="5">
        <f t="shared" ref="U150:U165" si="114">IF(retrofit=1,$W150*AE150,IF(ISBLANK(AE150),"",AE150))</f>
        <v>2</v>
      </c>
      <c r="V150" s="5">
        <f t="shared" ref="V150:V165" si="115">IF(retrofit=1,$W150*AF150,IF(ISBLANK(AF150),"",AF150))</f>
        <v>3</v>
      </c>
      <c r="W150" s="445">
        <v>0</v>
      </c>
      <c r="X150" s="414">
        <v>1</v>
      </c>
      <c r="Y150" s="414">
        <v>2</v>
      </c>
      <c r="Z150" s="414">
        <v>3</v>
      </c>
      <c r="AA150" s="414">
        <v>1</v>
      </c>
      <c r="AB150" s="414">
        <v>2</v>
      </c>
      <c r="AC150" s="414">
        <v>3</v>
      </c>
      <c r="AD150" s="414">
        <v>1</v>
      </c>
      <c r="AE150" s="414">
        <v>2</v>
      </c>
      <c r="AF150" s="414">
        <v>3</v>
      </c>
      <c r="AG150" s="414">
        <f t="shared" si="64"/>
        <v>1</v>
      </c>
      <c r="AH150" s="414">
        <f t="shared" si="65"/>
        <v>160.19662176272001</v>
      </c>
    </row>
    <row r="151" spans="1:38">
      <c r="A151" s="325" t="s">
        <v>831</v>
      </c>
      <c r="B151" s="1" t="s">
        <v>686</v>
      </c>
      <c r="C151" s="65">
        <f>tot_back_chv</f>
        <v>2</v>
      </c>
      <c r="D151" s="65" t="s">
        <v>2222</v>
      </c>
      <c r="E151" s="327">
        <f>IF(C151=0,"NA",back_valve_size)</f>
        <v>8</v>
      </c>
      <c r="F151" s="1" t="str">
        <f t="shared" si="104"/>
        <v>in. diam</v>
      </c>
      <c r="G151" s="327">
        <f>IF(C151=0,"NA",IF(curve=1,back_valve_size,VLOOKUP(back_valve_size,ss_chv_cost_cl,2)))</f>
        <v>8</v>
      </c>
      <c r="H151" s="1" t="str">
        <f t="shared" si="105"/>
        <v>in. diam</v>
      </c>
      <c r="I151" s="326">
        <f>IF(C151=0,"NA",IF(curve=1,ss_chv_eq_back,VLOOKUP(back_valve_size,ss_chv_cost_cl,3)))</f>
        <v>4407.7211240980005</v>
      </c>
      <c r="J151" s="323">
        <f>IF(C151=0,0,IF(I151="contact vendor","--",C151*I151))</f>
        <v>8815.4422481960009</v>
      </c>
      <c r="K151" s="327">
        <f>IF(C151=0,"NA",VLOOKUP(back_valve_size,ss_chv_cost_cl,IF(ss_cat="large",4,5)))</f>
        <v>25</v>
      </c>
      <c r="L151" s="328">
        <v>0</v>
      </c>
      <c r="M151" s="27" t="str">
        <f t="shared" si="106"/>
        <v>Check Valves - Backwash - Stainless Steel</v>
      </c>
      <c r="N151" s="5">
        <f t="shared" si="107"/>
        <v>3</v>
      </c>
      <c r="O151" s="5">
        <f t="shared" si="108"/>
        <v>3</v>
      </c>
      <c r="P151" s="5">
        <f t="shared" si="109"/>
        <v>1</v>
      </c>
      <c r="Q151" s="5">
        <f t="shared" si="110"/>
        <v>3</v>
      </c>
      <c r="R151" s="5">
        <f t="shared" si="111"/>
        <v>3</v>
      </c>
      <c r="S151" s="5">
        <f t="shared" si="112"/>
        <v>1</v>
      </c>
      <c r="T151" s="5">
        <f t="shared" si="113"/>
        <v>3</v>
      </c>
      <c r="U151" s="5">
        <f t="shared" si="114"/>
        <v>3</v>
      </c>
      <c r="V151" s="5">
        <f t="shared" si="115"/>
        <v>1</v>
      </c>
      <c r="W151" s="445">
        <v>0</v>
      </c>
      <c r="X151" s="414">
        <v>3</v>
      </c>
      <c r="Y151" s="414">
        <v>3</v>
      </c>
      <c r="Z151" s="414">
        <v>1</v>
      </c>
      <c r="AA151" s="414">
        <v>3</v>
      </c>
      <c r="AB151" s="414">
        <v>3</v>
      </c>
      <c r="AC151" s="414">
        <v>1</v>
      </c>
      <c r="AD151" s="414">
        <v>3</v>
      </c>
      <c r="AE151" s="414">
        <v>3</v>
      </c>
      <c r="AF151" s="414">
        <v>1</v>
      </c>
      <c r="AG151" s="414">
        <f t="shared" si="64"/>
        <v>0</v>
      </c>
      <c r="AH151" s="414">
        <f t="shared" si="65"/>
        <v>0</v>
      </c>
    </row>
    <row r="152" spans="1:38">
      <c r="A152" s="325" t="s">
        <v>831</v>
      </c>
      <c r="B152" s="1" t="s">
        <v>688</v>
      </c>
      <c r="C152" s="65">
        <f>tot_back_chv</f>
        <v>2</v>
      </c>
      <c r="D152" s="65" t="s">
        <v>2222</v>
      </c>
      <c r="E152" s="327">
        <f>IF(C152=0,"NA",back_valve_size)</f>
        <v>8</v>
      </c>
      <c r="F152" s="1" t="str">
        <f t="shared" si="104"/>
        <v>in. diam</v>
      </c>
      <c r="G152" s="327">
        <f>IF(C152=0,"NA",IF(curve=1,back_valve_size,VLOOKUP(back_valve_size,ci_bfv_cost_cl,2)))</f>
        <v>8</v>
      </c>
      <c r="H152" s="1" t="str">
        <f t="shared" si="105"/>
        <v>in. diam</v>
      </c>
      <c r="I152" s="326">
        <f>IF(C152=0,"NA",IF(curve=1,ci_chv_eq_back,VLOOKUP(back_valve_size,ci_bfv_cost_cl,3)))</f>
        <v>5160.1012128540006</v>
      </c>
      <c r="J152" s="323">
        <f>IF(C152=0,0,IF(I152="contact vendor","--",C152*I152))</f>
        <v>10320.202425708001</v>
      </c>
      <c r="K152" s="327">
        <f>IF(C152=0,"NA",VLOOKUP(back_valve_size,ci_bfv_cost_cl,IF(ss_cat="large",4,5)))</f>
        <v>25</v>
      </c>
      <c r="L152" s="328">
        <v>0</v>
      </c>
      <c r="M152" s="27" t="str">
        <f t="shared" si="106"/>
        <v>Check Valves - Backwash - Cast Iron</v>
      </c>
      <c r="N152" s="5">
        <f t="shared" si="107"/>
        <v>2</v>
      </c>
      <c r="O152" s="5">
        <f t="shared" si="108"/>
        <v>1</v>
      </c>
      <c r="P152" s="5">
        <f t="shared" si="109"/>
        <v>2</v>
      </c>
      <c r="Q152" s="5">
        <f t="shared" si="110"/>
        <v>2</v>
      </c>
      <c r="R152" s="5">
        <f t="shared" si="111"/>
        <v>1</v>
      </c>
      <c r="S152" s="5">
        <f t="shared" si="112"/>
        <v>2</v>
      </c>
      <c r="T152" s="5">
        <f t="shared" si="113"/>
        <v>2</v>
      </c>
      <c r="U152" s="5">
        <f t="shared" si="114"/>
        <v>1</v>
      </c>
      <c r="V152" s="5">
        <f t="shared" si="115"/>
        <v>2</v>
      </c>
      <c r="W152" s="445">
        <v>0</v>
      </c>
      <c r="X152" s="414">
        <v>2</v>
      </c>
      <c r="Y152" s="414">
        <v>1</v>
      </c>
      <c r="Z152" s="414">
        <v>2</v>
      </c>
      <c r="AA152" s="414">
        <v>2</v>
      </c>
      <c r="AB152" s="414">
        <v>1</v>
      </c>
      <c r="AC152" s="414">
        <v>2</v>
      </c>
      <c r="AD152" s="414">
        <v>2</v>
      </c>
      <c r="AE152" s="414">
        <v>1</v>
      </c>
      <c r="AF152" s="414">
        <v>2</v>
      </c>
      <c r="AG152" s="414">
        <f t="shared" si="64"/>
        <v>0</v>
      </c>
      <c r="AH152" s="414">
        <f t="shared" si="65"/>
        <v>0</v>
      </c>
    </row>
    <row r="153" spans="1:38">
      <c r="A153" s="325" t="s">
        <v>618</v>
      </c>
      <c r="B153" s="1" t="s">
        <v>2604</v>
      </c>
      <c r="C153" s="65">
        <f>tot_res_chv</f>
        <v>2</v>
      </c>
      <c r="D153" s="65" t="s">
        <v>2222</v>
      </c>
      <c r="E153" s="327">
        <f>IF(C153=0,"NA",res_valve_size)</f>
        <v>1.5</v>
      </c>
      <c r="F153" s="1" t="str">
        <f t="shared" si="104"/>
        <v>in. diam</v>
      </c>
      <c r="G153" s="327">
        <f>IF(C153=0,"NA",IF(curve=1,res_valve_size,VLOOKUP(res_valve_size,pp_chv_cost_cl,2)))</f>
        <v>1.5</v>
      </c>
      <c r="H153" s="1" t="str">
        <f t="shared" si="105"/>
        <v>in. diam</v>
      </c>
      <c r="I153" s="326">
        <f>IF(C153=0,0,IF(curve=1,pp_chv_eq_res,VLOOKUP(res_valve_size,pp_chv_cost_cl,3)))</f>
        <v>177.82749945525001</v>
      </c>
      <c r="J153" s="323">
        <f>IF(I153=0,0,IF(I153="contact vendor","--",C153*I153))</f>
        <v>355.65499891050001</v>
      </c>
      <c r="K153" s="327">
        <f>IF(C153=0,"NA",VLOOKUP(res_valve_size,pp_chv_cost_cl,IF(ss_cat="large",4,5)))</f>
        <v>25</v>
      </c>
      <c r="L153" s="328">
        <v>1</v>
      </c>
      <c r="M153" s="27" t="str">
        <f t="shared" ref="M153:M159" si="116">$B$149&amp;" - "&amp;B153</f>
        <v>Check Valves - Residuals - Polypropylene/PVC</v>
      </c>
      <c r="N153" s="5">
        <f t="shared" si="107"/>
        <v>1</v>
      </c>
      <c r="O153" s="5">
        <f t="shared" si="108"/>
        <v>2</v>
      </c>
      <c r="P153" s="5">
        <f t="shared" si="109"/>
        <v>3</v>
      </c>
      <c r="Q153" s="5">
        <f t="shared" si="110"/>
        <v>1</v>
      </c>
      <c r="R153" s="5">
        <f t="shared" si="111"/>
        <v>2</v>
      </c>
      <c r="S153" s="5">
        <f t="shared" si="112"/>
        <v>3</v>
      </c>
      <c r="T153" s="5">
        <f t="shared" si="113"/>
        <v>1</v>
      </c>
      <c r="U153" s="5">
        <f t="shared" si="114"/>
        <v>2</v>
      </c>
      <c r="V153" s="5">
        <f t="shared" si="115"/>
        <v>3</v>
      </c>
      <c r="W153" s="445">
        <v>0</v>
      </c>
      <c r="X153" s="414">
        <v>1</v>
      </c>
      <c r="Y153" s="414">
        <v>2</v>
      </c>
      <c r="Z153" s="414">
        <v>3</v>
      </c>
      <c r="AA153" s="414">
        <v>1</v>
      </c>
      <c r="AB153" s="414">
        <v>2</v>
      </c>
      <c r="AC153" s="414">
        <v>3</v>
      </c>
      <c r="AD153" s="414">
        <v>1</v>
      </c>
      <c r="AE153" s="414">
        <v>2</v>
      </c>
      <c r="AF153" s="414">
        <v>3</v>
      </c>
      <c r="AG153" s="414">
        <f t="shared" si="64"/>
        <v>1</v>
      </c>
      <c r="AH153" s="414">
        <f t="shared" si="65"/>
        <v>14.22619995642</v>
      </c>
    </row>
    <row r="154" spans="1:38">
      <c r="A154" s="325" t="s">
        <v>618</v>
      </c>
      <c r="B154" s="1" t="s">
        <v>2605</v>
      </c>
      <c r="C154" s="65">
        <f>tot_res_chv</f>
        <v>2</v>
      </c>
      <c r="D154" s="65" t="s">
        <v>2222</v>
      </c>
      <c r="E154" s="327">
        <f>IF(C154=0,"NA",res_valve_size)</f>
        <v>1.5</v>
      </c>
      <c r="F154" s="1" t="str">
        <f t="shared" si="104"/>
        <v>in. diam</v>
      </c>
      <c r="G154" s="327">
        <f>IF(C154=0,"NA",IF(curve=1,res_valve_size,VLOOKUP(res_valve_size,ss_chv_cost_cl,2)))</f>
        <v>1.5</v>
      </c>
      <c r="H154" s="1" t="str">
        <f t="shared" si="105"/>
        <v>in. diam</v>
      </c>
      <c r="I154" s="326">
        <f>IF(C154=0,0,IF(curve=1,ss_chv_eq_res,VLOOKUP(res_valve_size,ss_chv_cost_cl,3)))</f>
        <v>492.67348989575004</v>
      </c>
      <c r="J154" s="323">
        <f>IF(I154=0,0,IF(I154="contact vendor","--",C154*I154))</f>
        <v>985.34697979150008</v>
      </c>
      <c r="K154" s="65">
        <f>IF(C154=0,"NA",VLOOKUP(res_valve_size,ss_chv_cost_cl,IF(ss_cat="large",4,5)))</f>
        <v>25</v>
      </c>
      <c r="L154" s="324">
        <v>0</v>
      </c>
      <c r="M154" s="27" t="str">
        <f t="shared" si="116"/>
        <v>Check Valves - Residuals - Stainless Steel</v>
      </c>
      <c r="N154" s="5">
        <f t="shared" si="107"/>
        <v>3</v>
      </c>
      <c r="O154" s="5">
        <f t="shared" si="108"/>
        <v>3</v>
      </c>
      <c r="P154" s="5">
        <f t="shared" si="109"/>
        <v>1</v>
      </c>
      <c r="Q154" s="5">
        <f t="shared" si="110"/>
        <v>3</v>
      </c>
      <c r="R154" s="5">
        <f t="shared" si="111"/>
        <v>3</v>
      </c>
      <c r="S154" s="5">
        <f t="shared" si="112"/>
        <v>1</v>
      </c>
      <c r="T154" s="5">
        <f t="shared" si="113"/>
        <v>3</v>
      </c>
      <c r="U154" s="5">
        <f t="shared" si="114"/>
        <v>3</v>
      </c>
      <c r="V154" s="5">
        <f t="shared" si="115"/>
        <v>1</v>
      </c>
      <c r="W154" s="445">
        <v>0</v>
      </c>
      <c r="X154" s="414">
        <v>3</v>
      </c>
      <c r="Y154" s="414">
        <v>3</v>
      </c>
      <c r="Z154" s="414">
        <v>1</v>
      </c>
      <c r="AA154" s="414">
        <v>3</v>
      </c>
      <c r="AB154" s="414">
        <v>3</v>
      </c>
      <c r="AC154" s="414">
        <v>1</v>
      </c>
      <c r="AD154" s="414">
        <v>3</v>
      </c>
      <c r="AE154" s="414">
        <v>3</v>
      </c>
      <c r="AF154" s="414">
        <v>1</v>
      </c>
      <c r="AG154" s="414">
        <f t="shared" si="64"/>
        <v>0</v>
      </c>
      <c r="AH154" s="414">
        <f t="shared" si="65"/>
        <v>0</v>
      </c>
    </row>
    <row r="155" spans="1:38">
      <c r="A155" s="325" t="s">
        <v>618</v>
      </c>
      <c r="B155" s="1" t="s">
        <v>2606</v>
      </c>
      <c r="C155" s="65">
        <f>tot_res_chv</f>
        <v>2</v>
      </c>
      <c r="D155" s="65" t="s">
        <v>2222</v>
      </c>
      <c r="E155" s="327">
        <f>IF(C155=0,"NA",res_valve_size)</f>
        <v>1.5</v>
      </c>
      <c r="F155" s="1" t="str">
        <f t="shared" si="104"/>
        <v>in. diam</v>
      </c>
      <c r="G155" s="327">
        <f>IF(C155=0,"NA",IF(curve=1,res_valve_size,VLOOKUP(res_valve_size,ci_chv_cost_cl,2)))</f>
        <v>1.5</v>
      </c>
      <c r="H155" s="1" t="str">
        <f t="shared" si="105"/>
        <v>in. diam</v>
      </c>
      <c r="I155" s="326" t="str">
        <f>IF(C155=0,0,IF(curve=1,ci_chv_eq_res,VLOOKUP(res_valve_size,ci_chv_cost_cl,3)))</f>
        <v>contact vendor</v>
      </c>
      <c r="J155" s="323" t="str">
        <f>IF(I155=0,0,IF(I155="contact vendor","--",C155*I155))</f>
        <v>--</v>
      </c>
      <c r="K155" s="327">
        <f>IF(C155=0,"NA",VLOOKUP(res_valve_size,ci_chv_cost_cl,IF(ss_cat="large",4,5)))</f>
        <v>25</v>
      </c>
      <c r="L155" s="328">
        <v>0</v>
      </c>
      <c r="M155" s="27" t="str">
        <f t="shared" si="116"/>
        <v>Check Valves - Residuals - Cast Iron</v>
      </c>
      <c r="N155" s="5">
        <f t="shared" si="107"/>
        <v>2</v>
      </c>
      <c r="O155" s="5">
        <f t="shared" si="108"/>
        <v>1</v>
      </c>
      <c r="P155" s="5">
        <f t="shared" si="109"/>
        <v>2</v>
      </c>
      <c r="Q155" s="5">
        <f t="shared" si="110"/>
        <v>2</v>
      </c>
      <c r="R155" s="5">
        <f t="shared" si="111"/>
        <v>1</v>
      </c>
      <c r="S155" s="5">
        <f t="shared" si="112"/>
        <v>2</v>
      </c>
      <c r="T155" s="5">
        <f t="shared" si="113"/>
        <v>2</v>
      </c>
      <c r="U155" s="5">
        <f t="shared" si="114"/>
        <v>1</v>
      </c>
      <c r="V155" s="5">
        <f t="shared" si="115"/>
        <v>2</v>
      </c>
      <c r="W155" s="445">
        <v>0</v>
      </c>
      <c r="X155" s="414">
        <v>2</v>
      </c>
      <c r="Y155" s="414">
        <v>1</v>
      </c>
      <c r="Z155" s="414">
        <v>2</v>
      </c>
      <c r="AA155" s="414">
        <v>2</v>
      </c>
      <c r="AB155" s="414">
        <v>1</v>
      </c>
      <c r="AC155" s="414">
        <v>2</v>
      </c>
      <c r="AD155" s="414">
        <v>2</v>
      </c>
      <c r="AE155" s="414">
        <v>1</v>
      </c>
      <c r="AF155" s="414">
        <v>2</v>
      </c>
      <c r="AG155" s="414">
        <f t="shared" si="64"/>
        <v>0</v>
      </c>
      <c r="AH155" s="414">
        <f t="shared" si="65"/>
        <v>0</v>
      </c>
    </row>
    <row r="156" spans="1:38">
      <c r="A156" s="325" t="s">
        <v>619</v>
      </c>
      <c r="B156" s="1" t="s">
        <v>3707</v>
      </c>
      <c r="C156" s="65">
        <f>tot_coag_chv</f>
        <v>0</v>
      </c>
      <c r="D156" s="65" t="s">
        <v>2222</v>
      </c>
      <c r="E156" s="327" t="str">
        <f>IF(C156=0,"NA",coag_valve_size)</f>
        <v>NA</v>
      </c>
      <c r="F156" s="1" t="str">
        <f>IF(C156=0,"","in. diam")</f>
        <v/>
      </c>
      <c r="G156" s="327" t="str">
        <f>IF(C156=0,"NA",IF(curve=1,coag_valve_size,VLOOKUP(coag_valve_size,pp_chv_cost_cl,2)))</f>
        <v>NA</v>
      </c>
      <c r="H156" s="1" t="str">
        <f>IF(C156=0,"","in. diam")</f>
        <v/>
      </c>
      <c r="I156" s="326" t="str">
        <f>IF(C156=0,"NA",IF(curve=1,pp_chv_eq_coag,VLOOKUP(coag_valve_size,pp_chv_cost_cl,3)))</f>
        <v>NA</v>
      </c>
      <c r="J156" s="323" t="str">
        <f t="shared" ref="J156" si="117">IF(OR(C156=0,I156="contact vendor"),"--",C156*I156)</f>
        <v>--</v>
      </c>
      <c r="K156" s="327" t="str">
        <f>IF(C156=0,"NA",VLOOKUP(coag_valve_size,pp_chv_cost_cl,IF(ss_cat="large",4,5)))</f>
        <v>NA</v>
      </c>
      <c r="L156" s="328"/>
      <c r="M156" s="27" t="str">
        <f t="shared" ref="M156" si="118">$B$149&amp;" - "&amp;B156</f>
        <v>Check Valves - Ferric Chloride - Polypropylene/PVC</v>
      </c>
      <c r="N156" s="5">
        <f t="shared" si="107"/>
        <v>1</v>
      </c>
      <c r="O156" s="5">
        <f t="shared" si="108"/>
        <v>1</v>
      </c>
      <c r="P156" s="5">
        <f t="shared" si="109"/>
        <v>1</v>
      </c>
      <c r="Q156" s="5">
        <f t="shared" si="110"/>
        <v>1</v>
      </c>
      <c r="R156" s="5">
        <f t="shared" si="111"/>
        <v>1</v>
      </c>
      <c r="S156" s="5">
        <f t="shared" si="112"/>
        <v>1</v>
      </c>
      <c r="T156" s="5">
        <f t="shared" si="113"/>
        <v>1</v>
      </c>
      <c r="U156" s="5">
        <f t="shared" si="114"/>
        <v>1</v>
      </c>
      <c r="V156" s="5">
        <f t="shared" si="115"/>
        <v>1</v>
      </c>
      <c r="W156" s="445">
        <v>0</v>
      </c>
      <c r="X156" s="414">
        <v>1</v>
      </c>
      <c r="Y156" s="414">
        <v>1</v>
      </c>
      <c r="Z156" s="414">
        <v>1</v>
      </c>
      <c r="AA156" s="414">
        <v>1</v>
      </c>
      <c r="AB156" s="414">
        <v>1</v>
      </c>
      <c r="AC156" s="414">
        <v>1</v>
      </c>
      <c r="AD156" s="414">
        <v>1</v>
      </c>
      <c r="AE156" s="414">
        <v>1</v>
      </c>
      <c r="AF156" s="414">
        <v>1</v>
      </c>
      <c r="AG156" s="414">
        <f t="shared" ref="AG156" si="119">IF(ISERROR(K156*L156),0,IF(K156&lt;1,0,L156))</f>
        <v>0</v>
      </c>
      <c r="AH156" s="414">
        <f t="shared" ref="AH156" si="120">IF(AG156,J156/K156,0)</f>
        <v>0</v>
      </c>
    </row>
    <row r="157" spans="1:38">
      <c r="A157" s="325" t="s">
        <v>620</v>
      </c>
      <c r="B157" s="1" t="s">
        <v>1795</v>
      </c>
      <c r="C157" s="65">
        <f>tot_polymer_chv</f>
        <v>0</v>
      </c>
      <c r="D157" s="65" t="s">
        <v>2222</v>
      </c>
      <c r="E157" s="327" t="str">
        <f>IF(C157=0,"NA",polymer_valve_size)</f>
        <v>NA</v>
      </c>
      <c r="F157" s="1" t="str">
        <f>IF(C157=0,"","in. diam")</f>
        <v/>
      </c>
      <c r="G157" s="327" t="str">
        <f>IF(C157=0,"NA",IF(curve=1,polymer_valve_size,VLOOKUP(polymer_valve_size,pp_chv_cost_cl,2)))</f>
        <v>NA</v>
      </c>
      <c r="H157" s="1" t="str">
        <f>IF(C157=0,"","in. diam")</f>
        <v/>
      </c>
      <c r="I157" s="326" t="str">
        <f>IF(C157=0,"NA",IF(curve=1,pp_chv_eq_polymer,VLOOKUP(polymer_valve_size,pp_chv_cost_cl,3)))</f>
        <v>NA</v>
      </c>
      <c r="J157" s="323" t="str">
        <f t="shared" ref="J157:J162" si="121">IF(OR(C157=0,I157="contact vendor"),"--",C157*I157)</f>
        <v>--</v>
      </c>
      <c r="K157" s="327" t="str">
        <f>IF(C157=0,"NA",VLOOKUP(polymer_valve_size,pp_chv_cost_cl,IF(ss_cat="large",4,5)))</f>
        <v>NA</v>
      </c>
      <c r="L157" s="328"/>
      <c r="M157" s="27" t="str">
        <f t="shared" si="116"/>
        <v>Check Valves - Polymer - Polypropylene/PVC</v>
      </c>
      <c r="N157" s="5">
        <f t="shared" ref="N157:V159" si="122">IF(retrofit=1,$W157*X157,IF(ISBLANK(X157),"",X157))</f>
        <v>1</v>
      </c>
      <c r="O157" s="5">
        <f t="shared" si="122"/>
        <v>2</v>
      </c>
      <c r="P157" s="5">
        <f t="shared" si="122"/>
        <v>3</v>
      </c>
      <c r="Q157" s="5">
        <f t="shared" si="122"/>
        <v>1</v>
      </c>
      <c r="R157" s="5">
        <f t="shared" si="122"/>
        <v>2</v>
      </c>
      <c r="S157" s="5">
        <f t="shared" si="122"/>
        <v>3</v>
      </c>
      <c r="T157" s="5">
        <f t="shared" si="122"/>
        <v>1</v>
      </c>
      <c r="U157" s="5">
        <f t="shared" si="122"/>
        <v>2</v>
      </c>
      <c r="V157" s="5">
        <f t="shared" si="122"/>
        <v>3</v>
      </c>
      <c r="W157" s="445">
        <v>0</v>
      </c>
      <c r="X157" s="414">
        <v>1</v>
      </c>
      <c r="Y157" s="414">
        <v>2</v>
      </c>
      <c r="Z157" s="414">
        <v>3</v>
      </c>
      <c r="AA157" s="414">
        <v>1</v>
      </c>
      <c r="AB157" s="414">
        <v>2</v>
      </c>
      <c r="AC157" s="414">
        <v>3</v>
      </c>
      <c r="AD157" s="414">
        <v>1</v>
      </c>
      <c r="AE157" s="414">
        <v>2</v>
      </c>
      <c r="AF157" s="414">
        <v>3</v>
      </c>
      <c r="AG157" s="414">
        <f t="shared" si="64"/>
        <v>0</v>
      </c>
      <c r="AH157" s="414">
        <f t="shared" si="65"/>
        <v>0</v>
      </c>
    </row>
    <row r="158" spans="1:38">
      <c r="A158" s="325" t="s">
        <v>620</v>
      </c>
      <c r="B158" s="1" t="s">
        <v>1796</v>
      </c>
      <c r="C158" s="65">
        <f>tot_polymer_chv</f>
        <v>0</v>
      </c>
      <c r="D158" s="65" t="s">
        <v>2222</v>
      </c>
      <c r="E158" s="327" t="str">
        <f>IF(C158=0,"NA",polymer_valve_size)</f>
        <v>NA</v>
      </c>
      <c r="F158" s="1" t="str">
        <f>IF(C158=0,"","in. diam")</f>
        <v/>
      </c>
      <c r="G158" s="327" t="str">
        <f>IF(C158=0,"NA",IF(curve=1,polymer_valve_size,VLOOKUP(polymer_valve_size,ss_chv_cost_cl,2)))</f>
        <v>NA</v>
      </c>
      <c r="H158" s="1" t="str">
        <f>IF(C158=0,"","in. diam")</f>
        <v/>
      </c>
      <c r="I158" s="326" t="str">
        <f>IF(C158=0,"NA",IF(curve=1,ss_chv_eq_polymer,VLOOKUP(polymer_valve_size,ss_chv_cost_cl,3)))</f>
        <v>NA</v>
      </c>
      <c r="J158" s="323" t="str">
        <f t="shared" si="121"/>
        <v>--</v>
      </c>
      <c r="K158" s="327" t="str">
        <f>IF(C158=0,"NA",VLOOKUP(polymer_valve_size,ss_chv_cost_cl,IF(ss_cat="large",4,5)))</f>
        <v>NA</v>
      </c>
      <c r="L158" s="324"/>
      <c r="M158" s="27" t="str">
        <f t="shared" si="116"/>
        <v>Check Valves - Polymer - Stainless Steel</v>
      </c>
      <c r="N158" s="5">
        <f t="shared" si="122"/>
        <v>3</v>
      </c>
      <c r="O158" s="5">
        <f t="shared" si="122"/>
        <v>3</v>
      </c>
      <c r="P158" s="5">
        <f t="shared" si="122"/>
        <v>1</v>
      </c>
      <c r="Q158" s="5">
        <f t="shared" si="122"/>
        <v>3</v>
      </c>
      <c r="R158" s="5">
        <f t="shared" si="122"/>
        <v>3</v>
      </c>
      <c r="S158" s="5">
        <f t="shared" si="122"/>
        <v>1</v>
      </c>
      <c r="T158" s="5">
        <f t="shared" si="122"/>
        <v>3</v>
      </c>
      <c r="U158" s="5">
        <f t="shared" si="122"/>
        <v>3</v>
      </c>
      <c r="V158" s="5">
        <f t="shared" si="122"/>
        <v>1</v>
      </c>
      <c r="W158" s="445">
        <v>0</v>
      </c>
      <c r="X158" s="414">
        <v>3</v>
      </c>
      <c r="Y158" s="414">
        <v>3</v>
      </c>
      <c r="Z158" s="414">
        <v>1</v>
      </c>
      <c r="AA158" s="414">
        <v>3</v>
      </c>
      <c r="AB158" s="414">
        <v>3</v>
      </c>
      <c r="AC158" s="414">
        <v>1</v>
      </c>
      <c r="AD158" s="414">
        <v>3</v>
      </c>
      <c r="AE158" s="414">
        <v>3</v>
      </c>
      <c r="AF158" s="414">
        <v>1</v>
      </c>
      <c r="AG158" s="414">
        <f t="shared" si="64"/>
        <v>0</v>
      </c>
      <c r="AH158" s="414">
        <f t="shared" si="65"/>
        <v>0</v>
      </c>
    </row>
    <row r="159" spans="1:38">
      <c r="A159" s="325" t="s">
        <v>620</v>
      </c>
      <c r="B159" s="1" t="s">
        <v>1797</v>
      </c>
      <c r="C159" s="65">
        <f>tot_polymer_chv</f>
        <v>0</v>
      </c>
      <c r="D159" s="65" t="s">
        <v>2222</v>
      </c>
      <c r="E159" s="327" t="str">
        <f>IF(C159=0,"NA",polymer_valve_size)</f>
        <v>NA</v>
      </c>
      <c r="F159" s="1" t="str">
        <f>IF(C159=0,"","in. diam")</f>
        <v/>
      </c>
      <c r="G159" s="327" t="str">
        <f>IF(C159=0,"NA",IF(curve=1,polymer_valve_size,VLOOKUP(polymer_valve_size,ci_chv_cost_cl,2)))</f>
        <v>NA</v>
      </c>
      <c r="H159" s="1" t="str">
        <f>IF(C159=0,"","in. diam")</f>
        <v/>
      </c>
      <c r="I159" s="326" t="str">
        <f>IF(C159=0,"NA",IF(curve=1,ci_chv_eq_polymer,VLOOKUP(polymer_valve_size,ci_chv_cost_cl,3)))</f>
        <v>NA</v>
      </c>
      <c r="J159" s="323" t="str">
        <f t="shared" si="121"/>
        <v>--</v>
      </c>
      <c r="K159" s="327" t="str">
        <f>IF(C159=0,"NA",VLOOKUP(polymer_valve_size,ci_chv_cost_cl,IF(ss_cat="large",4,5)))</f>
        <v>NA</v>
      </c>
      <c r="L159" s="328"/>
      <c r="M159" s="27" t="str">
        <f t="shared" si="116"/>
        <v>Check Valves - Polymer - Cast Iron</v>
      </c>
      <c r="N159" s="5">
        <f t="shared" si="122"/>
        <v>2</v>
      </c>
      <c r="O159" s="5">
        <f t="shared" si="122"/>
        <v>1</v>
      </c>
      <c r="P159" s="5">
        <f t="shared" si="122"/>
        <v>2</v>
      </c>
      <c r="Q159" s="5">
        <f t="shared" si="122"/>
        <v>2</v>
      </c>
      <c r="R159" s="5">
        <f t="shared" si="122"/>
        <v>1</v>
      </c>
      <c r="S159" s="5">
        <f t="shared" si="122"/>
        <v>2</v>
      </c>
      <c r="T159" s="5">
        <f t="shared" si="122"/>
        <v>2</v>
      </c>
      <c r="U159" s="5">
        <f t="shared" si="122"/>
        <v>1</v>
      </c>
      <c r="V159" s="5">
        <f t="shared" si="122"/>
        <v>2</v>
      </c>
      <c r="W159" s="445">
        <v>0</v>
      </c>
      <c r="X159" s="414">
        <v>2</v>
      </c>
      <c r="Y159" s="414">
        <v>1</v>
      </c>
      <c r="Z159" s="414">
        <v>2</v>
      </c>
      <c r="AA159" s="414">
        <v>2</v>
      </c>
      <c r="AB159" s="414">
        <v>1</v>
      </c>
      <c r="AC159" s="414">
        <v>2</v>
      </c>
      <c r="AD159" s="414">
        <v>2</v>
      </c>
      <c r="AE159" s="414">
        <v>1</v>
      </c>
      <c r="AF159" s="414">
        <v>2</v>
      </c>
      <c r="AG159" s="414">
        <f t="shared" si="64"/>
        <v>0</v>
      </c>
      <c r="AH159" s="414">
        <f t="shared" si="65"/>
        <v>0</v>
      </c>
    </row>
    <row r="160" spans="1:38">
      <c r="A160" s="325" t="s">
        <v>1794</v>
      </c>
      <c r="B160" s="1" t="s">
        <v>3774</v>
      </c>
      <c r="C160" s="65">
        <f>tot_in_chv</f>
        <v>1</v>
      </c>
      <c r="D160" s="65" t="s">
        <v>2222</v>
      </c>
      <c r="E160" s="327">
        <f>IF(C160=0,"NA",in_valve_size)</f>
        <v>10</v>
      </c>
      <c r="F160" s="1" t="str">
        <f t="shared" si="104"/>
        <v>in. diam</v>
      </c>
      <c r="G160" s="327">
        <f>IF(C160=0,"NA",IF(curve=1,in_valve_size,VLOOKUP(in_valve_size,pp_chv_cost_cl,2)))</f>
        <v>10</v>
      </c>
      <c r="H160" s="1" t="str">
        <f t="shared" si="105"/>
        <v>in. diam</v>
      </c>
      <c r="I160" s="326">
        <f>IF(C160=0,"NA",IF(curve=1,pp_chv_eq_in,VLOOKUP(in_valve_size,pp_chv_cost_cl,3)))</f>
        <v>2969.62455361</v>
      </c>
      <c r="J160" s="323">
        <f t="shared" si="121"/>
        <v>2969.62455361</v>
      </c>
      <c r="K160" s="327">
        <f>IF(C160=0,"NA",VLOOKUP(in_valve_size,pp_chv_cost_cl,IF(ss_cat="large",4,5)))</f>
        <v>25</v>
      </c>
      <c r="L160" s="328">
        <v>1</v>
      </c>
      <c r="M160" s="27" t="str">
        <f t="shared" si="106"/>
        <v>Check Valves - Influent - Polypropylene/PVC</v>
      </c>
      <c r="N160" s="5">
        <f t="shared" si="107"/>
        <v>1</v>
      </c>
      <c r="O160" s="5">
        <f t="shared" si="108"/>
        <v>2</v>
      </c>
      <c r="P160" s="5">
        <f t="shared" si="109"/>
        <v>3</v>
      </c>
      <c r="Q160" s="5">
        <f t="shared" si="110"/>
        <v>1</v>
      </c>
      <c r="R160" s="5">
        <f t="shared" si="111"/>
        <v>2</v>
      </c>
      <c r="S160" s="5">
        <f t="shared" si="112"/>
        <v>3</v>
      </c>
      <c r="T160" s="5">
        <f t="shared" si="113"/>
        <v>1</v>
      </c>
      <c r="U160" s="5">
        <f t="shared" si="114"/>
        <v>2</v>
      </c>
      <c r="V160" s="5">
        <f t="shared" si="115"/>
        <v>3</v>
      </c>
      <c r="W160" s="445">
        <v>0</v>
      </c>
      <c r="X160" s="414">
        <v>1</v>
      </c>
      <c r="Y160" s="414">
        <v>2</v>
      </c>
      <c r="Z160" s="414">
        <v>3</v>
      </c>
      <c r="AA160" s="414">
        <v>1</v>
      </c>
      <c r="AB160" s="414">
        <v>2</v>
      </c>
      <c r="AC160" s="414">
        <v>3</v>
      </c>
      <c r="AD160" s="414">
        <v>1</v>
      </c>
      <c r="AE160" s="414">
        <v>2</v>
      </c>
      <c r="AF160" s="414">
        <v>3</v>
      </c>
      <c r="AG160" s="414">
        <f t="shared" si="64"/>
        <v>1</v>
      </c>
      <c r="AH160" s="414">
        <f t="shared" si="65"/>
        <v>118.7849821444</v>
      </c>
    </row>
    <row r="161" spans="1:38">
      <c r="A161" s="325" t="s">
        <v>1794</v>
      </c>
      <c r="B161" s="1" t="s">
        <v>3775</v>
      </c>
      <c r="C161" s="65">
        <f>tot_in_chv</f>
        <v>1</v>
      </c>
      <c r="D161" s="65" t="s">
        <v>2222</v>
      </c>
      <c r="E161" s="327">
        <f>IF(C161=0,"NA",in_valve_size)</f>
        <v>10</v>
      </c>
      <c r="F161" s="1" t="str">
        <f t="shared" si="104"/>
        <v>in. diam</v>
      </c>
      <c r="G161" s="327">
        <f>IF(C161=0,"NA",IF(curve=1,in_valve_size,VLOOKUP(in_valve_size,ss_chv_cost_cl,2)))</f>
        <v>10</v>
      </c>
      <c r="H161" s="1" t="str">
        <f t="shared" si="105"/>
        <v>in. diam</v>
      </c>
      <c r="I161" s="326">
        <f>IF(C161=0,"NA",IF(curve=1,ss_chv_eq_in,VLOOKUP(in_valve_size,ss_chv_cost_cl,3)))</f>
        <v>6355.9204678860006</v>
      </c>
      <c r="J161" s="323">
        <f t="shared" si="121"/>
        <v>6355.9204678860006</v>
      </c>
      <c r="K161" s="327">
        <f>IF(C161=0,"NA",VLOOKUP(in_valve_size,ss_chv_cost_cl,IF(ss_cat="large",4,5)))</f>
        <v>25</v>
      </c>
      <c r="L161" s="324">
        <v>0</v>
      </c>
      <c r="M161" s="27" t="str">
        <f t="shared" si="106"/>
        <v>Check Valves - Influent - Stainless Steel</v>
      </c>
      <c r="N161" s="5">
        <f t="shared" si="107"/>
        <v>3</v>
      </c>
      <c r="O161" s="5">
        <f t="shared" si="108"/>
        <v>3</v>
      </c>
      <c r="P161" s="5">
        <f t="shared" si="109"/>
        <v>1</v>
      </c>
      <c r="Q161" s="5">
        <f t="shared" si="110"/>
        <v>3</v>
      </c>
      <c r="R161" s="5">
        <f t="shared" si="111"/>
        <v>3</v>
      </c>
      <c r="S161" s="5">
        <f t="shared" si="112"/>
        <v>1</v>
      </c>
      <c r="T161" s="5">
        <f t="shared" si="113"/>
        <v>3</v>
      </c>
      <c r="U161" s="5">
        <f t="shared" si="114"/>
        <v>3</v>
      </c>
      <c r="V161" s="5">
        <f t="shared" si="115"/>
        <v>1</v>
      </c>
      <c r="W161" s="445">
        <v>0</v>
      </c>
      <c r="X161" s="414">
        <v>3</v>
      </c>
      <c r="Y161" s="414">
        <v>3</v>
      </c>
      <c r="Z161" s="414">
        <v>1</v>
      </c>
      <c r="AA161" s="414">
        <v>3</v>
      </c>
      <c r="AB161" s="414">
        <v>3</v>
      </c>
      <c r="AC161" s="414">
        <v>1</v>
      </c>
      <c r="AD161" s="414">
        <v>3</v>
      </c>
      <c r="AE161" s="414">
        <v>3</v>
      </c>
      <c r="AF161" s="414">
        <v>1</v>
      </c>
      <c r="AG161" s="414">
        <f t="shared" si="64"/>
        <v>0</v>
      </c>
      <c r="AH161" s="414">
        <f t="shared" si="65"/>
        <v>0</v>
      </c>
    </row>
    <row r="162" spans="1:38">
      <c r="A162" s="325" t="s">
        <v>1794</v>
      </c>
      <c r="B162" s="1" t="s">
        <v>3776</v>
      </c>
      <c r="C162" s="65">
        <f>tot_in_chv</f>
        <v>1</v>
      </c>
      <c r="D162" s="65" t="s">
        <v>2222</v>
      </c>
      <c r="E162" s="327">
        <f>IF(C162=0,"NA",in_valve_size)</f>
        <v>10</v>
      </c>
      <c r="F162" s="1" t="str">
        <f t="shared" si="104"/>
        <v>in. diam</v>
      </c>
      <c r="G162" s="327">
        <f>IF(C162=0,"NA",IF(curve=1,in_valve_size,VLOOKUP(in_valve_size,ci_chv_cost_cl,2)))</f>
        <v>10</v>
      </c>
      <c r="H162" s="1" t="str">
        <f t="shared" si="105"/>
        <v>in. diam</v>
      </c>
      <c r="I162" s="326">
        <f>IF(C162=0,"NA",IF(curve=1,ci_chv_eq_in,VLOOKUP(in_valve_size,ci_chv_cost_cl,3)))</f>
        <v>8480.7544933100016</v>
      </c>
      <c r="J162" s="323">
        <f t="shared" si="121"/>
        <v>8480.7544933100016</v>
      </c>
      <c r="K162" s="327">
        <f>IF(C162=0,"NA",VLOOKUP(in_valve_size,ci_chv_cost_cl,IF(ss_cat="large",4,5)))</f>
        <v>25</v>
      </c>
      <c r="L162" s="328">
        <v>0</v>
      </c>
      <c r="M162" s="27" t="str">
        <f t="shared" si="106"/>
        <v>Check Valves - Influent - Cast Iron</v>
      </c>
      <c r="N162" s="5">
        <f t="shared" si="107"/>
        <v>2</v>
      </c>
      <c r="O162" s="5">
        <f t="shared" si="108"/>
        <v>1</v>
      </c>
      <c r="P162" s="5">
        <f t="shared" si="109"/>
        <v>2</v>
      </c>
      <c r="Q162" s="5">
        <f t="shared" si="110"/>
        <v>2</v>
      </c>
      <c r="R162" s="5">
        <f t="shared" si="111"/>
        <v>1</v>
      </c>
      <c r="S162" s="5">
        <f t="shared" si="112"/>
        <v>2</v>
      </c>
      <c r="T162" s="5">
        <f t="shared" si="113"/>
        <v>2</v>
      </c>
      <c r="U162" s="5">
        <f t="shared" si="114"/>
        <v>1</v>
      </c>
      <c r="V162" s="5">
        <f t="shared" si="115"/>
        <v>2</v>
      </c>
      <c r="W162" s="445">
        <v>0</v>
      </c>
      <c r="X162" s="414">
        <v>2</v>
      </c>
      <c r="Y162" s="414">
        <v>1</v>
      </c>
      <c r="Z162" s="414">
        <v>2</v>
      </c>
      <c r="AA162" s="414">
        <v>2</v>
      </c>
      <c r="AB162" s="414">
        <v>1</v>
      </c>
      <c r="AC162" s="414">
        <v>2</v>
      </c>
      <c r="AD162" s="414">
        <v>2</v>
      </c>
      <c r="AE162" s="414">
        <v>1</v>
      </c>
      <c r="AF162" s="414">
        <v>2</v>
      </c>
      <c r="AG162" s="414">
        <f t="shared" si="64"/>
        <v>0</v>
      </c>
      <c r="AH162" s="414">
        <f t="shared" si="65"/>
        <v>0</v>
      </c>
    </row>
    <row r="163" spans="1:38">
      <c r="A163" s="325" t="s">
        <v>3710</v>
      </c>
      <c r="B163" s="65" t="s">
        <v>216</v>
      </c>
      <c r="C163" s="65">
        <f>IF(bp_pct&gt;0,tot_bp_chv,0)</f>
        <v>0</v>
      </c>
      <c r="D163" s="65" t="s">
        <v>2222</v>
      </c>
      <c r="E163" s="327" t="str">
        <f>IF(bp_pct=0,"NA",bypass_valve_size)</f>
        <v>NA</v>
      </c>
      <c r="F163" s="1" t="str">
        <f>IF(bp_pct=0," ","in. diam")</f>
        <v xml:space="preserve"> </v>
      </c>
      <c r="G163" s="327" t="str">
        <f>IF(bp_pct=0,"NA",(IF(curve=1,bypass_valve_size,VLOOKUP(bypass_valve_size,pp_chv_cost_cl,2))))</f>
        <v>NA</v>
      </c>
      <c r="H163" s="1" t="str">
        <f>IF(bp_pct=0," ","in. diam")</f>
        <v xml:space="preserve"> </v>
      </c>
      <c r="I163" s="336" t="str">
        <f>IF(bp_pct=0,"NA",(IF(curve=1,pp_chv_eq_bp,VLOOKUP(bypass_valve_size,pp_chv_cost_cl,3))))</f>
        <v>NA</v>
      </c>
      <c r="J163" s="323" t="str">
        <f>IF(bp_pct=0,"--",IF(I163="contact vendor","--",C163*I163))</f>
        <v>--</v>
      </c>
      <c r="K163" s="327" t="str">
        <f>IF(C163=0,"NA",VLOOKUP(E163,pp_chv_cost_cl,IF(ss_cat="large",4,5)))</f>
        <v>NA</v>
      </c>
      <c r="L163" s="328"/>
      <c r="M163" s="27" t="str">
        <f t="shared" si="106"/>
        <v>Check Valves - Bypass - Polypropylene/PVC</v>
      </c>
      <c r="N163" s="5">
        <f t="shared" si="107"/>
        <v>1</v>
      </c>
      <c r="O163" s="5">
        <f t="shared" si="108"/>
        <v>2</v>
      </c>
      <c r="P163" s="5">
        <f t="shared" si="109"/>
        <v>3</v>
      </c>
      <c r="Q163" s="5">
        <f t="shared" si="110"/>
        <v>1</v>
      </c>
      <c r="R163" s="5">
        <f t="shared" si="111"/>
        <v>2</v>
      </c>
      <c r="S163" s="5">
        <f t="shared" si="112"/>
        <v>3</v>
      </c>
      <c r="T163" s="5">
        <f t="shared" si="113"/>
        <v>1</v>
      </c>
      <c r="U163" s="5">
        <f t="shared" si="114"/>
        <v>2</v>
      </c>
      <c r="V163" s="5">
        <f t="shared" si="115"/>
        <v>3</v>
      </c>
      <c r="W163" s="445">
        <v>0</v>
      </c>
      <c r="X163" s="414">
        <v>1</v>
      </c>
      <c r="Y163" s="414">
        <v>2</v>
      </c>
      <c r="Z163" s="414">
        <v>3</v>
      </c>
      <c r="AA163" s="414">
        <v>1</v>
      </c>
      <c r="AB163" s="414">
        <v>2</v>
      </c>
      <c r="AC163" s="414">
        <v>3</v>
      </c>
      <c r="AD163" s="414">
        <v>1</v>
      </c>
      <c r="AE163" s="414">
        <v>2</v>
      </c>
      <c r="AF163" s="414">
        <v>3</v>
      </c>
      <c r="AG163" s="414">
        <f t="shared" si="64"/>
        <v>0</v>
      </c>
      <c r="AH163" s="414">
        <f t="shared" si="65"/>
        <v>0</v>
      </c>
    </row>
    <row r="164" spans="1:38">
      <c r="A164" s="325" t="s">
        <v>3710</v>
      </c>
      <c r="B164" s="65" t="s">
        <v>217</v>
      </c>
      <c r="C164" s="65">
        <f>IF(bp_pct&gt;0,tot_bp_chv,0)</f>
        <v>0</v>
      </c>
      <c r="D164" s="65" t="s">
        <v>2222</v>
      </c>
      <c r="E164" s="327" t="str">
        <f>IF(bp_pct=0,"NA",bypass_valve_size)</f>
        <v>NA</v>
      </c>
      <c r="F164" s="1" t="str">
        <f>IF(bp_pct=0," ","in. diam")</f>
        <v xml:space="preserve"> </v>
      </c>
      <c r="G164" s="327" t="str">
        <f>IF(bp_pct=0,"NA",(IF(curve=1,bypass_valve_size,VLOOKUP(bypass_valve_size,ss_chv_cost_cl,2))))</f>
        <v>NA</v>
      </c>
      <c r="H164" s="1" t="str">
        <f>IF(bp_pct=0," ","in. diam")</f>
        <v xml:space="preserve"> </v>
      </c>
      <c r="I164" s="336" t="str">
        <f>IF(bp_pct=0,"NA",(IF(curve=1,ss_chv_eq_bp,VLOOKUP(bypass_valve_size,ss_chv_cost_cl,3))))</f>
        <v>NA</v>
      </c>
      <c r="J164" s="323" t="str">
        <f>IF(bp_pct=0,"--",IF(I164="contact vendor","--",C164*I164))</f>
        <v>--</v>
      </c>
      <c r="K164" s="327" t="str">
        <f>IF(C164=0,"NA",VLOOKUP(E164,ss_chv_cost_cl,IF(ss_cat="large",4,5)))</f>
        <v>NA</v>
      </c>
      <c r="L164" s="328"/>
      <c r="M164" s="27" t="str">
        <f t="shared" si="106"/>
        <v>Check Valves - Bypass - Stainless Steel</v>
      </c>
      <c r="N164" s="5">
        <f t="shared" si="107"/>
        <v>3</v>
      </c>
      <c r="O164" s="5">
        <f t="shared" si="108"/>
        <v>3</v>
      </c>
      <c r="P164" s="5">
        <f t="shared" si="109"/>
        <v>1</v>
      </c>
      <c r="Q164" s="5">
        <f t="shared" si="110"/>
        <v>3</v>
      </c>
      <c r="R164" s="5">
        <f t="shared" si="111"/>
        <v>3</v>
      </c>
      <c r="S164" s="5">
        <f t="shared" si="112"/>
        <v>1</v>
      </c>
      <c r="T164" s="5">
        <f t="shared" si="113"/>
        <v>3</v>
      </c>
      <c r="U164" s="5">
        <f t="shared" si="114"/>
        <v>3</v>
      </c>
      <c r="V164" s="5">
        <f t="shared" si="115"/>
        <v>1</v>
      </c>
      <c r="W164" s="445">
        <v>0</v>
      </c>
      <c r="X164" s="414">
        <v>3</v>
      </c>
      <c r="Y164" s="414">
        <v>3</v>
      </c>
      <c r="Z164" s="414">
        <v>1</v>
      </c>
      <c r="AA164" s="414">
        <v>3</v>
      </c>
      <c r="AB164" s="414">
        <v>3</v>
      </c>
      <c r="AC164" s="414">
        <v>1</v>
      </c>
      <c r="AD164" s="414">
        <v>3</v>
      </c>
      <c r="AE164" s="414">
        <v>3</v>
      </c>
      <c r="AF164" s="414">
        <v>1</v>
      </c>
      <c r="AG164" s="414">
        <f t="shared" si="64"/>
        <v>0</v>
      </c>
      <c r="AH164" s="414">
        <f t="shared" si="65"/>
        <v>0</v>
      </c>
    </row>
    <row r="165" spans="1:38">
      <c r="A165" s="325" t="s">
        <v>3710</v>
      </c>
      <c r="B165" s="65" t="s">
        <v>218</v>
      </c>
      <c r="C165" s="65">
        <f>IF(bp_pct&gt;0,tot_bp_chv,0)</f>
        <v>0</v>
      </c>
      <c r="D165" s="65" t="s">
        <v>2222</v>
      </c>
      <c r="E165" s="327" t="str">
        <f>IF(bp_pct=0,"NA",bypass_valve_size)</f>
        <v>NA</v>
      </c>
      <c r="F165" s="1" t="str">
        <f>IF(bp_pct=0," ","in. diam")</f>
        <v xml:space="preserve"> </v>
      </c>
      <c r="G165" s="327" t="str">
        <f>IF(bp_pct=0,"NA",(IF(curve=1,bypass_valve_size,VLOOKUP(bypass_valve_size,ci_chv_cost_cl,2))))</f>
        <v>NA</v>
      </c>
      <c r="H165" s="1" t="str">
        <f>IF(bp_pct=0," ","in. diam")</f>
        <v xml:space="preserve"> </v>
      </c>
      <c r="I165" s="336" t="str">
        <f>IF(bp_pct=0,"NA",(IF(curve=1,ci_chv_eq_bp,VLOOKUP(bypass_valve_size,ci_chv_cost_cl,3))))</f>
        <v>NA</v>
      </c>
      <c r="J165" s="323" t="str">
        <f>IF(bp_pct=0,"--",IF(I165="contact vendor","--",C165*I165))</f>
        <v>--</v>
      </c>
      <c r="K165" s="327" t="str">
        <f>IF(C165=0,"NA",VLOOKUP(E165,ci_chv_cost_cl,IF(ss_cat="large",4,5)))</f>
        <v>NA</v>
      </c>
      <c r="L165" s="328"/>
      <c r="M165" s="27" t="str">
        <f t="shared" si="106"/>
        <v>Check Valves - Bypass - Cast Iron</v>
      </c>
      <c r="N165" s="5">
        <f t="shared" si="107"/>
        <v>2</v>
      </c>
      <c r="O165" s="5">
        <f t="shared" si="108"/>
        <v>1</v>
      </c>
      <c r="P165" s="5">
        <f t="shared" si="109"/>
        <v>2</v>
      </c>
      <c r="Q165" s="5">
        <f t="shared" si="110"/>
        <v>2</v>
      </c>
      <c r="R165" s="5">
        <f t="shared" si="111"/>
        <v>1</v>
      </c>
      <c r="S165" s="5">
        <f t="shared" si="112"/>
        <v>2</v>
      </c>
      <c r="T165" s="5">
        <f t="shared" si="113"/>
        <v>2</v>
      </c>
      <c r="U165" s="5">
        <f t="shared" si="114"/>
        <v>1</v>
      </c>
      <c r="V165" s="5">
        <f t="shared" si="115"/>
        <v>2</v>
      </c>
      <c r="W165" s="445">
        <v>0</v>
      </c>
      <c r="X165" s="414">
        <v>2</v>
      </c>
      <c r="Y165" s="414">
        <v>1</v>
      </c>
      <c r="Z165" s="414">
        <v>2</v>
      </c>
      <c r="AA165" s="414">
        <v>2</v>
      </c>
      <c r="AB165" s="414">
        <v>1</v>
      </c>
      <c r="AC165" s="414">
        <v>2</v>
      </c>
      <c r="AD165" s="414">
        <v>2</v>
      </c>
      <c r="AE165" s="414">
        <v>1</v>
      </c>
      <c r="AF165" s="414">
        <v>2</v>
      </c>
      <c r="AG165" s="414">
        <f t="shared" si="64"/>
        <v>0</v>
      </c>
      <c r="AH165" s="414">
        <f t="shared" si="65"/>
        <v>0</v>
      </c>
    </row>
    <row r="166" spans="1:38">
      <c r="A166" s="191" t="s">
        <v>621</v>
      </c>
      <c r="B166" s="14" t="s">
        <v>715</v>
      </c>
      <c r="C166" s="24"/>
      <c r="D166" s="24"/>
      <c r="E166" s="24"/>
      <c r="F166" s="14"/>
      <c r="G166" s="24"/>
      <c r="H166" s="14"/>
      <c r="I166" s="24"/>
      <c r="J166" s="24"/>
      <c r="K166" s="24"/>
      <c r="L166" s="193"/>
      <c r="M166" s="27"/>
      <c r="AG166" s="414">
        <f t="shared" si="64"/>
        <v>0</v>
      </c>
      <c r="AH166" s="414">
        <f t="shared" si="65"/>
        <v>0</v>
      </c>
    </row>
    <row r="167" spans="1:38">
      <c r="A167" s="390" t="s">
        <v>622</v>
      </c>
      <c r="B167" s="308" t="s">
        <v>716</v>
      </c>
      <c r="C167" s="65">
        <f>total_booster_pumps</f>
        <v>1</v>
      </c>
      <c r="D167" s="65" t="s">
        <v>2222</v>
      </c>
      <c r="E167" s="321">
        <f>IF(C167=0,"NA",pump_rating)</f>
        <v>1868.0555555555554</v>
      </c>
      <c r="F167" s="65" t="str">
        <f>IF(C167=0,"","gpm")</f>
        <v>gpm</v>
      </c>
      <c r="G167" s="321">
        <f>IF(C167=0,"NA",IF(curve=1,pump_rating,VLOOKUP(pump_rating,pump_cost_cl,2)))</f>
        <v>1868.0555555555554</v>
      </c>
      <c r="H167" s="65" t="str">
        <f>IF(C167=0,"","gpm")</f>
        <v>gpm</v>
      </c>
      <c r="I167" s="326">
        <f>IF(C167=0,"NA",IF(curve=1,pump_eq,VLOOKUP(pump_rating,pump_cost_cl,3)))</f>
        <v>29419.399557293564</v>
      </c>
      <c r="J167" s="323">
        <f>IF(C167=0,"--",IF(I167="contact vendor","--",C167*I167))</f>
        <v>29419.399557293564</v>
      </c>
      <c r="K167" s="327">
        <f>IF(C167=0,"NA",VLOOKUP(pump_rating,pump_cost_cl,IF(ss_cat="large",4,5)))</f>
        <v>20</v>
      </c>
      <c r="L167" s="324">
        <v>1</v>
      </c>
      <c r="M167" s="27" t="str">
        <f>$B$166&amp;" - "&amp;B167</f>
        <v>Pumps - Booster</v>
      </c>
      <c r="N167" s="5">
        <f t="shared" ref="N167:T169" si="123">IF(retrofit=1,$W167*X167,IF(ISBLANK(X167),"",X167))</f>
        <v>1</v>
      </c>
      <c r="O167" s="5">
        <f t="shared" si="123"/>
        <v>1</v>
      </c>
      <c r="P167" s="5">
        <f t="shared" si="123"/>
        <v>1</v>
      </c>
      <c r="Q167" s="5">
        <f t="shared" si="123"/>
        <v>1</v>
      </c>
      <c r="R167" s="5">
        <f t="shared" si="123"/>
        <v>1</v>
      </c>
      <c r="S167" s="5">
        <f t="shared" si="123"/>
        <v>1</v>
      </c>
      <c r="T167" s="5">
        <f t="shared" si="123"/>
        <v>1</v>
      </c>
      <c r="U167" s="5">
        <f t="shared" ref="U167:V169" si="124">IF(retrofit=1,$W167*AE167,IF(ISBLANK(AE167),"",AE167))</f>
        <v>1</v>
      </c>
      <c r="V167" s="5">
        <f t="shared" si="124"/>
        <v>1</v>
      </c>
      <c r="W167" s="445">
        <v>0</v>
      </c>
      <c r="X167" s="414">
        <v>1</v>
      </c>
      <c r="Y167" s="414">
        <v>1</v>
      </c>
      <c r="Z167" s="414">
        <v>1</v>
      </c>
      <c r="AA167" s="414">
        <v>1</v>
      </c>
      <c r="AB167" s="414">
        <v>1</v>
      </c>
      <c r="AC167" s="414">
        <v>1</v>
      </c>
      <c r="AD167" s="414">
        <v>1</v>
      </c>
      <c r="AE167" s="414">
        <v>1</v>
      </c>
      <c r="AF167" s="414">
        <v>1</v>
      </c>
      <c r="AG167" s="414">
        <f t="shared" si="64"/>
        <v>1</v>
      </c>
      <c r="AH167" s="414">
        <f t="shared" si="65"/>
        <v>1470.9699778646782</v>
      </c>
    </row>
    <row r="168" spans="1:38">
      <c r="A168" s="390" t="s">
        <v>623</v>
      </c>
      <c r="B168" s="308" t="s">
        <v>717</v>
      </c>
      <c r="C168" s="1">
        <f>backwash_pumps</f>
        <v>2</v>
      </c>
      <c r="D168" s="1" t="s">
        <v>2222</v>
      </c>
      <c r="E168" s="321">
        <f>IF(C168=0,"NA",back_pump_rating)</f>
        <v>1177.5</v>
      </c>
      <c r="F168" s="1" t="str">
        <f>IF(C168=0,"","gpm")</f>
        <v>gpm</v>
      </c>
      <c r="G168" s="321">
        <f>IF(C168=0,"NA",IF(curve=1,back_pump_rating,VLOOKUP(back_pump_rating,back_pump_cost_cl,2)))</f>
        <v>1177.5</v>
      </c>
      <c r="H168" s="1" t="str">
        <f>IF(C168=0,"","gpm")</f>
        <v>gpm</v>
      </c>
      <c r="I168" s="326">
        <f>IF(C168=0,"NA",IF(curve=1,pump_eq_back,VLOOKUP(back_pump_rating,back_pump_cost_cl,3)))</f>
        <v>20602.109041098502</v>
      </c>
      <c r="J168" s="323">
        <f>IF(C168=0,"--",(IF(I168="contact vendor","--",C168*I168)))</f>
        <v>41204.218082197003</v>
      </c>
      <c r="K168" s="120">
        <f>IF(C168=0,"NA",VLOOKUP(back_pump_rating,back_pump_cost_cl,IF(ss_cat="large",4,5)))</f>
        <v>20</v>
      </c>
      <c r="L168" s="334">
        <v>1</v>
      </c>
      <c r="M168" s="27" t="str">
        <f>$B$166&amp;" - "&amp;B168</f>
        <v>Pumps - Backwash</v>
      </c>
      <c r="N168" s="5">
        <f t="shared" si="123"/>
        <v>1</v>
      </c>
      <c r="O168" s="5">
        <f t="shared" si="123"/>
        <v>1</v>
      </c>
      <c r="P168" s="5">
        <f t="shared" si="123"/>
        <v>1</v>
      </c>
      <c r="Q168" s="5">
        <f t="shared" si="123"/>
        <v>1</v>
      </c>
      <c r="R168" s="5">
        <f t="shared" si="123"/>
        <v>1</v>
      </c>
      <c r="S168" s="5">
        <f t="shared" si="123"/>
        <v>1</v>
      </c>
      <c r="T168" s="5">
        <f t="shared" si="123"/>
        <v>1</v>
      </c>
      <c r="U168" s="5">
        <f t="shared" si="124"/>
        <v>1</v>
      </c>
      <c r="V168" s="5">
        <f t="shared" si="124"/>
        <v>1</v>
      </c>
      <c r="W168" s="445">
        <v>0</v>
      </c>
      <c r="X168" s="414">
        <v>1</v>
      </c>
      <c r="Y168" s="414">
        <v>1</v>
      </c>
      <c r="Z168" s="414">
        <v>1</v>
      </c>
      <c r="AA168" s="414">
        <v>1</v>
      </c>
      <c r="AB168" s="414">
        <v>1</v>
      </c>
      <c r="AC168" s="414">
        <v>1</v>
      </c>
      <c r="AD168" s="414">
        <v>1</v>
      </c>
      <c r="AE168" s="414">
        <v>1</v>
      </c>
      <c r="AF168" s="414">
        <v>1</v>
      </c>
      <c r="AG168" s="414">
        <f t="shared" si="64"/>
        <v>1</v>
      </c>
      <c r="AH168" s="414">
        <f t="shared" si="65"/>
        <v>2060.2109041098502</v>
      </c>
    </row>
    <row r="169" spans="1:38">
      <c r="A169" s="390" t="s">
        <v>624</v>
      </c>
      <c r="B169" s="337" t="s">
        <v>2601</v>
      </c>
      <c r="C169" s="65">
        <f>res_pumps</f>
        <v>2</v>
      </c>
      <c r="D169" s="65" t="s">
        <v>2222</v>
      </c>
      <c r="E169" s="321">
        <f>IF(res_pumps=0,"NA",res_pump_rating)</f>
        <v>11.681547619047619</v>
      </c>
      <c r="F169" s="65" t="str">
        <f>IF(C169=0,"","gpm")</f>
        <v>gpm</v>
      </c>
      <c r="G169" s="321">
        <f>IF(res_pumps=0,"NA",IF(curve=1,res_pump_rating,VLOOKUP(res_pump_rating,pump_cost_cl,2)))</f>
        <v>11.681547619047619</v>
      </c>
      <c r="H169" s="65" t="str">
        <f>IF(C169=0,"","gpm")</f>
        <v>gpm</v>
      </c>
      <c r="I169" s="326">
        <f>IF(res_pumps=0,"NA",IF(curve=1,res_pump_eq,VLOOKUP(res_pump_rating,pump_cost_cl,3)))</f>
        <v>4266.3954671906031</v>
      </c>
      <c r="J169" s="323">
        <f>IF(OR(C169=0,I169="contact vendor"),"--",C169*I169)</f>
        <v>8532.7909343812062</v>
      </c>
      <c r="K169" s="120">
        <f>IF(res_pumps=0,"NA",VLOOKUP(res_pump_rating,pump_cost_cl,IF(ss_cat="large",4,5)))</f>
        <v>20</v>
      </c>
      <c r="L169" s="334">
        <v>1</v>
      </c>
      <c r="M169" s="27" t="str">
        <f>$B$166&amp;" - "&amp;B169</f>
        <v>Pumps - Residuals</v>
      </c>
      <c r="N169" s="5">
        <f t="shared" si="123"/>
        <v>1</v>
      </c>
      <c r="O169" s="5">
        <f t="shared" si="123"/>
        <v>1</v>
      </c>
      <c r="P169" s="5">
        <f t="shared" si="123"/>
        <v>1</v>
      </c>
      <c r="Q169" s="5">
        <f t="shared" si="123"/>
        <v>1</v>
      </c>
      <c r="R169" s="5">
        <f t="shared" si="123"/>
        <v>1</v>
      </c>
      <c r="S169" s="5">
        <f t="shared" si="123"/>
        <v>1</v>
      </c>
      <c r="T169" s="5">
        <f t="shared" si="123"/>
        <v>1</v>
      </c>
      <c r="U169" s="5">
        <f t="shared" si="124"/>
        <v>1</v>
      </c>
      <c r="V169" s="5">
        <f t="shared" si="124"/>
        <v>1</v>
      </c>
      <c r="W169" s="445">
        <v>0</v>
      </c>
      <c r="X169" s="414">
        <v>1</v>
      </c>
      <c r="Y169" s="414">
        <v>1</v>
      </c>
      <c r="Z169" s="414">
        <v>1</v>
      </c>
      <c r="AA169" s="414">
        <v>1</v>
      </c>
      <c r="AB169" s="414">
        <v>1</v>
      </c>
      <c r="AC169" s="414">
        <v>1</v>
      </c>
      <c r="AD169" s="414">
        <v>1</v>
      </c>
      <c r="AE169" s="414">
        <v>1</v>
      </c>
      <c r="AF169" s="414">
        <v>1</v>
      </c>
      <c r="AG169" s="414">
        <f t="shared" si="64"/>
        <v>1</v>
      </c>
      <c r="AH169" s="414">
        <f t="shared" si="65"/>
        <v>426.63954671906032</v>
      </c>
    </row>
    <row r="170" spans="1:38">
      <c r="A170" s="498">
        <v>5.4</v>
      </c>
      <c r="B170" s="900" t="s">
        <v>3699</v>
      </c>
      <c r="C170" s="506"/>
      <c r="D170" s="668"/>
      <c r="E170" s="507"/>
      <c r="F170" s="671"/>
      <c r="G170" s="508"/>
      <c r="H170" s="671"/>
      <c r="I170" s="509"/>
      <c r="J170" s="510"/>
      <c r="K170" s="234"/>
      <c r="L170" s="393"/>
      <c r="M170" s="31"/>
      <c r="AG170">
        <f t="shared" ref="AG170:AG172" si="125">IF(ISERROR(K170*L170),0,IF(K170&lt;1,0,L170))</f>
        <v>0</v>
      </c>
      <c r="AH170">
        <f t="shared" ref="AH170:AH172" si="126">IF(AG170,J170/K170,0)</f>
        <v>0</v>
      </c>
    </row>
    <row r="171" spans="1:38">
      <c r="A171" s="325" t="s">
        <v>2330</v>
      </c>
      <c r="B171" s="1" t="s">
        <v>2313</v>
      </c>
      <c r="C171" s="65">
        <f>cm_pumps_coag</f>
        <v>0</v>
      </c>
      <c r="D171" s="1" t="s">
        <v>2222</v>
      </c>
      <c r="E171" s="501" t="str">
        <f>IF(C171=0,"NA",IF(C171=0,"NA",cm_pump_rating_coag))</f>
        <v>NA</v>
      </c>
      <c r="F171" s="1" t="str">
        <f>IF(C171=0,"","gph")</f>
        <v/>
      </c>
      <c r="G171" s="501" t="str">
        <f>IF(C171=0,"NA",IF(curve=1,cm_pump_rating_coag,VLOOKUP(cm_pump_rating_coag,pvc_mmpump_cost_cl,2)))</f>
        <v>NA</v>
      </c>
      <c r="H171" s="483" t="str">
        <f>IF(C171=0,"","gph")</f>
        <v/>
      </c>
      <c r="I171" s="502" t="str">
        <f>IF(C171=0,"NA",IF(curve=1,pvc_coag_mmpump_eq,VLOOKUP(cm_pump_rating_coag,pvc_mmpump_cost_cl,3)))</f>
        <v>NA</v>
      </c>
      <c r="J171" s="485" t="str">
        <f>IF(C171=0,"--",(IF(I171="contact vendor","--",C171*I171)))</f>
        <v>--</v>
      </c>
      <c r="K171" s="120" t="str">
        <f>IF(C171=0,"NA",VLOOKUP(cm_pump_rating_coag,pvc_mmpump_cost_cl,IF(ss_cat="large",4,5)))</f>
        <v>NA</v>
      </c>
      <c r="L171" s="334"/>
      <c r="M171" s="31" t="str">
        <f>$B$166&amp;" - "&amp;$B$170&amp;" - "&amp;B171</f>
        <v>Pumps - Ferric Chloride Metering - PVC - Motor Driven</v>
      </c>
      <c r="N171" s="5">
        <f t="shared" ref="N171:N172" si="127">IF(retrofit=1,$W171*X171,IF(ISBLANK(X171),"",X171))</f>
        <v>2</v>
      </c>
      <c r="O171" s="5">
        <f t="shared" ref="O171:O172" si="128">IF(retrofit=1,$W171*Y171,IF(ISBLANK(Y171),"",Y171))</f>
        <v>2</v>
      </c>
      <c r="P171" s="5">
        <f t="shared" ref="P171:P172" si="129">IF(retrofit=1,$W171*Z171,IF(ISBLANK(Z171),"",Z171))</f>
        <v>1</v>
      </c>
      <c r="Q171" s="5">
        <f t="shared" ref="Q171:Q172" si="130">IF(retrofit=1,$W171*AA171,IF(ISBLANK(AA171),"",AA171))</f>
        <v>2</v>
      </c>
      <c r="R171" s="5">
        <f t="shared" ref="R171:R172" si="131">IF(retrofit=1,$W171*AB171,IF(ISBLANK(AB171),"",AB171))</f>
        <v>2</v>
      </c>
      <c r="S171" s="5">
        <f t="shared" ref="S171:S172" si="132">IF(retrofit=1,$W171*AC171,IF(ISBLANK(AC171),"",AC171))</f>
        <v>1</v>
      </c>
      <c r="T171" s="5">
        <f t="shared" ref="T171:T172" si="133">IF(retrofit=1,$W171*AD171,IF(ISBLANK(AD171),"",AD171))</f>
        <v>2</v>
      </c>
      <c r="U171" s="5">
        <f t="shared" ref="U171:U172" si="134">IF(retrofit=1,$W171*AE171,IF(ISBLANK(AE171),"",AE171))</f>
        <v>2</v>
      </c>
      <c r="V171" s="5">
        <f t="shared" ref="V171:V172" si="135">IF(retrofit=1,$W171*AF171,IF(ISBLANK(AF171),"",AF171))</f>
        <v>1</v>
      </c>
      <c r="W171" s="445">
        <v>0</v>
      </c>
      <c r="X171" s="931">
        <v>2</v>
      </c>
      <c r="Y171" s="931">
        <v>2</v>
      </c>
      <c r="Z171" s="931">
        <v>1</v>
      </c>
      <c r="AA171" s="931">
        <v>2</v>
      </c>
      <c r="AB171" s="931">
        <v>2</v>
      </c>
      <c r="AC171" s="931">
        <v>1</v>
      </c>
      <c r="AD171" s="931">
        <v>2</v>
      </c>
      <c r="AE171" s="931">
        <v>2</v>
      </c>
      <c r="AF171" s="931">
        <v>1</v>
      </c>
      <c r="AG171">
        <f t="shared" si="125"/>
        <v>0</v>
      </c>
      <c r="AH171">
        <f t="shared" si="126"/>
        <v>0</v>
      </c>
    </row>
    <row r="172" spans="1:38">
      <c r="A172" s="325" t="s">
        <v>2330</v>
      </c>
      <c r="B172" s="1" t="s">
        <v>2319</v>
      </c>
      <c r="C172" s="65">
        <f>cm_pumps_coag</f>
        <v>0</v>
      </c>
      <c r="D172" s="1" t="s">
        <v>2222</v>
      </c>
      <c r="E172" s="501" t="str">
        <f>IF(C172=0,"NA",IF(C172=0,"NA",cm_pump_rating_coag))</f>
        <v>NA</v>
      </c>
      <c r="F172" s="1" t="str">
        <f>IF(C172=0,"","gph")</f>
        <v/>
      </c>
      <c r="G172" s="501" t="str">
        <f>IF(C172=0,"NA",IF(curve=1,cm_pump_rating_coag,VLOOKUP(cm_pump_rating_coag,pvc_empump_cost_cl,2)))</f>
        <v>NA</v>
      </c>
      <c r="H172" s="483" t="str">
        <f>IF(C172=0,"","gph")</f>
        <v/>
      </c>
      <c r="I172" s="502" t="str">
        <f>IF(C172=0,"NA",IF(curve=1,pvc_coag_empump_eq,VLOOKUP(cm_pump_rating_coag,pvc_empump_cost_cl,3)))</f>
        <v>NA</v>
      </c>
      <c r="J172" s="485" t="str">
        <f>IF(C172=0,"--",(IF(I172="contact vendor","--",C172*I172)))</f>
        <v>--</v>
      </c>
      <c r="K172" s="120" t="str">
        <f>IF(C172=0,"NA",VLOOKUP(cm_pump_rating_coag,pvc_empump_cost_cl,IF(ss_cat="large",4,5)))</f>
        <v>NA</v>
      </c>
      <c r="L172" s="334"/>
      <c r="M172" s="31" t="str">
        <f>$B$166&amp;" - "&amp;$B$170&amp;" - "&amp;B172</f>
        <v>Pumps - Ferric Chloride Metering - PVC - Electric</v>
      </c>
      <c r="N172" s="5">
        <f t="shared" si="127"/>
        <v>1</v>
      </c>
      <c r="O172" s="5">
        <f t="shared" si="128"/>
        <v>1</v>
      </c>
      <c r="P172" s="5">
        <f t="shared" si="129"/>
        <v>2</v>
      </c>
      <c r="Q172" s="5">
        <f t="shared" si="130"/>
        <v>1</v>
      </c>
      <c r="R172" s="5">
        <f t="shared" si="131"/>
        <v>1</v>
      </c>
      <c r="S172" s="5">
        <f t="shared" si="132"/>
        <v>2</v>
      </c>
      <c r="T172" s="5">
        <f t="shared" si="133"/>
        <v>1</v>
      </c>
      <c r="U172" s="5">
        <f t="shared" si="134"/>
        <v>1</v>
      </c>
      <c r="V172" s="5">
        <f t="shared" si="135"/>
        <v>2</v>
      </c>
      <c r="W172" s="445">
        <v>0</v>
      </c>
      <c r="X172" s="931">
        <v>1</v>
      </c>
      <c r="Y172" s="931">
        <v>1</v>
      </c>
      <c r="Z172" s="931">
        <v>2</v>
      </c>
      <c r="AA172" s="931">
        <v>1</v>
      </c>
      <c r="AB172" s="931">
        <v>1</v>
      </c>
      <c r="AC172" s="931">
        <v>2</v>
      </c>
      <c r="AD172" s="931">
        <v>1</v>
      </c>
      <c r="AE172" s="931">
        <v>1</v>
      </c>
      <c r="AF172" s="931">
        <v>2</v>
      </c>
      <c r="AG172">
        <f t="shared" si="125"/>
        <v>0</v>
      </c>
      <c r="AH172">
        <f t="shared" si="126"/>
        <v>0</v>
      </c>
    </row>
    <row r="173" spans="1:38">
      <c r="A173" s="498">
        <v>5.5</v>
      </c>
      <c r="B173" s="83" t="s">
        <v>2329</v>
      </c>
      <c r="C173" s="506"/>
      <c r="D173" s="668"/>
      <c r="E173" s="507"/>
      <c r="F173" s="671"/>
      <c r="G173" s="508"/>
      <c r="H173" s="671"/>
      <c r="I173" s="509"/>
      <c r="J173" s="510"/>
      <c r="K173" s="234"/>
      <c r="L173" s="393"/>
      <c r="M173" s="31"/>
      <c r="AG173">
        <f t="shared" si="64"/>
        <v>0</v>
      </c>
      <c r="AH173">
        <f t="shared" si="65"/>
        <v>0</v>
      </c>
      <c r="AI173" s="18"/>
      <c r="AJ173" s="18"/>
      <c r="AL173" s="18"/>
    </row>
    <row r="174" spans="1:38" s="1" customFormat="1">
      <c r="A174" s="325" t="s">
        <v>3711</v>
      </c>
      <c r="B174" s="1" t="s">
        <v>2313</v>
      </c>
      <c r="C174" s="65">
        <f>cm_pumps_polymer</f>
        <v>0</v>
      </c>
      <c r="D174" s="1" t="s">
        <v>2222</v>
      </c>
      <c r="E174" s="501" t="str">
        <f>IF(C174=0,"NA",IF(C174=0,"NA",cm_pump_rating_polymer))</f>
        <v>NA</v>
      </c>
      <c r="F174" s="1" t="str">
        <f>IF(C174=0,"","gph")</f>
        <v/>
      </c>
      <c r="G174" s="501" t="str">
        <f>IF(C174=0,"NA",IF(curve=1,cm_pump_rating_polymer,VLOOKUP(cm_pump_rating_polymer,pvc_mmpump_cost_cl,2)))</f>
        <v>NA</v>
      </c>
      <c r="H174" s="483" t="str">
        <f>IF(C174=0,"","gph")</f>
        <v/>
      </c>
      <c r="I174" s="502" t="str">
        <f>IF(C174=0,"NA",IF(curve=1,pvc_polymer_mmpump_eq,VLOOKUP(cm_pump_rating_polymer,pvc_mmpump_cost_cl,3)))</f>
        <v>NA</v>
      </c>
      <c r="J174" s="485" t="str">
        <f>IF(C174=0,"--",(IF(I174="contact vendor","--",C174*I174)))</f>
        <v>--</v>
      </c>
      <c r="K174" s="120" t="str">
        <f>IF(C174=0,"NA",VLOOKUP(cm_pump_rating_polymer,pvc_mmpump_cost_cl,IF(ss_cat="large",4,5)))</f>
        <v>NA</v>
      </c>
      <c r="L174" s="334"/>
      <c r="M174" s="31" t="str">
        <f>$B$166&amp;" - "&amp;$B$173&amp;" - "&amp;B174</f>
        <v>Pumps - Polymer Metering - PVC - Motor Driven</v>
      </c>
      <c r="N174" s="5">
        <f t="shared" ref="N174:V177" si="136">IF(retrofit=1,$W174*X174,IF(ISBLANK(X174),"",X174))</f>
        <v>3</v>
      </c>
      <c r="O174" s="5">
        <f t="shared" si="136"/>
        <v>3</v>
      </c>
      <c r="P174" s="5">
        <f t="shared" si="136"/>
        <v>2</v>
      </c>
      <c r="Q174" s="5">
        <f t="shared" si="136"/>
        <v>4</v>
      </c>
      <c r="R174" s="5">
        <f t="shared" si="136"/>
        <v>4</v>
      </c>
      <c r="S174" s="5">
        <f t="shared" si="136"/>
        <v>1</v>
      </c>
      <c r="T174" s="5">
        <f t="shared" si="136"/>
        <v>4</v>
      </c>
      <c r="U174" s="5">
        <f t="shared" si="136"/>
        <v>4</v>
      </c>
      <c r="V174" s="5">
        <f t="shared" si="136"/>
        <v>1</v>
      </c>
      <c r="W174" s="445">
        <v>0</v>
      </c>
      <c r="X174" s="931">
        <v>3</v>
      </c>
      <c r="Y174" s="931">
        <v>3</v>
      </c>
      <c r="Z174" s="931">
        <v>2</v>
      </c>
      <c r="AA174" s="931">
        <v>4</v>
      </c>
      <c r="AB174" s="931">
        <v>4</v>
      </c>
      <c r="AC174" s="931">
        <v>1</v>
      </c>
      <c r="AD174" s="931">
        <v>4</v>
      </c>
      <c r="AE174" s="931">
        <v>4</v>
      </c>
      <c r="AF174" s="931">
        <v>1</v>
      </c>
      <c r="AG174">
        <f t="shared" si="64"/>
        <v>0</v>
      </c>
      <c r="AH174">
        <f t="shared" si="65"/>
        <v>0</v>
      </c>
      <c r="AI174" s="153"/>
      <c r="AJ174" s="153"/>
      <c r="AL174" s="153"/>
    </row>
    <row r="175" spans="1:38" s="1" customFormat="1">
      <c r="A175" s="325" t="s">
        <v>3711</v>
      </c>
      <c r="B175" s="1" t="s">
        <v>2316</v>
      </c>
      <c r="C175" s="65">
        <f>cm_pumps_polymer</f>
        <v>0</v>
      </c>
      <c r="D175" s="1" t="s">
        <v>2222</v>
      </c>
      <c r="E175" s="501" t="str">
        <f>IF(C175=0,"NA",IF(C175=0,"NA",cm_pump_rating_polymer))</f>
        <v>NA</v>
      </c>
      <c r="F175" s="1" t="str">
        <f>IF(C175=0,"","gph")</f>
        <v/>
      </c>
      <c r="G175" s="501" t="str">
        <f>IF(C175=0,"NA",IF(curve=1,cm_pump_rating_polymer,VLOOKUP(cm_pump_rating_polymer,ss_mmpump_cost_cl,2)))</f>
        <v>NA</v>
      </c>
      <c r="H175" s="483" t="str">
        <f>IF(C175=0,"","gph")</f>
        <v/>
      </c>
      <c r="I175" s="502" t="str">
        <f>IF(C175=0,"NA",IF(curve=1,ss_polymer_mmpump_eq,VLOOKUP(cm_pump_rating_polymer,ss_mmpump_cost_cl,3)))</f>
        <v>NA</v>
      </c>
      <c r="J175" s="485" t="str">
        <f>IF(C175=0,"--",(IF(I175="contact vendor","--",C175*I175)))</f>
        <v>--</v>
      </c>
      <c r="K175" s="120" t="str">
        <f>IF(C175=0,"NA",VLOOKUP(cm_pump_rating_polymer,ss_mmpump_cost_cl,IF(ss_cat="large",4,5)))</f>
        <v>NA</v>
      </c>
      <c r="L175" s="334"/>
      <c r="M175" s="31" t="str">
        <f>$B$166&amp;" - "&amp;$B$173&amp;" - "&amp;B175</f>
        <v>Pumps - Polymer Metering - Stainless Steel - Motor Driven</v>
      </c>
      <c r="N175" s="5">
        <f t="shared" si="136"/>
        <v>4</v>
      </c>
      <c r="O175" s="5">
        <f t="shared" si="136"/>
        <v>4</v>
      </c>
      <c r="P175" s="5">
        <f t="shared" si="136"/>
        <v>1</v>
      </c>
      <c r="Q175" s="5">
        <f t="shared" si="136"/>
        <v>3</v>
      </c>
      <c r="R175" s="5">
        <f t="shared" si="136"/>
        <v>3</v>
      </c>
      <c r="S175" s="5">
        <f t="shared" si="136"/>
        <v>2</v>
      </c>
      <c r="T175" s="5">
        <f t="shared" si="136"/>
        <v>3</v>
      </c>
      <c r="U175" s="5">
        <f t="shared" si="136"/>
        <v>3</v>
      </c>
      <c r="V175" s="5">
        <f t="shared" si="136"/>
        <v>2</v>
      </c>
      <c r="W175" s="445">
        <v>0</v>
      </c>
      <c r="X175" s="931">
        <v>4</v>
      </c>
      <c r="Y175" s="931">
        <v>4</v>
      </c>
      <c r="Z175" s="931">
        <v>1</v>
      </c>
      <c r="AA175" s="931">
        <v>3</v>
      </c>
      <c r="AB175" s="931">
        <v>3</v>
      </c>
      <c r="AC175" s="931">
        <v>2</v>
      </c>
      <c r="AD175" s="931">
        <v>3</v>
      </c>
      <c r="AE175" s="931">
        <v>3</v>
      </c>
      <c r="AF175" s="931">
        <v>2</v>
      </c>
      <c r="AG175">
        <f t="shared" si="64"/>
        <v>0</v>
      </c>
      <c r="AH175">
        <f t="shared" si="65"/>
        <v>0</v>
      </c>
      <c r="AI175" s="153"/>
      <c r="AJ175" s="153"/>
      <c r="AL175" s="153"/>
    </row>
    <row r="176" spans="1:38" s="1" customFormat="1">
      <c r="A176" s="325" t="s">
        <v>3711</v>
      </c>
      <c r="B176" s="1" t="s">
        <v>2319</v>
      </c>
      <c r="C176" s="65">
        <f>cm_pumps_polymer</f>
        <v>0</v>
      </c>
      <c r="D176" s="1" t="s">
        <v>2222</v>
      </c>
      <c r="E176" s="501" t="str">
        <f>IF(C176=0,"NA",IF(C176=0,"NA",cm_pump_rating_polymer))</f>
        <v>NA</v>
      </c>
      <c r="F176" s="1" t="str">
        <f>IF(C176=0,"","gph")</f>
        <v/>
      </c>
      <c r="G176" s="501" t="str">
        <f>IF(C176=0,"NA",IF(curve=1,cm_pump_rating_polymer,VLOOKUP(cm_pump_rating_polymer,pvc_empump_cost_cl,2)))</f>
        <v>NA</v>
      </c>
      <c r="H176" s="483" t="str">
        <f>IF(C176=0,"","gph")</f>
        <v/>
      </c>
      <c r="I176" s="502" t="str">
        <f>IF(C176=0,"NA",IF(curve=1,pvc_polymer_empump_eq,VLOOKUP(cm_pump_rating_polymer,pvc_empump_cost_cl,3)))</f>
        <v>NA</v>
      </c>
      <c r="J176" s="485" t="str">
        <f>IF(C176=0,"--",(IF(I176="contact vendor","--",C176*I176)))</f>
        <v>--</v>
      </c>
      <c r="K176" s="120" t="str">
        <f>IF(C176=0,"NA",VLOOKUP(cm_pump_rating_polymer,pvc_empump_cost_cl,IF(ss_cat="large",4,5)))</f>
        <v>NA</v>
      </c>
      <c r="L176" s="334"/>
      <c r="M176" s="31" t="str">
        <f>$B$166&amp;" - "&amp;$B$173&amp;" - "&amp;B176</f>
        <v>Pumps - Polymer Metering - PVC - Electric</v>
      </c>
      <c r="N176" s="5">
        <f t="shared" si="136"/>
        <v>1</v>
      </c>
      <c r="O176" s="5">
        <f t="shared" si="136"/>
        <v>2</v>
      </c>
      <c r="P176" s="5">
        <f t="shared" si="136"/>
        <v>4</v>
      </c>
      <c r="Q176" s="5">
        <f t="shared" si="136"/>
        <v>1</v>
      </c>
      <c r="R176" s="5">
        <f t="shared" si="136"/>
        <v>2</v>
      </c>
      <c r="S176" s="5">
        <f t="shared" si="136"/>
        <v>4</v>
      </c>
      <c r="T176" s="5">
        <f t="shared" si="136"/>
        <v>1</v>
      </c>
      <c r="U176" s="5">
        <f t="shared" si="136"/>
        <v>2</v>
      </c>
      <c r="V176" s="5">
        <f t="shared" si="136"/>
        <v>4</v>
      </c>
      <c r="W176" s="445">
        <v>0</v>
      </c>
      <c r="X176" s="931">
        <v>1</v>
      </c>
      <c r="Y176" s="931">
        <v>2</v>
      </c>
      <c r="Z176" s="931">
        <v>4</v>
      </c>
      <c r="AA176" s="931">
        <v>1</v>
      </c>
      <c r="AB176" s="931">
        <v>2</v>
      </c>
      <c r="AC176" s="931">
        <v>4</v>
      </c>
      <c r="AD176" s="931">
        <v>1</v>
      </c>
      <c r="AE176" s="931">
        <v>2</v>
      </c>
      <c r="AF176" s="931">
        <v>4</v>
      </c>
      <c r="AG176">
        <f t="shared" si="64"/>
        <v>0</v>
      </c>
      <c r="AH176">
        <f t="shared" si="65"/>
        <v>0</v>
      </c>
      <c r="AI176" s="153"/>
      <c r="AJ176" s="153"/>
      <c r="AL176" s="153"/>
    </row>
    <row r="177" spans="1:38" s="1" customFormat="1">
      <c r="A177" s="325" t="s">
        <v>3711</v>
      </c>
      <c r="B177" s="1" t="s">
        <v>2322</v>
      </c>
      <c r="C177" s="65">
        <f>cm_pumps_polymer</f>
        <v>0</v>
      </c>
      <c r="D177" s="1" t="s">
        <v>2222</v>
      </c>
      <c r="E177" s="501" t="str">
        <f>IF(C177=0,"NA",IF(C177=0,"NA",cm_pump_rating_polymer))</f>
        <v>NA</v>
      </c>
      <c r="F177" s="1" t="str">
        <f>IF(C177=0,"","gph")</f>
        <v/>
      </c>
      <c r="G177" s="501" t="str">
        <f>IF(C177=0,"NA",IF(curve=1,cm_pump_rating_polymer,VLOOKUP(cm_pump_rating_polymer,ss_empump_cost_cl,2)))</f>
        <v>NA</v>
      </c>
      <c r="H177" s="483" t="str">
        <f>IF(C177=0,"","gph")</f>
        <v/>
      </c>
      <c r="I177" s="502" t="str">
        <f>IF(C177=0,"NA",IF(curve=1,ss_polymer_empump_eq,VLOOKUP(cm_pump_rating_polymer,ss_empump_cost_cl,3)))</f>
        <v>NA</v>
      </c>
      <c r="J177" s="485" t="str">
        <f>IF(C177=0,"--",(IF(I177="contact vendor","--",C177*I177)))</f>
        <v>--</v>
      </c>
      <c r="K177" s="120" t="str">
        <f>IF(C177=0,"NA",VLOOKUP(cm_pump_rating_polymer,ss_empump_cost_cl,IF(ss_cat="large",4,5)))</f>
        <v>NA</v>
      </c>
      <c r="L177" s="334"/>
      <c r="M177" s="31" t="str">
        <f>$B$166&amp;" - "&amp;$B$173&amp;" - "&amp;B177</f>
        <v>Pumps - Polymer Metering - Stainless Steel - Electric</v>
      </c>
      <c r="N177" s="5">
        <f t="shared" si="136"/>
        <v>2</v>
      </c>
      <c r="O177" s="5">
        <f t="shared" si="136"/>
        <v>1</v>
      </c>
      <c r="P177" s="5">
        <f t="shared" si="136"/>
        <v>3</v>
      </c>
      <c r="Q177" s="5">
        <f t="shared" si="136"/>
        <v>2</v>
      </c>
      <c r="R177" s="5">
        <f t="shared" si="136"/>
        <v>1</v>
      </c>
      <c r="S177" s="5">
        <f t="shared" si="136"/>
        <v>3</v>
      </c>
      <c r="T177" s="5">
        <f t="shared" si="136"/>
        <v>2</v>
      </c>
      <c r="U177" s="5">
        <f t="shared" si="136"/>
        <v>1</v>
      </c>
      <c r="V177" s="5">
        <f t="shared" si="136"/>
        <v>3</v>
      </c>
      <c r="W177" s="445">
        <v>0</v>
      </c>
      <c r="X177" s="931">
        <v>2</v>
      </c>
      <c r="Y177" s="931">
        <v>1</v>
      </c>
      <c r="Z177" s="931">
        <v>3</v>
      </c>
      <c r="AA177" s="931">
        <v>2</v>
      </c>
      <c r="AB177" s="931">
        <v>1</v>
      </c>
      <c r="AC177" s="931">
        <v>3</v>
      </c>
      <c r="AD177" s="931">
        <v>2</v>
      </c>
      <c r="AE177" s="931">
        <v>1</v>
      </c>
      <c r="AF177" s="931">
        <v>3</v>
      </c>
      <c r="AG177">
        <f t="shared" si="64"/>
        <v>0</v>
      </c>
      <c r="AH177">
        <f t="shared" si="65"/>
        <v>0</v>
      </c>
      <c r="AI177" s="153"/>
      <c r="AJ177" s="153"/>
      <c r="AL177" s="153"/>
    </row>
    <row r="178" spans="1:38">
      <c r="A178" s="191" t="s">
        <v>625</v>
      </c>
      <c r="B178" s="14" t="s">
        <v>718</v>
      </c>
      <c r="C178" s="24"/>
      <c r="D178" s="24"/>
      <c r="E178" s="24"/>
      <c r="F178" s="14"/>
      <c r="G178" s="24"/>
      <c r="H178" s="14"/>
      <c r="I178" s="24"/>
      <c r="J178" s="24"/>
      <c r="K178" s="24"/>
      <c r="L178" s="193"/>
      <c r="M178" s="27"/>
      <c r="AG178" s="414">
        <f t="shared" si="64"/>
        <v>0</v>
      </c>
      <c r="AH178" s="414">
        <f t="shared" si="65"/>
        <v>0</v>
      </c>
    </row>
    <row r="179" spans="1:38">
      <c r="A179" s="388" t="s">
        <v>626</v>
      </c>
      <c r="B179" s="11" t="s">
        <v>3770</v>
      </c>
      <c r="C179" s="175"/>
      <c r="D179" s="668"/>
      <c r="E179" s="179"/>
      <c r="F179" s="668"/>
      <c r="G179" s="179"/>
      <c r="H179" s="668"/>
      <c r="I179" s="179"/>
      <c r="J179" s="179"/>
      <c r="K179" s="234"/>
      <c r="L179" s="393"/>
      <c r="M179" s="27"/>
      <c r="N179" s="414"/>
      <c r="O179" s="414"/>
      <c r="P179" s="414"/>
      <c r="Q179" s="414"/>
      <c r="R179" s="414"/>
      <c r="S179" s="414"/>
      <c r="T179" s="414"/>
      <c r="U179" s="414"/>
      <c r="V179" s="414"/>
      <c r="AG179" s="414">
        <f t="shared" si="64"/>
        <v>0</v>
      </c>
      <c r="AH179" s="414">
        <f t="shared" si="65"/>
        <v>0</v>
      </c>
    </row>
    <row r="180" spans="1:38">
      <c r="A180" s="325" t="s">
        <v>1299</v>
      </c>
      <c r="B180" s="1" t="s">
        <v>65</v>
      </c>
      <c r="C180" s="65">
        <f>tot_fm_in</f>
        <v>1</v>
      </c>
      <c r="D180" s="65" t="s">
        <v>2222</v>
      </c>
      <c r="E180" s="327">
        <f>IF(C180=0,"NA",in_meter_size)</f>
        <v>10</v>
      </c>
      <c r="F180" s="1" t="str">
        <f>IF(C180=0,"","in. diam")</f>
        <v>in. diam</v>
      </c>
      <c r="G180" s="327">
        <f>IF(C180=0,"NA",IF(curve=1,in_meter_size,VLOOKUP(in_meter_size,op_fm_cost_cl,2)))</f>
        <v>10</v>
      </c>
      <c r="H180" s="1" t="str">
        <f>IF(C180=0,"","in. diam")</f>
        <v>in. diam</v>
      </c>
      <c r="I180" s="326">
        <f>IF(C180=0,"NA",IF(curve=1,op_fm_eq_in,VLOOKUP(in_meter_size,op_fm_cost_cl,3)))</f>
        <v>4626.8161419190001</v>
      </c>
      <c r="J180" s="323">
        <f>IF(OR(C180=0,I180="contact vendor"),"--",C180*I180)</f>
        <v>4626.8161419190001</v>
      </c>
      <c r="K180" s="327">
        <f>IF(C180=0,"NA",VLOOKUP(in_meter_size,op_fm_cost_cl,IF(ss_cat="large",4,5)))</f>
        <v>15</v>
      </c>
      <c r="L180" s="334">
        <v>0</v>
      </c>
      <c r="M180" s="27" t="str">
        <f>$B$178&amp;" - "&amp;$B$179&amp;" - "&amp;B180</f>
        <v>Instrumentation - Flow Meters - Influent and Treated Water - Orifice Plate</v>
      </c>
      <c r="N180" s="5">
        <f t="shared" ref="N180:T183" si="137">IF(retrofit=1,$W180*X180,IF(ISBLANK(X180),"",X180))</f>
        <v>3</v>
      </c>
      <c r="O180" s="5">
        <f t="shared" si="137"/>
        <v>4</v>
      </c>
      <c r="P180" s="5">
        <f t="shared" si="137"/>
        <v>4</v>
      </c>
      <c r="Q180" s="5">
        <f t="shared" si="137"/>
        <v>3</v>
      </c>
      <c r="R180" s="5">
        <f t="shared" si="137"/>
        <v>4</v>
      </c>
      <c r="S180" s="5">
        <f t="shared" si="137"/>
        <v>4</v>
      </c>
      <c r="T180" s="5">
        <f t="shared" si="137"/>
        <v>3</v>
      </c>
      <c r="U180" s="5">
        <f t="shared" ref="U180:V183" si="138">IF(retrofit=1,$W180*AE180,IF(ISBLANK(AE180),"",AE180))</f>
        <v>3</v>
      </c>
      <c r="V180" s="5">
        <f t="shared" si="138"/>
        <v>4</v>
      </c>
      <c r="W180" s="445">
        <v>0</v>
      </c>
      <c r="X180" s="414">
        <v>3</v>
      </c>
      <c r="Y180" s="414">
        <v>4</v>
      </c>
      <c r="Z180" s="414">
        <v>4</v>
      </c>
      <c r="AA180" s="414">
        <v>3</v>
      </c>
      <c r="AB180" s="414">
        <v>4</v>
      </c>
      <c r="AC180" s="414">
        <v>4</v>
      </c>
      <c r="AD180" s="414">
        <v>3</v>
      </c>
      <c r="AE180" s="414">
        <v>3</v>
      </c>
      <c r="AF180" s="414">
        <v>4</v>
      </c>
      <c r="AG180" s="414">
        <f t="shared" si="64"/>
        <v>0</v>
      </c>
      <c r="AH180" s="414">
        <f t="shared" si="65"/>
        <v>0</v>
      </c>
    </row>
    <row r="181" spans="1:38">
      <c r="A181" s="325" t="s">
        <v>1299</v>
      </c>
      <c r="B181" s="1" t="s">
        <v>66</v>
      </c>
      <c r="C181" s="65">
        <f>tot_fm_in</f>
        <v>1</v>
      </c>
      <c r="D181" s="65" t="s">
        <v>2222</v>
      </c>
      <c r="E181" s="327">
        <f>IF(C181=0,"NA",in_meter_size)</f>
        <v>10</v>
      </c>
      <c r="F181" s="1" t="str">
        <f>IF(C181=0,"","in. diam")</f>
        <v>in. diam</v>
      </c>
      <c r="G181" s="327">
        <f>IF(C181=0,"NA",IF(curve=1,in_meter_size,VLOOKUP(in_meter_size,prop_fm_cost_cl,2)))</f>
        <v>10</v>
      </c>
      <c r="H181" s="1" t="str">
        <f>IF(C181=0,"","in. diam")</f>
        <v>in. diam</v>
      </c>
      <c r="I181" s="326">
        <f>IF(C181=0,"NA",IF(curve=1,prop_fm_eq_in,VLOOKUP(in_meter_size,prop_fm_cost_cl,3)))</f>
        <v>6008.2861197009997</v>
      </c>
      <c r="J181" s="323">
        <f>IF(OR(C181=0,I181="contact vendor"),"--",C181*I181)</f>
        <v>6008.2861197009997</v>
      </c>
      <c r="K181" s="327">
        <f>IF(C181=0,"NA",VLOOKUP(in_meter_size,prop_fm_cost_cl,IF(ss_cat="large",4,5)))</f>
        <v>15</v>
      </c>
      <c r="L181" s="334">
        <v>1</v>
      </c>
      <c r="M181" s="27" t="str">
        <f>$B$178&amp;" - "&amp;$B$179&amp;" - "&amp;B181</f>
        <v>Instrumentation - Flow Meters - Influent and Treated Water - Propeller</v>
      </c>
      <c r="N181" s="5">
        <f t="shared" si="137"/>
        <v>1</v>
      </c>
      <c r="O181" s="5">
        <f t="shared" si="137"/>
        <v>2</v>
      </c>
      <c r="P181" s="5">
        <f t="shared" si="137"/>
        <v>3</v>
      </c>
      <c r="Q181" s="5">
        <f t="shared" si="137"/>
        <v>1</v>
      </c>
      <c r="R181" s="5">
        <f t="shared" si="137"/>
        <v>2</v>
      </c>
      <c r="S181" s="5">
        <f t="shared" si="137"/>
        <v>3</v>
      </c>
      <c r="T181" s="5">
        <f t="shared" si="137"/>
        <v>4</v>
      </c>
      <c r="U181" s="5">
        <f t="shared" si="138"/>
        <v>4</v>
      </c>
      <c r="V181" s="5">
        <f t="shared" si="138"/>
        <v>2</v>
      </c>
      <c r="W181" s="445">
        <v>0</v>
      </c>
      <c r="X181" s="414">
        <v>1</v>
      </c>
      <c r="Y181" s="414">
        <v>2</v>
      </c>
      <c r="Z181" s="414">
        <v>3</v>
      </c>
      <c r="AA181" s="414">
        <v>1</v>
      </c>
      <c r="AB181" s="414">
        <v>2</v>
      </c>
      <c r="AC181" s="414">
        <v>3</v>
      </c>
      <c r="AD181" s="414">
        <v>4</v>
      </c>
      <c r="AE181" s="414">
        <v>4</v>
      </c>
      <c r="AF181" s="414">
        <v>2</v>
      </c>
      <c r="AG181" s="414">
        <f t="shared" si="64"/>
        <v>1</v>
      </c>
      <c r="AH181" s="414">
        <f t="shared" si="65"/>
        <v>400.55240798006668</v>
      </c>
    </row>
    <row r="182" spans="1:38">
      <c r="A182" s="325" t="s">
        <v>1299</v>
      </c>
      <c r="B182" s="1" t="s">
        <v>69</v>
      </c>
      <c r="C182" s="65">
        <f>tot_fm_in</f>
        <v>1</v>
      </c>
      <c r="D182" s="65" t="s">
        <v>2222</v>
      </c>
      <c r="E182" s="327">
        <f>IF(C182=0,"NA",in_meter_size)</f>
        <v>10</v>
      </c>
      <c r="F182" s="1" t="str">
        <f>IF(C182=0,"","in. diam")</f>
        <v>in. diam</v>
      </c>
      <c r="G182" s="327">
        <f>IF(C182=0,"NA",IF(curve=1,in_meter_size,VLOOKUP(in_meter_size,ven_fm_cost_cl,2)))</f>
        <v>10</v>
      </c>
      <c r="H182" s="1" t="str">
        <f>IF(C182=0,"","in. diam")</f>
        <v>in. diam</v>
      </c>
      <c r="I182" s="326">
        <f>IF(C182=0,"NA",IF(curve=1,ven_fm_eq_in,VLOOKUP(in_meter_size,ven_fm_cost_cl,3)))</f>
        <v>4013.0326495740001</v>
      </c>
      <c r="J182" s="323">
        <f>IF(OR(C182=0,I182="contact vendor"),"--",C182*I182)</f>
        <v>4013.0326495740001</v>
      </c>
      <c r="K182" s="327">
        <f>IF(C182=0,"NA",VLOOKUP(in_meter_size,ven_fm_cost_cl,IF(ss_cat="large",4,5)))</f>
        <v>15</v>
      </c>
      <c r="L182" s="334">
        <v>0</v>
      </c>
      <c r="M182" s="27" t="str">
        <f>$B$178&amp;" - "&amp;$B$179&amp;" - "&amp;B182</f>
        <v>Instrumentation - Flow Meters - Influent and Treated Water - Venturi</v>
      </c>
      <c r="N182" s="5">
        <f t="shared" si="137"/>
        <v>2</v>
      </c>
      <c r="O182" s="5">
        <f t="shared" si="137"/>
        <v>1</v>
      </c>
      <c r="P182" s="5">
        <f t="shared" si="137"/>
        <v>2</v>
      </c>
      <c r="Q182" s="5">
        <f t="shared" si="137"/>
        <v>2</v>
      </c>
      <c r="R182" s="5">
        <f t="shared" si="137"/>
        <v>1</v>
      </c>
      <c r="S182" s="5">
        <f t="shared" si="137"/>
        <v>2</v>
      </c>
      <c r="T182" s="5">
        <f t="shared" si="137"/>
        <v>1</v>
      </c>
      <c r="U182" s="5">
        <f t="shared" si="138"/>
        <v>2</v>
      </c>
      <c r="V182" s="5">
        <f t="shared" si="138"/>
        <v>3</v>
      </c>
      <c r="W182" s="445">
        <v>0</v>
      </c>
      <c r="X182" s="414">
        <v>2</v>
      </c>
      <c r="Y182" s="414">
        <v>1</v>
      </c>
      <c r="Z182" s="414">
        <v>2</v>
      </c>
      <c r="AA182" s="414">
        <v>2</v>
      </c>
      <c r="AB182" s="414">
        <v>1</v>
      </c>
      <c r="AC182" s="414">
        <v>2</v>
      </c>
      <c r="AD182" s="414">
        <v>1</v>
      </c>
      <c r="AE182" s="414">
        <v>2</v>
      </c>
      <c r="AF182" s="414">
        <v>3</v>
      </c>
      <c r="AG182" s="414">
        <f t="shared" ref="AG182:AG248" si="139">IF(ISERROR(K182*L182),0,IF(K182&lt;1,0,L182))</f>
        <v>0</v>
      </c>
      <c r="AH182" s="414">
        <f t="shared" ref="AH182:AH248" si="140">IF(AG182,J182/K182,0)</f>
        <v>0</v>
      </c>
    </row>
    <row r="183" spans="1:38">
      <c r="A183" s="325" t="s">
        <v>1299</v>
      </c>
      <c r="B183" s="1" t="s">
        <v>72</v>
      </c>
      <c r="C183" s="65">
        <f>tot_fm_in</f>
        <v>1</v>
      </c>
      <c r="D183" s="65" t="s">
        <v>2222</v>
      </c>
      <c r="E183" s="327">
        <f>IF(C183=0,"NA",in_meter_size)</f>
        <v>10</v>
      </c>
      <c r="F183" s="1" t="str">
        <f>IF(C183=0,"","in. diam")</f>
        <v>in. diam</v>
      </c>
      <c r="G183" s="327">
        <f>IF(C183=0,"NA",IF(curve=1,in_meter_size,VLOOKUP(in_meter_size,mag_fm_cost_cl,2)))</f>
        <v>10</v>
      </c>
      <c r="H183" s="1" t="str">
        <f>IF(C183=0,"","in. diam")</f>
        <v>in. diam</v>
      </c>
      <c r="I183" s="326">
        <f>IF(C183=0,"NA",IF(curve=1,mag_fm_eq_in,VLOOKUP(in_meter_size,mag_fm_cost_cl,3)))</f>
        <v>8445.7466193210003</v>
      </c>
      <c r="J183" s="323">
        <f>IF(OR(C183=0,I183="contact vendor"),"--",C183*I183)</f>
        <v>8445.7466193210003</v>
      </c>
      <c r="K183" s="327">
        <f>IF(C183=0,"NA",VLOOKUP(in_meter_size,mag_fm_cost_cl,IF(ss_cat="large",4,5)))</f>
        <v>15</v>
      </c>
      <c r="L183" s="334">
        <v>0</v>
      </c>
      <c r="M183" s="27" t="str">
        <f>$B$178&amp;" - "&amp;$B$179&amp;" - "&amp;B183</f>
        <v>Instrumentation - Flow Meters - Influent and Treated Water - Magnetic</v>
      </c>
      <c r="N183" s="5">
        <f t="shared" si="137"/>
        <v>4</v>
      </c>
      <c r="O183" s="5">
        <f t="shared" si="137"/>
        <v>3</v>
      </c>
      <c r="P183" s="5">
        <f t="shared" si="137"/>
        <v>1</v>
      </c>
      <c r="Q183" s="5">
        <f t="shared" si="137"/>
        <v>4</v>
      </c>
      <c r="R183" s="5">
        <f t="shared" si="137"/>
        <v>3</v>
      </c>
      <c r="S183" s="5">
        <f t="shared" si="137"/>
        <v>1</v>
      </c>
      <c r="T183" s="5">
        <f t="shared" si="137"/>
        <v>2</v>
      </c>
      <c r="U183" s="5">
        <f t="shared" si="138"/>
        <v>1</v>
      </c>
      <c r="V183" s="5">
        <f t="shared" si="138"/>
        <v>1</v>
      </c>
      <c r="W183" s="445">
        <v>0</v>
      </c>
      <c r="X183" s="414">
        <v>4</v>
      </c>
      <c r="Y183" s="414">
        <v>3</v>
      </c>
      <c r="Z183" s="414">
        <v>1</v>
      </c>
      <c r="AA183" s="414">
        <v>4</v>
      </c>
      <c r="AB183" s="414">
        <v>3</v>
      </c>
      <c r="AC183" s="414">
        <v>1</v>
      </c>
      <c r="AD183" s="414">
        <v>2</v>
      </c>
      <c r="AE183" s="414">
        <v>1</v>
      </c>
      <c r="AF183" s="414">
        <v>1</v>
      </c>
      <c r="AG183" s="414">
        <f t="shared" si="139"/>
        <v>0</v>
      </c>
      <c r="AH183" s="414">
        <f t="shared" si="140"/>
        <v>0</v>
      </c>
    </row>
    <row r="184" spans="1:38">
      <c r="A184" s="197" t="s">
        <v>1300</v>
      </c>
      <c r="B184" s="11" t="s">
        <v>75</v>
      </c>
      <c r="C184" s="175"/>
      <c r="D184" s="668"/>
      <c r="E184" s="179"/>
      <c r="F184" s="668"/>
      <c r="G184" s="179"/>
      <c r="H184" s="668"/>
      <c r="I184" s="179"/>
      <c r="J184" s="179"/>
      <c r="K184" s="234"/>
      <c r="L184" s="393"/>
      <c r="M184" s="27"/>
      <c r="N184" s="414"/>
      <c r="O184" s="414"/>
      <c r="P184" s="414"/>
      <c r="Q184" s="414"/>
      <c r="R184" s="414"/>
      <c r="S184" s="414"/>
      <c r="T184" s="414"/>
      <c r="U184" s="414"/>
      <c r="V184" s="414"/>
      <c r="AG184" s="414">
        <f t="shared" si="139"/>
        <v>0</v>
      </c>
      <c r="AH184" s="414">
        <f t="shared" si="140"/>
        <v>0</v>
      </c>
    </row>
    <row r="185" spans="1:38">
      <c r="A185" s="325" t="s">
        <v>87</v>
      </c>
      <c r="B185" s="1" t="s">
        <v>65</v>
      </c>
      <c r="C185" s="65">
        <f>tot_fm_proc</f>
        <v>0</v>
      </c>
      <c r="D185" s="65" t="s">
        <v>2222</v>
      </c>
      <c r="E185" s="327" t="str">
        <f>IF(C185=0,"NA",proc_meter_size)</f>
        <v>NA</v>
      </c>
      <c r="F185" s="1" t="str">
        <f>IF(C185=0,"","in. diam")</f>
        <v/>
      </c>
      <c r="G185" s="327" t="str">
        <f>IF(C185=0,"NA",IF(curve=1,proc_meter_size,VLOOKUP(proc_meter_size,op_fm_cost_cl,2)))</f>
        <v>NA</v>
      </c>
      <c r="H185" s="1" t="str">
        <f>IF(C185=0,"","in. diam")</f>
        <v/>
      </c>
      <c r="I185" s="326" t="str">
        <f>IF(C185=0,"NA",IF(curve=1,op_fm_eq_proc,VLOOKUP(proc_meter_size,op_fm_cost_cl,3)))</f>
        <v>NA</v>
      </c>
      <c r="J185" s="323" t="str">
        <f>IF(OR(C185=0,I185="contact vendor"),"--",C185*I185)</f>
        <v>--</v>
      </c>
      <c r="K185" s="327" t="str">
        <f>IF(C185=0,"NA",VLOOKUP(proc_meter_size,op_fm_cost_cl,IF(ss_cat="large",4,5)))</f>
        <v>NA</v>
      </c>
      <c r="L185" s="334"/>
      <c r="M185" s="27" t="str">
        <f>$B$178&amp;" - "&amp;$B$184&amp;" - "&amp;B185</f>
        <v>Instrumentation - Flow Meters - Process - Orifice Plate</v>
      </c>
      <c r="N185" s="5">
        <f t="shared" ref="N185:T188" si="141">IF(retrofit=1,$W185*X185,IF(ISBLANK(X185),"",X185))</f>
        <v>3</v>
      </c>
      <c r="O185" s="5">
        <f t="shared" si="141"/>
        <v>4</v>
      </c>
      <c r="P185" s="5">
        <f t="shared" si="141"/>
        <v>4</v>
      </c>
      <c r="Q185" s="5">
        <f t="shared" si="141"/>
        <v>3</v>
      </c>
      <c r="R185" s="5">
        <f t="shared" si="141"/>
        <v>4</v>
      </c>
      <c r="S185" s="5">
        <f t="shared" si="141"/>
        <v>4</v>
      </c>
      <c r="T185" s="5">
        <f t="shared" si="141"/>
        <v>3</v>
      </c>
      <c r="U185" s="5">
        <f t="shared" ref="U185:V188" si="142">IF(retrofit=1,$W185*AE185,IF(ISBLANK(AE185),"",AE185))</f>
        <v>3</v>
      </c>
      <c r="V185" s="5">
        <f t="shared" si="142"/>
        <v>4</v>
      </c>
      <c r="W185" s="445">
        <v>0</v>
      </c>
      <c r="X185" s="414">
        <v>3</v>
      </c>
      <c r="Y185" s="414">
        <v>4</v>
      </c>
      <c r="Z185" s="414">
        <v>4</v>
      </c>
      <c r="AA185" s="414">
        <v>3</v>
      </c>
      <c r="AB185" s="414">
        <v>4</v>
      </c>
      <c r="AC185" s="414">
        <v>4</v>
      </c>
      <c r="AD185" s="414">
        <v>3</v>
      </c>
      <c r="AE185" s="414">
        <v>3</v>
      </c>
      <c r="AF185" s="414">
        <v>4</v>
      </c>
      <c r="AG185" s="414">
        <f t="shared" si="139"/>
        <v>0</v>
      </c>
      <c r="AH185" s="414">
        <f t="shared" si="140"/>
        <v>0</v>
      </c>
    </row>
    <row r="186" spans="1:38">
      <c r="A186" s="325" t="s">
        <v>87</v>
      </c>
      <c r="B186" s="1" t="s">
        <v>66</v>
      </c>
      <c r="C186" s="65">
        <f>tot_fm_proc</f>
        <v>0</v>
      </c>
      <c r="D186" s="65" t="s">
        <v>2222</v>
      </c>
      <c r="E186" s="327" t="str">
        <f>IF(C186=0,"NA",proc_meter_size)</f>
        <v>NA</v>
      </c>
      <c r="F186" s="1" t="str">
        <f>IF(C186=0,"","in. diam")</f>
        <v/>
      </c>
      <c r="G186" s="327" t="str">
        <f>IF(C186=0,"NA",IF(curve=1,proc_meter_size,VLOOKUP(proc_meter_size,prop_fm_cost_cl,2)))</f>
        <v>NA</v>
      </c>
      <c r="H186" s="1" t="str">
        <f>IF(C186=0,"","in. diam")</f>
        <v/>
      </c>
      <c r="I186" s="326" t="str">
        <f>IF(C186=0,"NA",IF(curve=1,prop_fm_eq_proc,VLOOKUP(proc_meter_size,prop_fm_cost_cl,3)))</f>
        <v>NA</v>
      </c>
      <c r="J186" s="323" t="str">
        <f>IF(OR(C186=0,I186="contact vendor"),"--",C186*I186)</f>
        <v>--</v>
      </c>
      <c r="K186" s="327" t="str">
        <f>IF(C186=0,"NA",VLOOKUP(proc_meter_size,prop_fm_cost_cl,IF(ss_cat="large",4,5)))</f>
        <v>NA</v>
      </c>
      <c r="L186" s="334"/>
      <c r="M186" s="27" t="str">
        <f>$B$178&amp;" - "&amp;$B$184&amp;" - "&amp;B186</f>
        <v>Instrumentation - Flow Meters - Process - Propeller</v>
      </c>
      <c r="N186" s="5">
        <f t="shared" si="141"/>
        <v>1</v>
      </c>
      <c r="O186" s="5">
        <f t="shared" si="141"/>
        <v>2</v>
      </c>
      <c r="P186" s="5">
        <f t="shared" si="141"/>
        <v>3</v>
      </c>
      <c r="Q186" s="5">
        <f t="shared" si="141"/>
        <v>1</v>
      </c>
      <c r="R186" s="5">
        <f t="shared" si="141"/>
        <v>2</v>
      </c>
      <c r="S186" s="5">
        <f t="shared" si="141"/>
        <v>3</v>
      </c>
      <c r="T186" s="5">
        <f t="shared" si="141"/>
        <v>4</v>
      </c>
      <c r="U186" s="5">
        <f t="shared" si="142"/>
        <v>4</v>
      </c>
      <c r="V186" s="5">
        <f t="shared" si="142"/>
        <v>2</v>
      </c>
      <c r="W186" s="445">
        <v>0</v>
      </c>
      <c r="X186" s="414">
        <v>1</v>
      </c>
      <c r="Y186" s="414">
        <v>2</v>
      </c>
      <c r="Z186" s="414">
        <v>3</v>
      </c>
      <c r="AA186" s="414">
        <v>1</v>
      </c>
      <c r="AB186" s="414">
        <v>2</v>
      </c>
      <c r="AC186" s="414">
        <v>3</v>
      </c>
      <c r="AD186" s="414">
        <v>4</v>
      </c>
      <c r="AE186" s="414">
        <v>4</v>
      </c>
      <c r="AF186" s="414">
        <v>2</v>
      </c>
      <c r="AG186" s="414">
        <f t="shared" si="139"/>
        <v>0</v>
      </c>
      <c r="AH186" s="414">
        <f t="shared" si="140"/>
        <v>0</v>
      </c>
    </row>
    <row r="187" spans="1:38">
      <c r="A187" s="325" t="s">
        <v>87</v>
      </c>
      <c r="B187" s="1" t="s">
        <v>69</v>
      </c>
      <c r="C187" s="65">
        <f>tot_fm_proc</f>
        <v>0</v>
      </c>
      <c r="D187" s="65" t="s">
        <v>2222</v>
      </c>
      <c r="E187" s="327" t="str">
        <f>IF(C187=0,"NA",proc_meter_size)</f>
        <v>NA</v>
      </c>
      <c r="F187" s="1" t="str">
        <f>IF(C187=0,"","in. diam")</f>
        <v/>
      </c>
      <c r="G187" s="327" t="str">
        <f>IF(C187=0,"NA",IF(curve=1,proc_meter_size,VLOOKUP(proc_meter_size,ven_fm_cost_cl,2)))</f>
        <v>NA</v>
      </c>
      <c r="H187" s="1" t="str">
        <f>IF(C187=0,"","in. diam")</f>
        <v/>
      </c>
      <c r="I187" s="326" t="str">
        <f>IF(C187=0,"NA",IF(curve=1,ven_fm_eq_proc,VLOOKUP(proc_meter_size,ven_fm_cost_cl,3)))</f>
        <v>NA</v>
      </c>
      <c r="J187" s="323" t="str">
        <f>IF(OR(C187=0,I187="contact vendor"),"--",C187*I187)</f>
        <v>--</v>
      </c>
      <c r="K187" s="327" t="str">
        <f>IF(C187=0,"NA",VLOOKUP(proc_meter_size,ven_fm_cost_cl,IF(ss_cat="large",4,5)))</f>
        <v>NA</v>
      </c>
      <c r="L187" s="334"/>
      <c r="M187" s="27" t="str">
        <f>$B$178&amp;" - "&amp;$B$184&amp;" - "&amp;B187</f>
        <v>Instrumentation - Flow Meters - Process - Venturi</v>
      </c>
      <c r="N187" s="5">
        <f t="shared" si="141"/>
        <v>2</v>
      </c>
      <c r="O187" s="5">
        <f t="shared" si="141"/>
        <v>1</v>
      </c>
      <c r="P187" s="5">
        <f t="shared" si="141"/>
        <v>2</v>
      </c>
      <c r="Q187" s="5">
        <f t="shared" si="141"/>
        <v>2</v>
      </c>
      <c r="R187" s="5">
        <f t="shared" si="141"/>
        <v>1</v>
      </c>
      <c r="S187" s="5">
        <f t="shared" si="141"/>
        <v>2</v>
      </c>
      <c r="T187" s="5">
        <f t="shared" si="141"/>
        <v>1</v>
      </c>
      <c r="U187" s="5">
        <f t="shared" si="142"/>
        <v>2</v>
      </c>
      <c r="V187" s="5">
        <f t="shared" si="142"/>
        <v>3</v>
      </c>
      <c r="W187" s="445">
        <v>0</v>
      </c>
      <c r="X187" s="414">
        <v>2</v>
      </c>
      <c r="Y187" s="414">
        <v>1</v>
      </c>
      <c r="Z187" s="414">
        <v>2</v>
      </c>
      <c r="AA187" s="414">
        <v>2</v>
      </c>
      <c r="AB187" s="414">
        <v>1</v>
      </c>
      <c r="AC187" s="414">
        <v>2</v>
      </c>
      <c r="AD187" s="414">
        <v>1</v>
      </c>
      <c r="AE187" s="414">
        <v>2</v>
      </c>
      <c r="AF187" s="414">
        <v>3</v>
      </c>
      <c r="AG187" s="414">
        <f t="shared" si="139"/>
        <v>0</v>
      </c>
      <c r="AH187" s="414">
        <f t="shared" si="140"/>
        <v>0</v>
      </c>
    </row>
    <row r="188" spans="1:38">
      <c r="A188" s="325" t="s">
        <v>87</v>
      </c>
      <c r="B188" s="1" t="s">
        <v>72</v>
      </c>
      <c r="C188" s="65">
        <f>tot_fm_proc</f>
        <v>0</v>
      </c>
      <c r="D188" s="65" t="s">
        <v>2222</v>
      </c>
      <c r="E188" s="327" t="str">
        <f>IF(C188=0,"NA",proc_meter_size)</f>
        <v>NA</v>
      </c>
      <c r="F188" s="1" t="str">
        <f>IF(C188=0,"","in. diam")</f>
        <v/>
      </c>
      <c r="G188" s="327" t="str">
        <f>IF(C188=0,"NA",IF(curve=1,proc_meter_size,VLOOKUP(proc_meter_size,mag_fm_cost_cl,2)))</f>
        <v>NA</v>
      </c>
      <c r="H188" s="1" t="str">
        <f>IF(C188=0,"","in. diam")</f>
        <v/>
      </c>
      <c r="I188" s="326" t="str">
        <f>IF(C188=0,"NA",IF(curve=1,mag_fm_eq_proc,VLOOKUP(proc_meter_size,mag_fm_cost_cl,3)))</f>
        <v>NA</v>
      </c>
      <c r="J188" s="323" t="str">
        <f>IF(OR(C188=0,I188="contact vendor"),"--",C188*I188)</f>
        <v>--</v>
      </c>
      <c r="K188" s="327" t="str">
        <f>IF(C188=0,"NA",VLOOKUP(proc_meter_size,mag_fm_cost_cl,IF(ss_cat="large",4,5)))</f>
        <v>NA</v>
      </c>
      <c r="L188" s="334"/>
      <c r="M188" s="27" t="str">
        <f>$B$178&amp;" - "&amp;$B$184&amp;" - "&amp;B188</f>
        <v>Instrumentation - Flow Meters - Process - Magnetic</v>
      </c>
      <c r="N188" s="5">
        <f t="shared" si="141"/>
        <v>4</v>
      </c>
      <c r="O188" s="5">
        <f t="shared" si="141"/>
        <v>3</v>
      </c>
      <c r="P188" s="5">
        <f t="shared" si="141"/>
        <v>1</v>
      </c>
      <c r="Q188" s="5">
        <f t="shared" si="141"/>
        <v>4</v>
      </c>
      <c r="R188" s="5">
        <f t="shared" si="141"/>
        <v>3</v>
      </c>
      <c r="S188" s="5">
        <f t="shared" si="141"/>
        <v>1</v>
      </c>
      <c r="T188" s="5">
        <f t="shared" si="141"/>
        <v>2</v>
      </c>
      <c r="U188" s="5">
        <f t="shared" si="142"/>
        <v>1</v>
      </c>
      <c r="V188" s="5">
        <f t="shared" si="142"/>
        <v>1</v>
      </c>
      <c r="W188" s="445">
        <v>0</v>
      </c>
      <c r="X188" s="414">
        <v>4</v>
      </c>
      <c r="Y188" s="414">
        <v>3</v>
      </c>
      <c r="Z188" s="414">
        <v>1</v>
      </c>
      <c r="AA188" s="414">
        <v>4</v>
      </c>
      <c r="AB188" s="414">
        <v>3</v>
      </c>
      <c r="AC188" s="414">
        <v>1</v>
      </c>
      <c r="AD188" s="414">
        <v>2</v>
      </c>
      <c r="AE188" s="414">
        <v>1</v>
      </c>
      <c r="AF188" s="414">
        <v>1</v>
      </c>
      <c r="AG188" s="414">
        <f t="shared" si="139"/>
        <v>0</v>
      </c>
      <c r="AH188" s="414">
        <f t="shared" si="140"/>
        <v>0</v>
      </c>
    </row>
    <row r="189" spans="1:38">
      <c r="A189" s="197" t="s">
        <v>1301</v>
      </c>
      <c r="B189" s="11" t="s">
        <v>79</v>
      </c>
      <c r="C189" s="175"/>
      <c r="D189" s="668"/>
      <c r="E189" s="179"/>
      <c r="F189" s="668"/>
      <c r="G189" s="179"/>
      <c r="H189" s="668"/>
      <c r="I189" s="179"/>
      <c r="J189" s="179"/>
      <c r="K189" s="234"/>
      <c r="L189" s="393"/>
      <c r="M189" s="27"/>
      <c r="N189" s="414"/>
      <c r="O189" s="414"/>
      <c r="P189" s="414"/>
      <c r="Q189" s="414"/>
      <c r="R189" s="414"/>
      <c r="S189" s="414"/>
      <c r="T189" s="414"/>
      <c r="U189" s="414"/>
      <c r="V189" s="414"/>
      <c r="AG189" s="414">
        <f t="shared" si="139"/>
        <v>0</v>
      </c>
      <c r="AH189" s="414">
        <f t="shared" si="140"/>
        <v>0</v>
      </c>
    </row>
    <row r="190" spans="1:38">
      <c r="A190" s="325" t="s">
        <v>88</v>
      </c>
      <c r="B190" s="1" t="s">
        <v>65</v>
      </c>
      <c r="C190" s="65">
        <f>tot_fm_back</f>
        <v>1</v>
      </c>
      <c r="D190" s="65" t="s">
        <v>2222</v>
      </c>
      <c r="E190" s="327">
        <f>back_meter_size</f>
        <v>8</v>
      </c>
      <c r="F190" s="1" t="s">
        <v>2527</v>
      </c>
      <c r="G190" s="327">
        <f>IF(curve=1,back_meter_size,VLOOKUP(back_meter_size,op_fm_cost_cl,2))</f>
        <v>8</v>
      </c>
      <c r="H190" s="1" t="s">
        <v>2527</v>
      </c>
      <c r="I190" s="326">
        <f>IF(curve=1,op_fm_eq_back,VLOOKUP(back_meter_size,op_fm_cost_cl,3))</f>
        <v>4074.8691541909998</v>
      </c>
      <c r="J190" s="323">
        <f>IF(I190="contact vendor","--",C190*I190)</f>
        <v>4074.8691541909998</v>
      </c>
      <c r="K190" s="327">
        <f>VLOOKUP(back_meter_size,op_fm_cost_cl,IF(ss_cat="large",4,5))</f>
        <v>15</v>
      </c>
      <c r="L190" s="334">
        <v>0</v>
      </c>
      <c r="M190" s="27" t="str">
        <f>$B$178&amp;" - "&amp;$B$189&amp;" - "&amp;B190</f>
        <v>Instrumentation - Flow Meters - Backwash - Orifice Plate</v>
      </c>
      <c r="N190" s="5">
        <f t="shared" ref="N190:T193" si="143">IF(retrofit=1,$W190*X190,IF(ISBLANK(X190),"",X190))</f>
        <v>3</v>
      </c>
      <c r="O190" s="5">
        <f t="shared" si="143"/>
        <v>4</v>
      </c>
      <c r="P190" s="5">
        <f t="shared" si="143"/>
        <v>4</v>
      </c>
      <c r="Q190" s="5">
        <f t="shared" si="143"/>
        <v>3</v>
      </c>
      <c r="R190" s="5">
        <f t="shared" si="143"/>
        <v>4</v>
      </c>
      <c r="S190" s="5">
        <f t="shared" si="143"/>
        <v>4</v>
      </c>
      <c r="T190" s="5">
        <f t="shared" si="143"/>
        <v>3</v>
      </c>
      <c r="U190" s="5">
        <f t="shared" ref="U190:V193" si="144">IF(retrofit=1,$W190*AE190,IF(ISBLANK(AE190),"",AE190))</f>
        <v>3</v>
      </c>
      <c r="V190" s="5">
        <f t="shared" si="144"/>
        <v>4</v>
      </c>
      <c r="W190" s="445">
        <v>0</v>
      </c>
      <c r="X190" s="414">
        <v>3</v>
      </c>
      <c r="Y190" s="414">
        <v>4</v>
      </c>
      <c r="Z190" s="414">
        <v>4</v>
      </c>
      <c r="AA190" s="414">
        <v>3</v>
      </c>
      <c r="AB190" s="414">
        <v>4</v>
      </c>
      <c r="AC190" s="414">
        <v>4</v>
      </c>
      <c r="AD190" s="414">
        <v>3</v>
      </c>
      <c r="AE190" s="414">
        <v>3</v>
      </c>
      <c r="AF190" s="414">
        <v>4</v>
      </c>
      <c r="AG190" s="414">
        <f t="shared" si="139"/>
        <v>0</v>
      </c>
      <c r="AH190" s="414">
        <f t="shared" si="140"/>
        <v>0</v>
      </c>
    </row>
    <row r="191" spans="1:38">
      <c r="A191" s="325" t="s">
        <v>88</v>
      </c>
      <c r="B191" s="1" t="s">
        <v>66</v>
      </c>
      <c r="C191" s="65">
        <f>tot_fm_back</f>
        <v>1</v>
      </c>
      <c r="D191" s="65" t="s">
        <v>2222</v>
      </c>
      <c r="E191" s="327">
        <f>back_meter_size</f>
        <v>8</v>
      </c>
      <c r="F191" s="1" t="s">
        <v>2527</v>
      </c>
      <c r="G191" s="327">
        <f>IF(curve=1,back_meter_size,VLOOKUP(back_meter_size,prop_fm_cost_cl,2))</f>
        <v>8</v>
      </c>
      <c r="H191" s="1" t="s">
        <v>2527</v>
      </c>
      <c r="I191" s="326">
        <f>IF(curve=1,prop_fm_eq_back,VLOOKUP(back_meter_size,prop_fm_cost_cl,3))</f>
        <v>5273.4138456829996</v>
      </c>
      <c r="J191" s="323">
        <f>IF(I191="contact vendor","--",C191*I191)</f>
        <v>5273.4138456829996</v>
      </c>
      <c r="K191" s="327">
        <f>VLOOKUP(back_meter_size,prop_fm_cost_cl,IF(ss_cat="large",4,5))</f>
        <v>15</v>
      </c>
      <c r="L191" s="334">
        <v>1</v>
      </c>
      <c r="M191" s="27" t="str">
        <f>$B$178&amp;" - "&amp;$B$189&amp;" - "&amp;B191</f>
        <v>Instrumentation - Flow Meters - Backwash - Propeller</v>
      </c>
      <c r="N191" s="5">
        <f t="shared" si="143"/>
        <v>1</v>
      </c>
      <c r="O191" s="5">
        <f t="shared" si="143"/>
        <v>2</v>
      </c>
      <c r="P191" s="5">
        <f t="shared" si="143"/>
        <v>3</v>
      </c>
      <c r="Q191" s="5">
        <f t="shared" si="143"/>
        <v>1</v>
      </c>
      <c r="R191" s="5">
        <f t="shared" si="143"/>
        <v>2</v>
      </c>
      <c r="S191" s="5">
        <f t="shared" si="143"/>
        <v>3</v>
      </c>
      <c r="T191" s="5">
        <f t="shared" si="143"/>
        <v>4</v>
      </c>
      <c r="U191" s="5">
        <f t="shared" si="144"/>
        <v>4</v>
      </c>
      <c r="V191" s="5">
        <f t="shared" si="144"/>
        <v>2</v>
      </c>
      <c r="W191" s="445">
        <v>0</v>
      </c>
      <c r="X191" s="414">
        <v>1</v>
      </c>
      <c r="Y191" s="414">
        <v>2</v>
      </c>
      <c r="Z191" s="414">
        <v>3</v>
      </c>
      <c r="AA191" s="414">
        <v>1</v>
      </c>
      <c r="AB191" s="414">
        <v>2</v>
      </c>
      <c r="AC191" s="414">
        <v>3</v>
      </c>
      <c r="AD191" s="414">
        <v>4</v>
      </c>
      <c r="AE191" s="414">
        <v>4</v>
      </c>
      <c r="AF191" s="414">
        <v>2</v>
      </c>
      <c r="AG191" s="414">
        <f t="shared" si="139"/>
        <v>1</v>
      </c>
      <c r="AH191" s="414">
        <f t="shared" si="140"/>
        <v>351.56092304553329</v>
      </c>
    </row>
    <row r="192" spans="1:38">
      <c r="A192" s="325" t="s">
        <v>88</v>
      </c>
      <c r="B192" s="1" t="s">
        <v>69</v>
      </c>
      <c r="C192" s="65">
        <f>tot_fm_back</f>
        <v>1</v>
      </c>
      <c r="D192" s="65" t="s">
        <v>2222</v>
      </c>
      <c r="E192" s="327">
        <f>back_meter_size</f>
        <v>8</v>
      </c>
      <c r="F192" s="1" t="s">
        <v>2527</v>
      </c>
      <c r="G192" s="327">
        <f>IF(curve=1,back_meter_size,VLOOKUP(back_meter_size,ven_fm_cost_cl,2))</f>
        <v>8</v>
      </c>
      <c r="H192" s="1" t="s">
        <v>2527</v>
      </c>
      <c r="I192" s="326">
        <f>IF(curve=1,ven_fm_eq_back,VLOOKUP(back_meter_size,ven_fm_cost_cl,3))</f>
        <v>3520.2376562139998</v>
      </c>
      <c r="J192" s="323">
        <f>IF(I192="contact vendor","--",C192*I192)</f>
        <v>3520.2376562139998</v>
      </c>
      <c r="K192" s="327">
        <f>VLOOKUP(back_meter_size,ven_fm_cost_cl,IF(ss_cat="large",4,5))</f>
        <v>15</v>
      </c>
      <c r="L192" s="334">
        <v>0</v>
      </c>
      <c r="M192" s="27" t="str">
        <f>$B$178&amp;" - "&amp;$B$189&amp;" - "&amp;B192</f>
        <v>Instrumentation - Flow Meters - Backwash - Venturi</v>
      </c>
      <c r="N192" s="5">
        <f t="shared" si="143"/>
        <v>2</v>
      </c>
      <c r="O192" s="5">
        <f t="shared" si="143"/>
        <v>1</v>
      </c>
      <c r="P192" s="5">
        <f t="shared" si="143"/>
        <v>2</v>
      </c>
      <c r="Q192" s="5">
        <f t="shared" si="143"/>
        <v>2</v>
      </c>
      <c r="R192" s="5">
        <f t="shared" si="143"/>
        <v>1</v>
      </c>
      <c r="S192" s="5">
        <f t="shared" si="143"/>
        <v>2</v>
      </c>
      <c r="T192" s="5">
        <f t="shared" si="143"/>
        <v>1</v>
      </c>
      <c r="U192" s="5">
        <f t="shared" si="144"/>
        <v>2</v>
      </c>
      <c r="V192" s="5">
        <f t="shared" si="144"/>
        <v>3</v>
      </c>
      <c r="W192" s="445">
        <v>0</v>
      </c>
      <c r="X192" s="414">
        <v>2</v>
      </c>
      <c r="Y192" s="414">
        <v>1</v>
      </c>
      <c r="Z192" s="414">
        <v>2</v>
      </c>
      <c r="AA192" s="414">
        <v>2</v>
      </c>
      <c r="AB192" s="414">
        <v>1</v>
      </c>
      <c r="AC192" s="414">
        <v>2</v>
      </c>
      <c r="AD192" s="414">
        <v>1</v>
      </c>
      <c r="AE192" s="414">
        <v>2</v>
      </c>
      <c r="AF192" s="414">
        <v>3</v>
      </c>
      <c r="AG192" s="414">
        <f t="shared" si="139"/>
        <v>0</v>
      </c>
      <c r="AH192" s="414">
        <f t="shared" si="140"/>
        <v>0</v>
      </c>
    </row>
    <row r="193" spans="1:34">
      <c r="A193" s="325" t="s">
        <v>88</v>
      </c>
      <c r="B193" s="1" t="s">
        <v>72</v>
      </c>
      <c r="C193" s="65">
        <f>tot_fm_back</f>
        <v>1</v>
      </c>
      <c r="D193" s="65" t="s">
        <v>2222</v>
      </c>
      <c r="E193" s="327">
        <f>back_meter_size</f>
        <v>8</v>
      </c>
      <c r="F193" s="1" t="s">
        <v>2527</v>
      </c>
      <c r="G193" s="327">
        <f>IF(curve=1,back_meter_size,VLOOKUP(back_meter_size,mag_fm_cost_cl,2))</f>
        <v>8</v>
      </c>
      <c r="H193" s="1" t="s">
        <v>2527</v>
      </c>
      <c r="I193" s="326">
        <f>IF(curve=1,mag_fm_eq_back,VLOOKUP(back_meter_size,mag_fm_cost_cl,3))</f>
        <v>7292.5138341210004</v>
      </c>
      <c r="J193" s="323">
        <f>IF(I193="contact vendor","--",C193*I193)</f>
        <v>7292.5138341210004</v>
      </c>
      <c r="K193" s="327">
        <f>VLOOKUP(back_meter_size,mag_fm_cost_cl,IF(ss_cat="large",4,5))</f>
        <v>15</v>
      </c>
      <c r="L193" s="334">
        <v>0</v>
      </c>
      <c r="M193" s="27" t="str">
        <f>$B$178&amp;" - "&amp;$B$189&amp;" - "&amp;B193</f>
        <v>Instrumentation - Flow Meters - Backwash - Magnetic</v>
      </c>
      <c r="N193" s="5">
        <f t="shared" si="143"/>
        <v>4</v>
      </c>
      <c r="O193" s="5">
        <f t="shared" si="143"/>
        <v>3</v>
      </c>
      <c r="P193" s="5">
        <f t="shared" si="143"/>
        <v>1</v>
      </c>
      <c r="Q193" s="5">
        <f t="shared" si="143"/>
        <v>4</v>
      </c>
      <c r="R193" s="5">
        <f t="shared" si="143"/>
        <v>3</v>
      </c>
      <c r="S193" s="5">
        <f t="shared" si="143"/>
        <v>1</v>
      </c>
      <c r="T193" s="5">
        <f t="shared" si="143"/>
        <v>2</v>
      </c>
      <c r="U193" s="5">
        <f t="shared" si="144"/>
        <v>1</v>
      </c>
      <c r="V193" s="5">
        <f t="shared" si="144"/>
        <v>1</v>
      </c>
      <c r="W193" s="445">
        <v>0</v>
      </c>
      <c r="X193" s="414">
        <v>4</v>
      </c>
      <c r="Y193" s="414">
        <v>3</v>
      </c>
      <c r="Z193" s="414">
        <v>1</v>
      </c>
      <c r="AA193" s="414">
        <v>4</v>
      </c>
      <c r="AB193" s="414">
        <v>3</v>
      </c>
      <c r="AC193" s="414">
        <v>1</v>
      </c>
      <c r="AD193" s="414">
        <v>2</v>
      </c>
      <c r="AE193" s="414">
        <v>1</v>
      </c>
      <c r="AF193" s="414">
        <v>1</v>
      </c>
      <c r="AG193" s="414">
        <f t="shared" si="139"/>
        <v>0</v>
      </c>
      <c r="AH193" s="414">
        <f t="shared" si="140"/>
        <v>0</v>
      </c>
    </row>
    <row r="194" spans="1:34">
      <c r="A194" s="197" t="s">
        <v>1327</v>
      </c>
      <c r="B194" s="11" t="s">
        <v>83</v>
      </c>
      <c r="C194" s="175"/>
      <c r="D194" s="668"/>
      <c r="E194" s="179"/>
      <c r="F194" s="668"/>
      <c r="G194" s="179"/>
      <c r="H194" s="668"/>
      <c r="I194" s="179"/>
      <c r="J194" s="179"/>
      <c r="K194" s="234"/>
      <c r="L194" s="393"/>
      <c r="M194" s="27"/>
      <c r="N194" s="414"/>
      <c r="O194" s="414"/>
      <c r="P194" s="414"/>
      <c r="Q194" s="414"/>
      <c r="R194" s="414"/>
      <c r="S194" s="414"/>
      <c r="T194" s="414"/>
      <c r="U194" s="414"/>
      <c r="V194" s="414"/>
      <c r="AG194" s="414">
        <f t="shared" si="139"/>
        <v>0</v>
      </c>
      <c r="AH194" s="414">
        <f t="shared" si="140"/>
        <v>0</v>
      </c>
    </row>
    <row r="195" spans="1:34">
      <c r="A195" s="325" t="s">
        <v>89</v>
      </c>
      <c r="B195" s="1" t="s">
        <v>65</v>
      </c>
      <c r="C195" s="65">
        <f>tot_fm_res</f>
        <v>1</v>
      </c>
      <c r="D195" s="65" t="s">
        <v>2222</v>
      </c>
      <c r="E195" s="327">
        <f>res_meter_size</f>
        <v>1.5</v>
      </c>
      <c r="F195" s="1" t="s">
        <v>2527</v>
      </c>
      <c r="G195" s="327">
        <f>IF(curve=1,res_meter_size,VLOOKUP(res_meter_size,op_fm_cost_cl,2))</f>
        <v>1.5</v>
      </c>
      <c r="H195" s="1" t="s">
        <v>2527</v>
      </c>
      <c r="I195" s="326">
        <f>IF(curve=1,op_fm_eq_res,VLOOKUP(res_meter_size,op_fm_cost_cl,3))</f>
        <v>1481.2586202528748</v>
      </c>
      <c r="J195" s="323">
        <f>IF(I195="contact vendor","--",C195*I195)</f>
        <v>1481.2586202528748</v>
      </c>
      <c r="K195" s="327">
        <f>VLOOKUP(res_meter_size,op_fm_cost_cl,IF(ss_cat="large",4,5))</f>
        <v>15</v>
      </c>
      <c r="L195" s="334">
        <v>0</v>
      </c>
      <c r="M195" s="27" t="str">
        <f>$B$178&amp;" - "&amp;$B$194&amp;" - "&amp;B195</f>
        <v>Instrumentation - Flow Meters - Residuals - Orifice Plate</v>
      </c>
      <c r="N195" s="5">
        <f t="shared" ref="N195:N205" si="145">IF(retrofit=1,$W195*X195,IF(ISBLANK(X195),"",X195))</f>
        <v>3</v>
      </c>
      <c r="O195" s="5">
        <f t="shared" ref="O195:O205" si="146">IF(retrofit=1,$W195*Y195,IF(ISBLANK(Y195),"",Y195))</f>
        <v>4</v>
      </c>
      <c r="P195" s="5">
        <f t="shared" ref="P195:P205" si="147">IF(retrofit=1,$W195*Z195,IF(ISBLANK(Z195),"",Z195))</f>
        <v>4</v>
      </c>
      <c r="Q195" s="5">
        <f t="shared" ref="Q195:Q205" si="148">IF(retrofit=1,$W195*AA195,IF(ISBLANK(AA195),"",AA195))</f>
        <v>3</v>
      </c>
      <c r="R195" s="5">
        <f t="shared" ref="R195:R205" si="149">IF(retrofit=1,$W195*AB195,IF(ISBLANK(AB195),"",AB195))</f>
        <v>4</v>
      </c>
      <c r="S195" s="5">
        <f t="shared" ref="S195:S205" si="150">IF(retrofit=1,$W195*AC195,IF(ISBLANK(AC195),"",AC195))</f>
        <v>4</v>
      </c>
      <c r="T195" s="5">
        <f t="shared" ref="T195:T205" si="151">IF(retrofit=1,$W195*AD195,IF(ISBLANK(AD195),"",AD195))</f>
        <v>3</v>
      </c>
      <c r="U195" s="5">
        <f t="shared" ref="U195:U205" si="152">IF(retrofit=1,$W195*AE195,IF(ISBLANK(AE195),"",AE195))</f>
        <v>3</v>
      </c>
      <c r="V195" s="5">
        <f t="shared" ref="V195:V205" si="153">IF(retrofit=1,$W195*AF195,IF(ISBLANK(AF195),"",AF195))</f>
        <v>4</v>
      </c>
      <c r="W195" s="445">
        <v>0</v>
      </c>
      <c r="X195" s="414">
        <v>3</v>
      </c>
      <c r="Y195" s="414">
        <v>4</v>
      </c>
      <c r="Z195" s="414">
        <v>4</v>
      </c>
      <c r="AA195" s="414">
        <v>3</v>
      </c>
      <c r="AB195" s="414">
        <v>4</v>
      </c>
      <c r="AC195" s="414">
        <v>4</v>
      </c>
      <c r="AD195" s="414">
        <v>3</v>
      </c>
      <c r="AE195" s="414">
        <v>3</v>
      </c>
      <c r="AF195" s="414">
        <v>4</v>
      </c>
      <c r="AG195" s="414">
        <f t="shared" si="139"/>
        <v>0</v>
      </c>
      <c r="AH195" s="414">
        <f t="shared" si="140"/>
        <v>0</v>
      </c>
    </row>
    <row r="196" spans="1:34">
      <c r="A196" s="325" t="s">
        <v>89</v>
      </c>
      <c r="B196" s="1" t="s">
        <v>66</v>
      </c>
      <c r="C196" s="65">
        <f>tot_fm_res</f>
        <v>1</v>
      </c>
      <c r="D196" s="65" t="s">
        <v>2222</v>
      </c>
      <c r="E196" s="327">
        <f>res_meter_size</f>
        <v>1.5</v>
      </c>
      <c r="F196" s="1" t="s">
        <v>2527</v>
      </c>
      <c r="G196" s="327">
        <f>IF(curve=1,res_meter_size,VLOOKUP(res_meter_size,prop_fm_cost_cl,2))</f>
        <v>1.5</v>
      </c>
      <c r="H196" s="1" t="s">
        <v>2527</v>
      </c>
      <c r="I196" s="326">
        <f>IF(curve=1,prop_fm_eq_res,VLOOKUP(res_meter_size,prop_fm_cost_cl,3))</f>
        <v>2349.8597533491247</v>
      </c>
      <c r="J196" s="323">
        <f>IF(I196="contact vendor","--",C196*I196)</f>
        <v>2349.8597533491247</v>
      </c>
      <c r="K196" s="327">
        <f>VLOOKUP(res_meter_size,prop_fm_cost_cl,IF(ss_cat="large",4,5))</f>
        <v>15</v>
      </c>
      <c r="L196" s="334">
        <v>1</v>
      </c>
      <c r="M196" s="27" t="str">
        <f>$B$178&amp;" - "&amp;$B$194&amp;" - "&amp;B196</f>
        <v>Instrumentation - Flow Meters - Residuals - Propeller</v>
      </c>
      <c r="N196" s="5">
        <f t="shared" si="145"/>
        <v>1</v>
      </c>
      <c r="O196" s="5">
        <f t="shared" si="146"/>
        <v>2</v>
      </c>
      <c r="P196" s="5">
        <f t="shared" si="147"/>
        <v>3</v>
      </c>
      <c r="Q196" s="5">
        <f t="shared" si="148"/>
        <v>1</v>
      </c>
      <c r="R196" s="5">
        <f t="shared" si="149"/>
        <v>2</v>
      </c>
      <c r="S196" s="5">
        <f t="shared" si="150"/>
        <v>3</v>
      </c>
      <c r="T196" s="5">
        <f t="shared" si="151"/>
        <v>4</v>
      </c>
      <c r="U196" s="5">
        <f t="shared" si="152"/>
        <v>4</v>
      </c>
      <c r="V196" s="5">
        <f t="shared" si="153"/>
        <v>2</v>
      </c>
      <c r="W196" s="445">
        <v>0</v>
      </c>
      <c r="X196" s="414">
        <v>1</v>
      </c>
      <c r="Y196" s="414">
        <v>2</v>
      </c>
      <c r="Z196" s="414">
        <v>3</v>
      </c>
      <c r="AA196" s="414">
        <v>1</v>
      </c>
      <c r="AB196" s="414">
        <v>2</v>
      </c>
      <c r="AC196" s="414">
        <v>3</v>
      </c>
      <c r="AD196" s="414">
        <v>4</v>
      </c>
      <c r="AE196" s="414">
        <v>4</v>
      </c>
      <c r="AF196" s="414">
        <v>2</v>
      </c>
      <c r="AG196" s="414">
        <f t="shared" si="139"/>
        <v>1</v>
      </c>
      <c r="AH196" s="414">
        <f t="shared" si="140"/>
        <v>156.65731688994165</v>
      </c>
    </row>
    <row r="197" spans="1:34">
      <c r="A197" s="325" t="s">
        <v>89</v>
      </c>
      <c r="B197" s="1" t="s">
        <v>69</v>
      </c>
      <c r="C197" s="65">
        <f>tot_fm_res</f>
        <v>1</v>
      </c>
      <c r="D197" s="65" t="s">
        <v>2222</v>
      </c>
      <c r="E197" s="327">
        <f>res_meter_size</f>
        <v>1.5</v>
      </c>
      <c r="F197" s="1" t="s">
        <v>2527</v>
      </c>
      <c r="G197" s="327">
        <f>IF(curve=1,res_meter_size,VLOOKUP(res_meter_size,ven_fm_cost_cl,2))</f>
        <v>1.5</v>
      </c>
      <c r="H197" s="1" t="s">
        <v>2527</v>
      </c>
      <c r="I197" s="326">
        <f>IF(curve=1,ven_fm_eq_res,VLOOKUP(res_meter_size,ven_fm_cost_cl,3))</f>
        <v>2229.8808308963748</v>
      </c>
      <c r="J197" s="323">
        <f>IF(I197="contact vendor","--",C197*I197)</f>
        <v>2229.8808308963748</v>
      </c>
      <c r="K197" s="327">
        <f>VLOOKUP(res_meter_size,ven_fm_cost_cl,IF(ss_cat="large",4,5))</f>
        <v>15</v>
      </c>
      <c r="L197" s="334">
        <v>0</v>
      </c>
      <c r="M197" s="27" t="str">
        <f>$B$178&amp;" - "&amp;$B$194&amp;" - "&amp;B197</f>
        <v>Instrumentation - Flow Meters - Residuals - Venturi</v>
      </c>
      <c r="N197" s="5">
        <f t="shared" si="145"/>
        <v>2</v>
      </c>
      <c r="O197" s="5">
        <f t="shared" si="146"/>
        <v>1</v>
      </c>
      <c r="P197" s="5">
        <f t="shared" si="147"/>
        <v>2</v>
      </c>
      <c r="Q197" s="5">
        <f t="shared" si="148"/>
        <v>2</v>
      </c>
      <c r="R197" s="5">
        <f t="shared" si="149"/>
        <v>1</v>
      </c>
      <c r="S197" s="5">
        <f t="shared" si="150"/>
        <v>2</v>
      </c>
      <c r="T197" s="5">
        <f t="shared" si="151"/>
        <v>1</v>
      </c>
      <c r="U197" s="5">
        <f t="shared" si="152"/>
        <v>2</v>
      </c>
      <c r="V197" s="5">
        <f t="shared" si="153"/>
        <v>3</v>
      </c>
      <c r="W197" s="445">
        <v>0</v>
      </c>
      <c r="X197" s="414">
        <v>2</v>
      </c>
      <c r="Y197" s="414">
        <v>1</v>
      </c>
      <c r="Z197" s="414">
        <v>2</v>
      </c>
      <c r="AA197" s="414">
        <v>2</v>
      </c>
      <c r="AB197" s="414">
        <v>1</v>
      </c>
      <c r="AC197" s="414">
        <v>2</v>
      </c>
      <c r="AD197" s="414">
        <v>1</v>
      </c>
      <c r="AE197" s="414">
        <v>2</v>
      </c>
      <c r="AF197" s="414">
        <v>3</v>
      </c>
      <c r="AG197" s="414">
        <f t="shared" si="139"/>
        <v>0</v>
      </c>
      <c r="AH197" s="414">
        <f t="shared" si="140"/>
        <v>0</v>
      </c>
    </row>
    <row r="198" spans="1:34">
      <c r="A198" s="325" t="s">
        <v>89</v>
      </c>
      <c r="B198" s="1" t="s">
        <v>72</v>
      </c>
      <c r="C198" s="65">
        <f>tot_fm_res</f>
        <v>1</v>
      </c>
      <c r="D198" s="65" t="s">
        <v>2222</v>
      </c>
      <c r="E198" s="327">
        <f>res_meter_size</f>
        <v>1.5</v>
      </c>
      <c r="F198" s="1" t="s">
        <v>2527</v>
      </c>
      <c r="G198" s="327">
        <f>IF(curve=1,res_meter_size,VLOOKUP(res_meter_size,mag_fm_cost_cl,2))</f>
        <v>1.5</v>
      </c>
      <c r="H198" s="1" t="s">
        <v>2527</v>
      </c>
      <c r="I198" s="326">
        <f>IF(curve=1,mag_fm_eq_res,VLOOKUP(res_meter_size,mag_fm_cost_cl,3))</f>
        <v>3844.6249606383749</v>
      </c>
      <c r="J198" s="323">
        <f>IF(I198="contact vendor","--",C198*I198)</f>
        <v>3844.6249606383749</v>
      </c>
      <c r="K198" s="327">
        <f>VLOOKUP(res_meter_size,mag_fm_cost_cl,IF(ss_cat="large",4,5))</f>
        <v>15</v>
      </c>
      <c r="L198" s="334">
        <v>0</v>
      </c>
      <c r="M198" s="27" t="str">
        <f>$B$178&amp;" - "&amp;$B$194&amp;" - "&amp;B198</f>
        <v>Instrumentation - Flow Meters - Residuals - Magnetic</v>
      </c>
      <c r="N198" s="5">
        <f t="shared" si="145"/>
        <v>4</v>
      </c>
      <c r="O198" s="5">
        <f t="shared" si="146"/>
        <v>3</v>
      </c>
      <c r="P198" s="5">
        <f t="shared" si="147"/>
        <v>1</v>
      </c>
      <c r="Q198" s="5">
        <f t="shared" si="148"/>
        <v>4</v>
      </c>
      <c r="R198" s="5">
        <f t="shared" si="149"/>
        <v>3</v>
      </c>
      <c r="S198" s="5">
        <f t="shared" si="150"/>
        <v>1</v>
      </c>
      <c r="T198" s="5">
        <f t="shared" si="151"/>
        <v>2</v>
      </c>
      <c r="U198" s="5">
        <f t="shared" si="152"/>
        <v>1</v>
      </c>
      <c r="V198" s="5">
        <f t="shared" si="153"/>
        <v>1</v>
      </c>
      <c r="W198" s="445">
        <v>0</v>
      </c>
      <c r="X198" s="414">
        <v>4</v>
      </c>
      <c r="Y198" s="414">
        <v>3</v>
      </c>
      <c r="Z198" s="414">
        <v>1</v>
      </c>
      <c r="AA198" s="414">
        <v>4</v>
      </c>
      <c r="AB198" s="414">
        <v>3</v>
      </c>
      <c r="AC198" s="414">
        <v>1</v>
      </c>
      <c r="AD198" s="414">
        <v>2</v>
      </c>
      <c r="AE198" s="414">
        <v>1</v>
      </c>
      <c r="AF198" s="414">
        <v>1</v>
      </c>
      <c r="AG198" s="414">
        <f t="shared" si="139"/>
        <v>0</v>
      </c>
      <c r="AH198" s="414">
        <f t="shared" si="140"/>
        <v>0</v>
      </c>
    </row>
    <row r="199" spans="1:34">
      <c r="A199" s="390" t="s">
        <v>3120</v>
      </c>
      <c r="B199" s="308" t="s">
        <v>987</v>
      </c>
      <c r="C199" s="65">
        <f>tot_level_switch</f>
        <v>0</v>
      </c>
      <c r="D199" s="65" t="s">
        <v>2222</v>
      </c>
      <c r="E199" s="327" t="s">
        <v>720</v>
      </c>
      <c r="F199" s="1"/>
      <c r="G199" s="327" t="s">
        <v>720</v>
      </c>
      <c r="H199" s="1"/>
      <c r="I199" s="326" t="str">
        <f>IF(C199=0,"NA",VLOOKUP(0,alarm_cost_cl,3))</f>
        <v>NA</v>
      </c>
      <c r="J199" s="323" t="str">
        <f>IF(C199=0,"--",IF(I199="contact vendor","--",C199*I199))</f>
        <v>--</v>
      </c>
      <c r="K199" s="327" t="str">
        <f>IF(C199=0,"NA",VLOOKUP(0,alarm_cost_cl,IF(ss_cat="large",4,5)))</f>
        <v>NA</v>
      </c>
      <c r="L199" s="324"/>
      <c r="M199" s="27" t="str">
        <f t="shared" ref="M199:M205" si="154">B199</f>
        <v>Level Switches/Alarms (for vessels)</v>
      </c>
      <c r="N199" s="5">
        <f t="shared" si="145"/>
        <v>1</v>
      </c>
      <c r="O199" s="5">
        <f t="shared" si="146"/>
        <v>1</v>
      </c>
      <c r="P199" s="5">
        <f t="shared" si="147"/>
        <v>1</v>
      </c>
      <c r="Q199" s="5">
        <f t="shared" si="148"/>
        <v>1</v>
      </c>
      <c r="R199" s="5">
        <f t="shared" si="149"/>
        <v>1</v>
      </c>
      <c r="S199" s="5">
        <f t="shared" si="150"/>
        <v>1</v>
      </c>
      <c r="T199" s="5">
        <f t="shared" si="151"/>
        <v>1</v>
      </c>
      <c r="U199" s="5">
        <f t="shared" si="152"/>
        <v>1</v>
      </c>
      <c r="V199" s="5">
        <f t="shared" si="153"/>
        <v>1</v>
      </c>
      <c r="W199" s="445">
        <v>0</v>
      </c>
      <c r="X199" s="414">
        <v>1</v>
      </c>
      <c r="Y199" s="414">
        <v>1</v>
      </c>
      <c r="Z199" s="414">
        <v>1</v>
      </c>
      <c r="AA199" s="414">
        <v>1</v>
      </c>
      <c r="AB199" s="414">
        <v>1</v>
      </c>
      <c r="AC199" s="414">
        <v>1</v>
      </c>
      <c r="AD199" s="414">
        <v>1</v>
      </c>
      <c r="AE199" s="414">
        <v>1</v>
      </c>
      <c r="AF199" s="414">
        <v>1</v>
      </c>
      <c r="AG199" s="414">
        <f t="shared" si="139"/>
        <v>0</v>
      </c>
      <c r="AH199" s="414">
        <f t="shared" si="140"/>
        <v>0</v>
      </c>
    </row>
    <row r="200" spans="1:34">
      <c r="A200" s="390" t="s">
        <v>985</v>
      </c>
      <c r="B200" s="308" t="s">
        <v>988</v>
      </c>
      <c r="C200" s="65">
        <f>tot_back_alarm</f>
        <v>1</v>
      </c>
      <c r="D200" s="65" t="s">
        <v>2222</v>
      </c>
      <c r="E200" s="327" t="s">
        <v>720</v>
      </c>
      <c r="F200" s="327"/>
      <c r="G200" s="327" t="s">
        <v>720</v>
      </c>
      <c r="H200" s="65"/>
      <c r="I200" s="326">
        <f>IF(C200=0,"NA",VLOOKUP(0,alarm_cost_cl,3))</f>
        <v>600.18707669670891</v>
      </c>
      <c r="J200" s="323">
        <f>IF(OR(I200="contact vendor",I200="NA"),"--",C200*I200)</f>
        <v>600.18707669670891</v>
      </c>
      <c r="K200" s="327">
        <f>IF(C200=0,"NA",VLOOKUP(0,alarm_cost_cl,IF(ss_cat="large",4,5)))</f>
        <v>15</v>
      </c>
      <c r="L200" s="324">
        <v>1</v>
      </c>
      <c r="M200" s="27" t="str">
        <f t="shared" si="154"/>
        <v>High/Low Alarms (for backwash tanks)</v>
      </c>
      <c r="N200" s="5">
        <f t="shared" si="145"/>
        <v>1</v>
      </c>
      <c r="O200" s="5">
        <f t="shared" si="146"/>
        <v>1</v>
      </c>
      <c r="P200" s="5">
        <f t="shared" si="147"/>
        <v>1</v>
      </c>
      <c r="Q200" s="5">
        <f t="shared" si="148"/>
        <v>1</v>
      </c>
      <c r="R200" s="5">
        <f t="shared" si="149"/>
        <v>1</v>
      </c>
      <c r="S200" s="5">
        <f t="shared" si="150"/>
        <v>1</v>
      </c>
      <c r="T200" s="5">
        <f t="shared" si="151"/>
        <v>1</v>
      </c>
      <c r="U200" s="5">
        <f t="shared" si="152"/>
        <v>1</v>
      </c>
      <c r="V200" s="5">
        <f t="shared" si="153"/>
        <v>1</v>
      </c>
      <c r="W200" s="445">
        <v>0</v>
      </c>
      <c r="X200" s="414">
        <v>1</v>
      </c>
      <c r="Y200" s="414">
        <v>1</v>
      </c>
      <c r="Z200" s="414">
        <v>1</v>
      </c>
      <c r="AA200" s="414">
        <v>1</v>
      </c>
      <c r="AB200" s="414">
        <v>1</v>
      </c>
      <c r="AC200" s="414">
        <v>1</v>
      </c>
      <c r="AD200" s="414">
        <v>1</v>
      </c>
      <c r="AE200" s="414">
        <v>1</v>
      </c>
      <c r="AF200" s="414">
        <v>1</v>
      </c>
      <c r="AG200" s="414">
        <f t="shared" si="139"/>
        <v>1</v>
      </c>
      <c r="AH200" s="414">
        <f t="shared" si="140"/>
        <v>40.012471779780597</v>
      </c>
    </row>
    <row r="201" spans="1:34">
      <c r="A201" s="390" t="s">
        <v>3121</v>
      </c>
      <c r="B201" s="337" t="s">
        <v>835</v>
      </c>
      <c r="C201" s="65">
        <f>tot_res_alarm</f>
        <v>1</v>
      </c>
      <c r="D201" s="65" t="s">
        <v>2222</v>
      </c>
      <c r="E201" s="327" t="s">
        <v>720</v>
      </c>
      <c r="F201" s="65"/>
      <c r="G201" s="327" t="s">
        <v>720</v>
      </c>
      <c r="H201" s="65"/>
      <c r="I201" s="326">
        <f>IF(C201=0,"NA",VLOOKUP(0,alarm_cost_cl,3))</f>
        <v>600.18707669670891</v>
      </c>
      <c r="J201" s="323">
        <f>IF(OR(I201="contact vendor",I201="NA"),"--",C201*I201)</f>
        <v>600.18707669670891</v>
      </c>
      <c r="K201" s="327">
        <f>IF(C201=0,"NA",VLOOKUP(0,alarm_cost_cl,IF(ss_cat="large",4,5)))</f>
        <v>15</v>
      </c>
      <c r="L201" s="338">
        <v>1</v>
      </c>
      <c r="M201" s="27" t="str">
        <f>B201</f>
        <v>High/Low Alarm (for holding tanks)</v>
      </c>
      <c r="N201" s="5">
        <f t="shared" si="145"/>
        <v>1</v>
      </c>
      <c r="O201" s="5">
        <f t="shared" si="146"/>
        <v>1</v>
      </c>
      <c r="P201" s="5">
        <f t="shared" si="147"/>
        <v>1</v>
      </c>
      <c r="Q201" s="5">
        <f t="shared" si="148"/>
        <v>1</v>
      </c>
      <c r="R201" s="5">
        <f t="shared" si="149"/>
        <v>1</v>
      </c>
      <c r="S201" s="5">
        <f t="shared" si="150"/>
        <v>1</v>
      </c>
      <c r="T201" s="5">
        <f t="shared" si="151"/>
        <v>1</v>
      </c>
      <c r="U201" s="5">
        <f t="shared" si="152"/>
        <v>1</v>
      </c>
      <c r="V201" s="5">
        <f t="shared" si="153"/>
        <v>1</v>
      </c>
      <c r="W201" s="445">
        <v>0</v>
      </c>
      <c r="X201" s="414">
        <v>1</v>
      </c>
      <c r="Y201" s="414">
        <v>1</v>
      </c>
      <c r="Z201" s="414">
        <v>1</v>
      </c>
      <c r="AA201" s="414">
        <v>1</v>
      </c>
      <c r="AB201" s="414">
        <v>1</v>
      </c>
      <c r="AC201" s="414">
        <v>1</v>
      </c>
      <c r="AD201" s="414">
        <v>1</v>
      </c>
      <c r="AE201" s="414">
        <v>1</v>
      </c>
      <c r="AF201" s="414">
        <v>1</v>
      </c>
      <c r="AG201" s="414">
        <f t="shared" si="139"/>
        <v>1</v>
      </c>
      <c r="AH201" s="414">
        <f t="shared" si="140"/>
        <v>40.012471779780597</v>
      </c>
    </row>
    <row r="202" spans="1:34">
      <c r="A202" s="390" t="s">
        <v>986</v>
      </c>
      <c r="B202" s="308" t="s">
        <v>989</v>
      </c>
      <c r="C202" s="65">
        <f>pH_controls</f>
        <v>2</v>
      </c>
      <c r="D202" s="65" t="s">
        <v>2222</v>
      </c>
      <c r="E202" s="327" t="s">
        <v>720</v>
      </c>
      <c r="F202" s="1"/>
      <c r="G202" s="327" t="s">
        <v>720</v>
      </c>
      <c r="H202" s="1"/>
      <c r="I202" s="326">
        <f>IF(C202=0,"NA",VLOOKUP(0,pH_meter_cost_cl,3))</f>
        <v>3047.1155477538618</v>
      </c>
      <c r="J202" s="323">
        <f>IF(OR(C202=0,I202="contact vendor"),"--",C202*I202)</f>
        <v>6094.2310955077237</v>
      </c>
      <c r="K202" s="327">
        <f>IF(C202=0,"NA",VLOOKUP(0,pH_meter_cost_cl,IF(ss_cat="large",4,5)))</f>
        <v>15</v>
      </c>
      <c r="L202" s="324">
        <v>1</v>
      </c>
      <c r="M202" s="27" t="str">
        <f t="shared" si="154"/>
        <v>pH Meters</v>
      </c>
      <c r="N202" s="5">
        <f t="shared" si="145"/>
        <v>1</v>
      </c>
      <c r="O202" s="5">
        <f t="shared" si="146"/>
        <v>1</v>
      </c>
      <c r="P202" s="5">
        <f t="shared" si="147"/>
        <v>1</v>
      </c>
      <c r="Q202" s="5">
        <f t="shared" si="148"/>
        <v>1</v>
      </c>
      <c r="R202" s="5">
        <f t="shared" si="149"/>
        <v>1</v>
      </c>
      <c r="S202" s="5">
        <f t="shared" si="150"/>
        <v>1</v>
      </c>
      <c r="T202" s="5">
        <f t="shared" si="151"/>
        <v>1</v>
      </c>
      <c r="U202" s="5">
        <f t="shared" si="152"/>
        <v>1</v>
      </c>
      <c r="V202" s="5">
        <f t="shared" si="153"/>
        <v>1</v>
      </c>
      <c r="W202" s="445">
        <v>0</v>
      </c>
      <c r="X202" s="414">
        <v>1</v>
      </c>
      <c r="Y202" s="414">
        <v>1</v>
      </c>
      <c r="Z202" s="414">
        <v>1</v>
      </c>
      <c r="AA202" s="414">
        <v>1</v>
      </c>
      <c r="AB202" s="414">
        <v>1</v>
      </c>
      <c r="AC202" s="414">
        <v>1</v>
      </c>
      <c r="AD202" s="414">
        <v>1</v>
      </c>
      <c r="AE202" s="414">
        <v>1</v>
      </c>
      <c r="AF202" s="414">
        <v>1</v>
      </c>
      <c r="AG202" s="414">
        <f t="shared" si="139"/>
        <v>1</v>
      </c>
      <c r="AH202" s="414">
        <f t="shared" si="140"/>
        <v>406.28207303384823</v>
      </c>
    </row>
    <row r="203" spans="1:34">
      <c r="A203" s="388" t="s">
        <v>3122</v>
      </c>
      <c r="B203" s="308" t="s">
        <v>2435</v>
      </c>
      <c r="C203" s="65">
        <f>tot_temp_meters</f>
        <v>2</v>
      </c>
      <c r="D203" s="65" t="s">
        <v>2222</v>
      </c>
      <c r="E203" s="327" t="s">
        <v>720</v>
      </c>
      <c r="F203" s="1"/>
      <c r="G203" s="327" t="s">
        <v>720</v>
      </c>
      <c r="H203" s="1"/>
      <c r="I203" s="326">
        <f>IF(C203=0,"NA",VLOOKUP(0,temp_meter_cost_cl,3))</f>
        <v>794.75852923757691</v>
      </c>
      <c r="J203" s="323">
        <f>IF(OR(C203=0,I203="contact vendor"),"--",C203*I203)</f>
        <v>1589.5170584751538</v>
      </c>
      <c r="K203" s="327">
        <f>IF(C203=0,"NA",VLOOKUP(0,temp_meter_cost_cl,IF(ss_cat="large",4,5)))</f>
        <v>15</v>
      </c>
      <c r="L203" s="324">
        <v>1</v>
      </c>
      <c r="M203" s="27" t="str">
        <f t="shared" si="154"/>
        <v>Temperature meters</v>
      </c>
      <c r="N203" s="5">
        <f t="shared" si="145"/>
        <v>1</v>
      </c>
      <c r="O203" s="5">
        <f t="shared" si="146"/>
        <v>1</v>
      </c>
      <c r="P203" s="5">
        <f t="shared" si="147"/>
        <v>1</v>
      </c>
      <c r="Q203" s="5">
        <f t="shared" si="148"/>
        <v>1</v>
      </c>
      <c r="R203" s="5">
        <f t="shared" si="149"/>
        <v>1</v>
      </c>
      <c r="S203" s="5">
        <f t="shared" si="150"/>
        <v>1</v>
      </c>
      <c r="T203" s="5">
        <f t="shared" si="151"/>
        <v>1</v>
      </c>
      <c r="U203" s="5">
        <f t="shared" si="152"/>
        <v>1</v>
      </c>
      <c r="V203" s="5">
        <f t="shared" si="153"/>
        <v>1</v>
      </c>
      <c r="W203" s="445">
        <v>0</v>
      </c>
      <c r="X203" s="414">
        <v>1</v>
      </c>
      <c r="Y203" s="414">
        <v>1</v>
      </c>
      <c r="Z203" s="414">
        <v>1</v>
      </c>
      <c r="AA203" s="414">
        <v>1</v>
      </c>
      <c r="AB203" s="414">
        <v>1</v>
      </c>
      <c r="AC203" s="414">
        <v>1</v>
      </c>
      <c r="AD203" s="414">
        <v>1</v>
      </c>
      <c r="AE203" s="414">
        <v>1</v>
      </c>
      <c r="AF203" s="414">
        <v>1</v>
      </c>
      <c r="AG203" s="414">
        <f t="shared" si="139"/>
        <v>1</v>
      </c>
      <c r="AH203" s="414">
        <f t="shared" si="140"/>
        <v>105.96780389834359</v>
      </c>
    </row>
    <row r="204" spans="1:34">
      <c r="A204" s="390" t="s">
        <v>3123</v>
      </c>
      <c r="B204" s="308" t="s">
        <v>1767</v>
      </c>
      <c r="C204" s="65">
        <f>tot_turb_meters</f>
        <v>3</v>
      </c>
      <c r="D204" s="65" t="s">
        <v>2222</v>
      </c>
      <c r="E204" s="327" t="s">
        <v>720</v>
      </c>
      <c r="F204" s="1"/>
      <c r="G204" s="327" t="s">
        <v>720</v>
      </c>
      <c r="H204" s="1"/>
      <c r="I204" s="326">
        <f>IF(C204=0,"NA",VLOOKUP(0,turbidimeter_cost_cl,3))</f>
        <v>6183.7045937122821</v>
      </c>
      <c r="J204" s="323">
        <f>IF(OR(C204=0,I204="contact vendor"),"--",C204*I204)</f>
        <v>18551.113781136846</v>
      </c>
      <c r="K204" s="327">
        <f>IF(C204=0,"NA",VLOOKUP(0,turbidimeter_cost_cl,IF(ss_cat="large",4,5)))</f>
        <v>15</v>
      </c>
      <c r="L204" s="324">
        <v>1</v>
      </c>
      <c r="M204" s="27" t="str">
        <f t="shared" si="154"/>
        <v>Turbidity meters</v>
      </c>
      <c r="N204" s="5">
        <f t="shared" si="145"/>
        <v>1</v>
      </c>
      <c r="O204" s="5">
        <f t="shared" si="146"/>
        <v>1</v>
      </c>
      <c r="P204" s="5">
        <f t="shared" si="147"/>
        <v>1</v>
      </c>
      <c r="Q204" s="5">
        <f t="shared" si="148"/>
        <v>1</v>
      </c>
      <c r="R204" s="5">
        <f t="shared" si="149"/>
        <v>1</v>
      </c>
      <c r="S204" s="5">
        <f t="shared" si="150"/>
        <v>1</v>
      </c>
      <c r="T204" s="5">
        <f t="shared" si="151"/>
        <v>1</v>
      </c>
      <c r="U204" s="5">
        <f t="shared" si="152"/>
        <v>1</v>
      </c>
      <c r="V204" s="5">
        <f t="shared" si="153"/>
        <v>1</v>
      </c>
      <c r="W204" s="445">
        <v>0</v>
      </c>
      <c r="X204" s="414">
        <v>1</v>
      </c>
      <c r="Y204" s="414">
        <v>1</v>
      </c>
      <c r="Z204" s="414">
        <v>1</v>
      </c>
      <c r="AA204" s="414">
        <v>1</v>
      </c>
      <c r="AB204" s="414">
        <v>1</v>
      </c>
      <c r="AC204" s="414">
        <v>1</v>
      </c>
      <c r="AD204" s="414">
        <v>1</v>
      </c>
      <c r="AE204" s="414">
        <v>1</v>
      </c>
      <c r="AF204" s="414">
        <v>1</v>
      </c>
      <c r="AG204" s="414">
        <f t="shared" si="139"/>
        <v>1</v>
      </c>
      <c r="AH204" s="414">
        <f t="shared" si="140"/>
        <v>1236.7409187424564</v>
      </c>
    </row>
    <row r="205" spans="1:34">
      <c r="A205" s="390" t="s">
        <v>90</v>
      </c>
      <c r="B205" s="308" t="s">
        <v>1768</v>
      </c>
      <c r="C205" s="65">
        <f>tot_head_sens</f>
        <v>5</v>
      </c>
      <c r="D205" s="65" t="s">
        <v>2222</v>
      </c>
      <c r="E205" s="327" t="s">
        <v>720</v>
      </c>
      <c r="F205" s="1"/>
      <c r="G205" s="327" t="s">
        <v>720</v>
      </c>
      <c r="H205" s="1"/>
      <c r="I205" s="326">
        <f>IF(C205=0,"NA",VLOOKUP(0,headloss_cost_cl,3))</f>
        <v>2388.9364733422249</v>
      </c>
      <c r="J205" s="323">
        <f>IF(OR(C205=0,I205="contact vendor"),"--",C205*I205)</f>
        <v>11944.682366711124</v>
      </c>
      <c r="K205" s="327">
        <f>IF(C205=0,"NA",VLOOKUP(0,headloss_cost_cl,IF(ss_cat="large",4,5)))</f>
        <v>15</v>
      </c>
      <c r="L205" s="324">
        <v>1</v>
      </c>
      <c r="M205" s="27" t="str">
        <f t="shared" si="154"/>
        <v>Head loss sensors</v>
      </c>
      <c r="N205" s="5">
        <f t="shared" si="145"/>
        <v>1</v>
      </c>
      <c r="O205" s="5">
        <f t="shared" si="146"/>
        <v>1</v>
      </c>
      <c r="P205" s="5">
        <f t="shared" si="147"/>
        <v>1</v>
      </c>
      <c r="Q205" s="5">
        <f t="shared" si="148"/>
        <v>1</v>
      </c>
      <c r="R205" s="5">
        <f t="shared" si="149"/>
        <v>1</v>
      </c>
      <c r="S205" s="5">
        <f t="shared" si="150"/>
        <v>1</v>
      </c>
      <c r="T205" s="5">
        <f t="shared" si="151"/>
        <v>1</v>
      </c>
      <c r="U205" s="5">
        <f t="shared" si="152"/>
        <v>1</v>
      </c>
      <c r="V205" s="5">
        <f t="shared" si="153"/>
        <v>1</v>
      </c>
      <c r="W205" s="445">
        <v>0</v>
      </c>
      <c r="X205" s="414">
        <v>1</v>
      </c>
      <c r="Y205" s="414">
        <v>1</v>
      </c>
      <c r="Z205" s="414">
        <v>1</v>
      </c>
      <c r="AA205" s="414">
        <v>1</v>
      </c>
      <c r="AB205" s="414">
        <v>1</v>
      </c>
      <c r="AC205" s="414">
        <v>1</v>
      </c>
      <c r="AD205" s="414">
        <v>1</v>
      </c>
      <c r="AE205" s="414">
        <v>1</v>
      </c>
      <c r="AF205" s="414">
        <v>1</v>
      </c>
      <c r="AG205" s="414">
        <f t="shared" si="139"/>
        <v>1</v>
      </c>
      <c r="AH205" s="414">
        <f t="shared" si="140"/>
        <v>796.31215778074159</v>
      </c>
    </row>
    <row r="206" spans="1:34">
      <c r="A206" s="388" t="s">
        <v>91</v>
      </c>
      <c r="B206" s="11" t="s">
        <v>2161</v>
      </c>
      <c r="C206" s="175"/>
      <c r="D206" s="668"/>
      <c r="E206" s="175"/>
      <c r="F206" s="669"/>
      <c r="G206" s="175"/>
      <c r="H206" s="669"/>
      <c r="I206" s="175"/>
      <c r="J206" s="175"/>
      <c r="K206" s="175"/>
      <c r="L206" s="196"/>
      <c r="M206" s="27"/>
      <c r="AG206" s="414">
        <f t="shared" si="139"/>
        <v>0</v>
      </c>
      <c r="AH206" s="414">
        <f t="shared" si="140"/>
        <v>0</v>
      </c>
    </row>
    <row r="207" spans="1:34">
      <c r="A207" s="325" t="s">
        <v>92</v>
      </c>
      <c r="B207" s="1" t="s">
        <v>17</v>
      </c>
      <c r="C207" s="65">
        <f>ports</f>
        <v>8</v>
      </c>
      <c r="D207" s="65" t="s">
        <v>2222</v>
      </c>
      <c r="E207" s="327" t="s">
        <v>720</v>
      </c>
      <c r="F207" s="1"/>
      <c r="G207" s="327" t="s">
        <v>720</v>
      </c>
      <c r="H207" s="1"/>
      <c r="I207" s="322">
        <v>50</v>
      </c>
      <c r="J207" s="323">
        <f>IF(I207="contact vendor","--",C207*I207)</f>
        <v>400</v>
      </c>
      <c r="K207" s="65">
        <f>IF(ss_cat="large",35,30)</f>
        <v>35</v>
      </c>
      <c r="L207" s="324">
        <v>0</v>
      </c>
      <c r="M207" s="27" t="str">
        <f>$B$206&amp;" - "&amp;B207</f>
        <v>Sampling Ports - Stainless Steel</v>
      </c>
      <c r="N207" s="5">
        <f t="shared" ref="N207:T209" si="155">IF(retrofit=1,$W207*X207,IF(ISBLANK(X207),"",X207))</f>
        <v>2</v>
      </c>
      <c r="O207" s="5">
        <f t="shared" si="155"/>
        <v>1</v>
      </c>
      <c r="P207" s="5">
        <f t="shared" si="155"/>
        <v>1</v>
      </c>
      <c r="Q207" s="5">
        <f t="shared" si="155"/>
        <v>2</v>
      </c>
      <c r="R207" s="5">
        <f t="shared" si="155"/>
        <v>1</v>
      </c>
      <c r="S207" s="5">
        <f t="shared" si="155"/>
        <v>1</v>
      </c>
      <c r="T207" s="5">
        <f t="shared" si="155"/>
        <v>2</v>
      </c>
      <c r="U207" s="5">
        <f t="shared" ref="U207:V209" si="156">IF(retrofit=1,$W207*AE207,IF(ISBLANK(AE207),"",AE207))</f>
        <v>1</v>
      </c>
      <c r="V207" s="5">
        <f t="shared" si="156"/>
        <v>1</v>
      </c>
      <c r="W207" s="445">
        <v>0</v>
      </c>
      <c r="X207" s="414">
        <v>2</v>
      </c>
      <c r="Y207" s="414">
        <v>1</v>
      </c>
      <c r="Z207" s="414">
        <v>1</v>
      </c>
      <c r="AA207" s="414">
        <v>2</v>
      </c>
      <c r="AB207" s="414">
        <v>1</v>
      </c>
      <c r="AC207" s="414">
        <v>1</v>
      </c>
      <c r="AD207" s="414">
        <v>2</v>
      </c>
      <c r="AE207" s="414">
        <v>1</v>
      </c>
      <c r="AF207" s="414">
        <v>1</v>
      </c>
      <c r="AG207" s="414">
        <f t="shared" si="139"/>
        <v>0</v>
      </c>
      <c r="AH207" s="414">
        <f t="shared" si="140"/>
        <v>0</v>
      </c>
    </row>
    <row r="208" spans="1:34">
      <c r="A208" s="325" t="s">
        <v>92</v>
      </c>
      <c r="B208" s="1" t="s">
        <v>18</v>
      </c>
      <c r="C208" s="65">
        <f>ports</f>
        <v>8</v>
      </c>
      <c r="D208" s="65" t="s">
        <v>2222</v>
      </c>
      <c r="E208" s="327" t="s">
        <v>720</v>
      </c>
      <c r="F208" s="1"/>
      <c r="G208" s="327" t="s">
        <v>720</v>
      </c>
      <c r="H208" s="1"/>
      <c r="I208" s="322">
        <v>50</v>
      </c>
      <c r="J208" s="323">
        <f>IF(I208="contact vendor","--",C208*I208)</f>
        <v>400</v>
      </c>
      <c r="K208" s="65">
        <f>IF(ss_cat="large",25,22)</f>
        <v>25</v>
      </c>
      <c r="L208" s="324">
        <v>1</v>
      </c>
      <c r="M208" s="27" t="str">
        <f>$B$206&amp;" - "&amp;B208</f>
        <v>Sampling Ports - Carbon Steel</v>
      </c>
      <c r="N208" s="5">
        <f t="shared" si="155"/>
        <v>1</v>
      </c>
      <c r="O208" s="5">
        <f t="shared" si="155"/>
        <v>2</v>
      </c>
      <c r="P208" s="5">
        <f t="shared" si="155"/>
        <v>2</v>
      </c>
      <c r="Q208" s="5">
        <f t="shared" si="155"/>
        <v>1</v>
      </c>
      <c r="R208" s="5">
        <f t="shared" si="155"/>
        <v>2</v>
      </c>
      <c r="S208" s="5">
        <f t="shared" si="155"/>
        <v>2</v>
      </c>
      <c r="T208" s="5">
        <f t="shared" si="155"/>
        <v>1</v>
      </c>
      <c r="U208" s="5">
        <f t="shared" si="156"/>
        <v>2</v>
      </c>
      <c r="V208" s="5">
        <f t="shared" si="156"/>
        <v>2</v>
      </c>
      <c r="W208" s="445">
        <v>0</v>
      </c>
      <c r="X208" s="414">
        <v>1</v>
      </c>
      <c r="Y208" s="414">
        <v>2</v>
      </c>
      <c r="Z208" s="414">
        <v>2</v>
      </c>
      <c r="AA208" s="414">
        <v>1</v>
      </c>
      <c r="AB208" s="414">
        <v>2</v>
      </c>
      <c r="AC208" s="414">
        <v>2</v>
      </c>
      <c r="AD208" s="414">
        <v>1</v>
      </c>
      <c r="AE208" s="414">
        <v>2</v>
      </c>
      <c r="AF208" s="414">
        <v>2</v>
      </c>
      <c r="AG208" s="414">
        <f t="shared" si="139"/>
        <v>1</v>
      </c>
      <c r="AH208" s="414">
        <f t="shared" si="140"/>
        <v>16</v>
      </c>
    </row>
    <row r="209" spans="1:34">
      <c r="A209" s="390" t="s">
        <v>93</v>
      </c>
      <c r="B209" s="308" t="s">
        <v>1769</v>
      </c>
      <c r="C209" s="65">
        <f>elec_encl</f>
        <v>0</v>
      </c>
      <c r="D209" s="65" t="s">
        <v>2222</v>
      </c>
      <c r="E209" s="327" t="s">
        <v>720</v>
      </c>
      <c r="F209" s="1"/>
      <c r="G209" s="327" t="s">
        <v>720</v>
      </c>
      <c r="H209" s="1"/>
      <c r="I209" s="326" t="str">
        <f>IF(C209=0,"NA",VLOOKUP(0,elec_encl_cost_cl,3))</f>
        <v>NA</v>
      </c>
      <c r="J209" s="323" t="str">
        <f>IF(OR(C209=0,I209="contact vendor"),"--",C209*I209)</f>
        <v>--</v>
      </c>
      <c r="K209" s="327" t="str">
        <f>IF(C209=0,"NA",VLOOKUP(0,elec_encl_cost_cl,IF(ss_cat="large",4,5)))</f>
        <v>NA</v>
      </c>
      <c r="L209" s="324"/>
      <c r="M209" s="27" t="str">
        <f>B209</f>
        <v>Electrical enclosure</v>
      </c>
      <c r="N209" s="5">
        <f t="shared" si="155"/>
        <v>1</v>
      </c>
      <c r="O209" s="5">
        <f t="shared" si="155"/>
        <v>1</v>
      </c>
      <c r="P209" s="5">
        <f t="shared" si="155"/>
        <v>1</v>
      </c>
      <c r="Q209" s="5">
        <f t="shared" si="155"/>
        <v>1</v>
      </c>
      <c r="R209" s="5">
        <f t="shared" si="155"/>
        <v>1</v>
      </c>
      <c r="S209" s="5">
        <f t="shared" si="155"/>
        <v>1</v>
      </c>
      <c r="T209" s="5">
        <f t="shared" si="155"/>
        <v>1</v>
      </c>
      <c r="U209" s="5">
        <f t="shared" si="156"/>
        <v>1</v>
      </c>
      <c r="V209" s="5">
        <f t="shared" si="156"/>
        <v>1</v>
      </c>
      <c r="W209" s="445">
        <v>0</v>
      </c>
      <c r="X209" s="414">
        <v>1</v>
      </c>
      <c r="Y209" s="414">
        <v>1</v>
      </c>
      <c r="Z209" s="414">
        <v>1</v>
      </c>
      <c r="AA209" s="414">
        <v>1</v>
      </c>
      <c r="AB209" s="414">
        <v>1</v>
      </c>
      <c r="AC209" s="414">
        <v>1</v>
      </c>
      <c r="AD209" s="414">
        <v>1</v>
      </c>
      <c r="AE209" s="414">
        <v>1</v>
      </c>
      <c r="AF209" s="414">
        <v>1</v>
      </c>
      <c r="AG209" s="414">
        <f t="shared" si="139"/>
        <v>0</v>
      </c>
      <c r="AH209" s="414">
        <f t="shared" si="140"/>
        <v>0</v>
      </c>
    </row>
    <row r="210" spans="1:34">
      <c r="A210" s="201" t="s">
        <v>628</v>
      </c>
      <c r="B210" s="24" t="s">
        <v>845</v>
      </c>
      <c r="C210" s="202"/>
      <c r="D210" s="670"/>
      <c r="E210" s="203"/>
      <c r="F210" s="670"/>
      <c r="G210" s="203"/>
      <c r="H210" s="670"/>
      <c r="I210" s="203"/>
      <c r="J210" s="203"/>
      <c r="K210" s="203"/>
      <c r="L210" s="204"/>
      <c r="AG210" s="414">
        <f t="shared" si="139"/>
        <v>0</v>
      </c>
      <c r="AH210" s="414">
        <f t="shared" si="140"/>
        <v>0</v>
      </c>
    </row>
    <row r="211" spans="1:34">
      <c r="A211" s="389" t="s">
        <v>627</v>
      </c>
      <c r="B211" s="39" t="s">
        <v>846</v>
      </c>
      <c r="C211" s="175"/>
      <c r="D211" s="669"/>
      <c r="E211" s="195"/>
      <c r="F211" s="669"/>
      <c r="G211" s="195"/>
      <c r="H211" s="669"/>
      <c r="I211" s="234"/>
      <c r="J211" s="195"/>
      <c r="K211" s="195"/>
      <c r="L211" s="200"/>
      <c r="AG211" s="414">
        <f t="shared" si="139"/>
        <v>0</v>
      </c>
      <c r="AH211" s="414">
        <f t="shared" si="140"/>
        <v>0</v>
      </c>
    </row>
    <row r="212" spans="1:34">
      <c r="A212" s="335" t="s">
        <v>629</v>
      </c>
      <c r="B212" s="65" t="s">
        <v>990</v>
      </c>
      <c r="C212" s="65">
        <f>IF(manual=1,0,plc_rack)</f>
        <v>0</v>
      </c>
      <c r="D212" s="65" t="s">
        <v>2222</v>
      </c>
      <c r="E212" s="327" t="s">
        <v>720</v>
      </c>
      <c r="F212" s="65"/>
      <c r="G212" s="327" t="s">
        <v>720</v>
      </c>
      <c r="H212" s="65"/>
      <c r="I212" s="326" t="str">
        <f>IF(C212=0,"NA",VLOOKUP(0,plc_rack_cost_cl,3))</f>
        <v>NA</v>
      </c>
      <c r="J212" s="323" t="str">
        <f>IF(OR(C212=0,I212="contact vendor"),"--",C212*I212)</f>
        <v>--</v>
      </c>
      <c r="K212" s="327" t="str">
        <f>IF(C212=0,"NA",VLOOKUP(0,plc_rack_cost_cl,IF(ss_cat="large",4,5)))</f>
        <v>NA</v>
      </c>
      <c r="L212" s="324"/>
      <c r="M212" t="str">
        <f t="shared" ref="M212:M220" si="157">$B$210&amp;" - "&amp;$B$211&amp;" - "&amp;B212</f>
        <v>System Controls - PLC Units - PLC racks/power supplies</v>
      </c>
      <c r="N212" s="5">
        <f t="shared" ref="N212:N220" si="158">IF(retrofit=1,$W212*X212,IF(ISBLANK(X212),"",X212))</f>
        <v>1</v>
      </c>
      <c r="O212" s="5">
        <f t="shared" ref="O212:O220" si="159">IF(retrofit=1,$W212*Y212,IF(ISBLANK(Y212),"",Y212))</f>
        <v>1</v>
      </c>
      <c r="P212" s="5">
        <f t="shared" ref="P212:P220" si="160">IF(retrofit=1,$W212*Z212,IF(ISBLANK(Z212),"",Z212))</f>
        <v>1</v>
      </c>
      <c r="Q212" s="5">
        <f t="shared" ref="Q212:Q220" si="161">IF(retrofit=1,$W212*AA212,IF(ISBLANK(AA212),"",AA212))</f>
        <v>1</v>
      </c>
      <c r="R212" s="5">
        <f t="shared" ref="R212:R220" si="162">IF(retrofit=1,$W212*AB212,IF(ISBLANK(AB212),"",AB212))</f>
        <v>1</v>
      </c>
      <c r="S212" s="5">
        <f t="shared" ref="S212:S220" si="163">IF(retrofit=1,$W212*AC212,IF(ISBLANK(AC212),"",AC212))</f>
        <v>1</v>
      </c>
      <c r="T212" s="5">
        <f t="shared" ref="T212:T220" si="164">IF(retrofit=1,$W212*AD212,IF(ISBLANK(AD212),"",AD212))</f>
        <v>1</v>
      </c>
      <c r="U212" s="5">
        <f t="shared" ref="U212:U220" si="165">IF(retrofit=1,$W212*AE212,IF(ISBLANK(AE212),"",AE212))</f>
        <v>1</v>
      </c>
      <c r="V212" s="5">
        <f t="shared" ref="V212:V220" si="166">IF(retrofit=1,$W212*AF212,IF(ISBLANK(AF212),"",AF212))</f>
        <v>1</v>
      </c>
      <c r="W212" s="445">
        <v>0</v>
      </c>
      <c r="X212" s="414">
        <v>1</v>
      </c>
      <c r="Y212" s="414">
        <v>1</v>
      </c>
      <c r="Z212" s="414">
        <v>1</v>
      </c>
      <c r="AA212" s="414">
        <v>1</v>
      </c>
      <c r="AB212" s="414">
        <v>1</v>
      </c>
      <c r="AC212" s="414">
        <v>1</v>
      </c>
      <c r="AD212" s="414">
        <v>1</v>
      </c>
      <c r="AE212" s="414">
        <v>1</v>
      </c>
      <c r="AF212" s="414">
        <v>1</v>
      </c>
      <c r="AG212" s="414">
        <f t="shared" si="139"/>
        <v>0</v>
      </c>
      <c r="AH212" s="414">
        <f t="shared" si="140"/>
        <v>0</v>
      </c>
    </row>
    <row r="213" spans="1:34">
      <c r="A213" s="335" t="s">
        <v>630</v>
      </c>
      <c r="B213" s="65" t="s">
        <v>656</v>
      </c>
      <c r="C213" s="65">
        <f>IF(manual=1,0,plc_cpu)</f>
        <v>0</v>
      </c>
      <c r="D213" s="65" t="s">
        <v>2222</v>
      </c>
      <c r="E213" s="327" t="s">
        <v>720</v>
      </c>
      <c r="F213" s="65"/>
      <c r="G213" s="327" t="s">
        <v>720</v>
      </c>
      <c r="H213" s="65"/>
      <c r="I213" s="326" t="str">
        <f>IF(C213=0,"NA",VLOOKUP(0,plc_cpu_cost_cl,3))</f>
        <v>NA</v>
      </c>
      <c r="J213" s="323" t="str">
        <f t="shared" ref="J213:J230" si="167">IF(OR(C213=0,I213="contact vendor"),"--",C213*I213)</f>
        <v>--</v>
      </c>
      <c r="K213" s="327" t="str">
        <f>IF(C213=0,"NA",VLOOKUP(0,plc_cpu_cost_cl,IF(ss_cat="large",4,5)))</f>
        <v>NA</v>
      </c>
      <c r="L213" s="324"/>
      <c r="M213" t="str">
        <f t="shared" si="157"/>
        <v>System Controls - PLC Units - CPUs</v>
      </c>
      <c r="N213" s="5">
        <f t="shared" si="158"/>
        <v>1</v>
      </c>
      <c r="O213" s="5">
        <f t="shared" si="159"/>
        <v>1</v>
      </c>
      <c r="P213" s="5">
        <f t="shared" si="160"/>
        <v>1</v>
      </c>
      <c r="Q213" s="5">
        <f t="shared" si="161"/>
        <v>1</v>
      </c>
      <c r="R213" s="5">
        <f t="shared" si="162"/>
        <v>1</v>
      </c>
      <c r="S213" s="5">
        <f t="shared" si="163"/>
        <v>1</v>
      </c>
      <c r="T213" s="5">
        <f t="shared" si="164"/>
        <v>1</v>
      </c>
      <c r="U213" s="5">
        <f t="shared" si="165"/>
        <v>1</v>
      </c>
      <c r="V213" s="5">
        <f t="shared" si="166"/>
        <v>1</v>
      </c>
      <c r="W213" s="445">
        <v>0</v>
      </c>
      <c r="X213" s="414">
        <v>1</v>
      </c>
      <c r="Y213" s="414">
        <v>1</v>
      </c>
      <c r="Z213" s="414">
        <v>1</v>
      </c>
      <c r="AA213" s="414">
        <v>1</v>
      </c>
      <c r="AB213" s="414">
        <v>1</v>
      </c>
      <c r="AC213" s="414">
        <v>1</v>
      </c>
      <c r="AD213" s="414">
        <v>1</v>
      </c>
      <c r="AE213" s="414">
        <v>1</v>
      </c>
      <c r="AF213" s="414">
        <v>1</v>
      </c>
      <c r="AG213" s="414">
        <f t="shared" si="139"/>
        <v>0</v>
      </c>
      <c r="AH213" s="414">
        <f t="shared" si="140"/>
        <v>0</v>
      </c>
    </row>
    <row r="214" spans="1:34">
      <c r="A214" s="335" t="s">
        <v>631</v>
      </c>
      <c r="B214" s="65" t="s">
        <v>657</v>
      </c>
      <c r="C214" s="65">
        <f>IF(manual=1,0,plc_discrete_input)</f>
        <v>0</v>
      </c>
      <c r="D214" s="65" t="s">
        <v>2222</v>
      </c>
      <c r="E214" s="327" t="s">
        <v>720</v>
      </c>
      <c r="F214" s="65"/>
      <c r="G214" s="327" t="s">
        <v>720</v>
      </c>
      <c r="H214" s="65"/>
      <c r="I214" s="326" t="str">
        <f>IF(C214=0,"NA",VLOOKUP(0,plc_discrete_input_cost_cl,3))</f>
        <v>NA</v>
      </c>
      <c r="J214" s="323" t="str">
        <f t="shared" si="167"/>
        <v>--</v>
      </c>
      <c r="K214" s="327" t="str">
        <f>IF(C214=0,"NA",VLOOKUP(0,plc_discrete_input_cost_cl,IF(ss_cat="large",4,5)))</f>
        <v>NA</v>
      </c>
      <c r="L214" s="324"/>
      <c r="M214" t="str">
        <f t="shared" si="157"/>
        <v>System Controls - PLC Units - I/O discrete input modules</v>
      </c>
      <c r="N214" s="5">
        <f t="shared" si="158"/>
        <v>1</v>
      </c>
      <c r="O214" s="5">
        <f t="shared" si="159"/>
        <v>1</v>
      </c>
      <c r="P214" s="5">
        <f t="shared" si="160"/>
        <v>1</v>
      </c>
      <c r="Q214" s="5">
        <f t="shared" si="161"/>
        <v>1</v>
      </c>
      <c r="R214" s="5">
        <f t="shared" si="162"/>
        <v>1</v>
      </c>
      <c r="S214" s="5">
        <f t="shared" si="163"/>
        <v>1</v>
      </c>
      <c r="T214" s="5">
        <f t="shared" si="164"/>
        <v>1</v>
      </c>
      <c r="U214" s="5">
        <f t="shared" si="165"/>
        <v>1</v>
      </c>
      <c r="V214" s="5">
        <f t="shared" si="166"/>
        <v>1</v>
      </c>
      <c r="W214" s="445">
        <v>0</v>
      </c>
      <c r="X214" s="414">
        <v>1</v>
      </c>
      <c r="Y214" s="414">
        <v>1</v>
      </c>
      <c r="Z214" s="414">
        <v>1</v>
      </c>
      <c r="AA214" s="414">
        <v>1</v>
      </c>
      <c r="AB214" s="414">
        <v>1</v>
      </c>
      <c r="AC214" s="414">
        <v>1</v>
      </c>
      <c r="AD214" s="414">
        <v>1</v>
      </c>
      <c r="AE214" s="414">
        <v>1</v>
      </c>
      <c r="AF214" s="414">
        <v>1</v>
      </c>
      <c r="AG214" s="414">
        <f t="shared" si="139"/>
        <v>0</v>
      </c>
      <c r="AH214" s="414">
        <f t="shared" si="140"/>
        <v>0</v>
      </c>
    </row>
    <row r="215" spans="1:34">
      <c r="A215" s="335" t="s">
        <v>632</v>
      </c>
      <c r="B215" s="65" t="s">
        <v>658</v>
      </c>
      <c r="C215" s="65">
        <f>IF(manual=1,0,plc_discrete_output)</f>
        <v>0</v>
      </c>
      <c r="D215" s="65" t="s">
        <v>2222</v>
      </c>
      <c r="E215" s="327" t="s">
        <v>720</v>
      </c>
      <c r="F215" s="65"/>
      <c r="G215" s="327" t="s">
        <v>720</v>
      </c>
      <c r="H215" s="65"/>
      <c r="I215" s="326" t="str">
        <f>IF(C215=0,"NA",VLOOKUP(0,plc_discrete_output_cost_cl,3))</f>
        <v>NA</v>
      </c>
      <c r="J215" s="323" t="str">
        <f t="shared" si="167"/>
        <v>--</v>
      </c>
      <c r="K215" s="327" t="str">
        <f>IF(C215=0,"NA",VLOOKUP(0,plc_discrete_output_cost_cl,IF(ss_cat="large",4,5)))</f>
        <v>NA</v>
      </c>
      <c r="L215" s="324"/>
      <c r="M215" t="str">
        <f t="shared" si="157"/>
        <v>System Controls - PLC Units - I/O discrete output modules</v>
      </c>
      <c r="N215" s="5">
        <f t="shared" si="158"/>
        <v>1</v>
      </c>
      <c r="O215" s="5">
        <f t="shared" si="159"/>
        <v>1</v>
      </c>
      <c r="P215" s="5">
        <f t="shared" si="160"/>
        <v>1</v>
      </c>
      <c r="Q215" s="5">
        <f t="shared" si="161"/>
        <v>1</v>
      </c>
      <c r="R215" s="5">
        <f t="shared" si="162"/>
        <v>1</v>
      </c>
      <c r="S215" s="5">
        <f t="shared" si="163"/>
        <v>1</v>
      </c>
      <c r="T215" s="5">
        <f t="shared" si="164"/>
        <v>1</v>
      </c>
      <c r="U215" s="5">
        <f t="shared" si="165"/>
        <v>1</v>
      </c>
      <c r="V215" s="5">
        <f t="shared" si="166"/>
        <v>1</v>
      </c>
      <c r="W215" s="445">
        <v>0</v>
      </c>
      <c r="X215" s="414">
        <v>1</v>
      </c>
      <c r="Y215" s="414">
        <v>1</v>
      </c>
      <c r="Z215" s="414">
        <v>1</v>
      </c>
      <c r="AA215" s="414">
        <v>1</v>
      </c>
      <c r="AB215" s="414">
        <v>1</v>
      </c>
      <c r="AC215" s="414">
        <v>1</v>
      </c>
      <c r="AD215" s="414">
        <v>1</v>
      </c>
      <c r="AE215" s="414">
        <v>1</v>
      </c>
      <c r="AF215" s="414">
        <v>1</v>
      </c>
      <c r="AG215" s="414">
        <f t="shared" si="139"/>
        <v>0</v>
      </c>
      <c r="AH215" s="414">
        <f t="shared" si="140"/>
        <v>0</v>
      </c>
    </row>
    <row r="216" spans="1:34">
      <c r="A216" s="335" t="s">
        <v>633</v>
      </c>
      <c r="B216" s="65" t="s">
        <v>1417</v>
      </c>
      <c r="C216" s="65">
        <f>IF(manual=1,0,plc_combination_analog)</f>
        <v>0</v>
      </c>
      <c r="D216" s="65" t="s">
        <v>2222</v>
      </c>
      <c r="E216" s="327" t="s">
        <v>720</v>
      </c>
      <c r="F216" s="65"/>
      <c r="G216" s="327" t="s">
        <v>720</v>
      </c>
      <c r="H216" s="65"/>
      <c r="I216" s="326" t="str">
        <f>IF(C216=0,"NA",VLOOKUP(0,plc_combination_analog_cost_cl,3))</f>
        <v>NA</v>
      </c>
      <c r="J216" s="323" t="str">
        <f t="shared" si="167"/>
        <v>--</v>
      </c>
      <c r="K216" s="327" t="str">
        <f>IF(C216=0,"NA",VLOOKUP(0,plc_combination_analog_cost_cl,IF(ss_cat="large",4,5)))</f>
        <v>NA</v>
      </c>
      <c r="L216" s="324"/>
      <c r="M216" t="str">
        <f t="shared" si="157"/>
        <v>System Controls - PLC Units - I/O combination analog modules</v>
      </c>
      <c r="N216" s="5">
        <f t="shared" si="158"/>
        <v>1</v>
      </c>
      <c r="O216" s="5">
        <f t="shared" si="159"/>
        <v>1</v>
      </c>
      <c r="P216" s="5">
        <f t="shared" si="160"/>
        <v>1</v>
      </c>
      <c r="Q216" s="5">
        <f t="shared" si="161"/>
        <v>1</v>
      </c>
      <c r="R216" s="5">
        <f t="shared" si="162"/>
        <v>1</v>
      </c>
      <c r="S216" s="5">
        <f t="shared" si="163"/>
        <v>1</v>
      </c>
      <c r="T216" s="5">
        <f t="shared" si="164"/>
        <v>1</v>
      </c>
      <c r="U216" s="5">
        <f t="shared" si="165"/>
        <v>1</v>
      </c>
      <c r="V216" s="5">
        <f t="shared" si="166"/>
        <v>1</v>
      </c>
      <c r="W216" s="445">
        <v>0</v>
      </c>
      <c r="X216" s="414">
        <v>1</v>
      </c>
      <c r="Y216" s="414">
        <v>1</v>
      </c>
      <c r="Z216" s="414">
        <v>1</v>
      </c>
      <c r="AA216" s="414">
        <v>1</v>
      </c>
      <c r="AB216" s="414">
        <v>1</v>
      </c>
      <c r="AC216" s="414">
        <v>1</v>
      </c>
      <c r="AD216" s="414">
        <v>1</v>
      </c>
      <c r="AE216" s="414">
        <v>1</v>
      </c>
      <c r="AF216" s="414">
        <v>1</v>
      </c>
      <c r="AG216" s="414">
        <f t="shared" si="139"/>
        <v>0</v>
      </c>
      <c r="AH216" s="414">
        <f t="shared" si="140"/>
        <v>0</v>
      </c>
    </row>
    <row r="217" spans="1:34">
      <c r="A217" s="335" t="s">
        <v>634</v>
      </c>
      <c r="B217" s="65" t="s">
        <v>920</v>
      </c>
      <c r="C217" s="65">
        <f>IF(manual=1,0,plc_ethernet)</f>
        <v>0</v>
      </c>
      <c r="D217" s="65" t="s">
        <v>2222</v>
      </c>
      <c r="E217" s="327" t="s">
        <v>720</v>
      </c>
      <c r="F217" s="65"/>
      <c r="G217" s="327" t="s">
        <v>720</v>
      </c>
      <c r="H217" s="65"/>
      <c r="I217" s="326" t="str">
        <f>IF(C217=0,"NA",VLOOKUP(0,plc_ethernet_cost_cl,3))</f>
        <v>NA</v>
      </c>
      <c r="J217" s="323" t="str">
        <f t="shared" si="167"/>
        <v>--</v>
      </c>
      <c r="K217" s="327" t="str">
        <f>IF(C217=0,"NA",VLOOKUP(0,plc_ethernet_cost_cl,IF(ss_cat="large",4,5)))</f>
        <v>NA</v>
      </c>
      <c r="L217" s="324"/>
      <c r="M217" t="str">
        <f t="shared" si="157"/>
        <v>System Controls - PLC Units - Ethernet modules</v>
      </c>
      <c r="N217" s="5">
        <f t="shared" si="158"/>
        <v>1</v>
      </c>
      <c r="O217" s="5">
        <f t="shared" si="159"/>
        <v>1</v>
      </c>
      <c r="P217" s="5">
        <f t="shared" si="160"/>
        <v>1</v>
      </c>
      <c r="Q217" s="5">
        <f t="shared" si="161"/>
        <v>1</v>
      </c>
      <c r="R217" s="5">
        <f t="shared" si="162"/>
        <v>1</v>
      </c>
      <c r="S217" s="5">
        <f t="shared" si="163"/>
        <v>1</v>
      </c>
      <c r="T217" s="5">
        <f t="shared" si="164"/>
        <v>1</v>
      </c>
      <c r="U217" s="5">
        <f t="shared" si="165"/>
        <v>1</v>
      </c>
      <c r="V217" s="5">
        <f t="shared" si="166"/>
        <v>1</v>
      </c>
      <c r="W217" s="445">
        <v>0</v>
      </c>
      <c r="X217" s="414">
        <v>1</v>
      </c>
      <c r="Y217" s="414">
        <v>1</v>
      </c>
      <c r="Z217" s="414">
        <v>1</v>
      </c>
      <c r="AA217" s="414">
        <v>1</v>
      </c>
      <c r="AB217" s="414">
        <v>1</v>
      </c>
      <c r="AC217" s="414">
        <v>1</v>
      </c>
      <c r="AD217" s="414">
        <v>1</v>
      </c>
      <c r="AE217" s="414">
        <v>1</v>
      </c>
      <c r="AF217" s="414">
        <v>1</v>
      </c>
      <c r="AG217" s="414">
        <f t="shared" si="139"/>
        <v>0</v>
      </c>
      <c r="AH217" s="414">
        <f t="shared" si="140"/>
        <v>0</v>
      </c>
    </row>
    <row r="218" spans="1:34">
      <c r="A218" s="335" t="s">
        <v>635</v>
      </c>
      <c r="B218" s="65" t="s">
        <v>921</v>
      </c>
      <c r="C218" s="65">
        <f>IF(manual=1,0,plc_base_expansion)</f>
        <v>0</v>
      </c>
      <c r="D218" s="65" t="s">
        <v>2222</v>
      </c>
      <c r="E218" s="327" t="s">
        <v>720</v>
      </c>
      <c r="F218" s="65"/>
      <c r="G218" s="327" t="s">
        <v>720</v>
      </c>
      <c r="H218" s="65"/>
      <c r="I218" s="326" t="str">
        <f>IF(C218=0,"NA",VLOOKUP(0,plc_base_expansion_cost_cl,3))</f>
        <v>NA</v>
      </c>
      <c r="J218" s="323" t="str">
        <f t="shared" si="167"/>
        <v>--</v>
      </c>
      <c r="K218" s="327" t="str">
        <f>IF(C218=0,"NA",VLOOKUP(0,plc_base_expansion_cost_cl,IF(ss_cat="large",4,5)))</f>
        <v>NA</v>
      </c>
      <c r="L218" s="324"/>
      <c r="M218" t="str">
        <f t="shared" si="157"/>
        <v>System Controls - PLC Units - Base expansion modules</v>
      </c>
      <c r="N218" s="5">
        <f t="shared" si="158"/>
        <v>1</v>
      </c>
      <c r="O218" s="5">
        <f t="shared" si="159"/>
        <v>1</v>
      </c>
      <c r="P218" s="5">
        <f t="shared" si="160"/>
        <v>1</v>
      </c>
      <c r="Q218" s="5">
        <f t="shared" si="161"/>
        <v>1</v>
      </c>
      <c r="R218" s="5">
        <f t="shared" si="162"/>
        <v>1</v>
      </c>
      <c r="S218" s="5">
        <f t="shared" si="163"/>
        <v>1</v>
      </c>
      <c r="T218" s="5">
        <f t="shared" si="164"/>
        <v>1</v>
      </c>
      <c r="U218" s="5">
        <f t="shared" si="165"/>
        <v>1</v>
      </c>
      <c r="V218" s="5">
        <f t="shared" si="166"/>
        <v>1</v>
      </c>
      <c r="W218" s="445">
        <v>0</v>
      </c>
      <c r="X218" s="414">
        <v>1</v>
      </c>
      <c r="Y218" s="414">
        <v>1</v>
      </c>
      <c r="Z218" s="414">
        <v>1</v>
      </c>
      <c r="AA218" s="414">
        <v>1</v>
      </c>
      <c r="AB218" s="414">
        <v>1</v>
      </c>
      <c r="AC218" s="414">
        <v>1</v>
      </c>
      <c r="AD218" s="414">
        <v>1</v>
      </c>
      <c r="AE218" s="414">
        <v>1</v>
      </c>
      <c r="AF218" s="414">
        <v>1</v>
      </c>
      <c r="AG218" s="414">
        <f t="shared" si="139"/>
        <v>0</v>
      </c>
      <c r="AH218" s="414">
        <f t="shared" si="140"/>
        <v>0</v>
      </c>
    </row>
    <row r="219" spans="1:34">
      <c r="A219" s="335" t="s">
        <v>636</v>
      </c>
      <c r="B219" s="65" t="s">
        <v>922</v>
      </c>
      <c r="C219" s="65">
        <f>IF(manual=1,0,plc_base_expansion_controller)</f>
        <v>0</v>
      </c>
      <c r="D219" s="65" t="s">
        <v>2222</v>
      </c>
      <c r="E219" s="327" t="s">
        <v>720</v>
      </c>
      <c r="F219" s="65"/>
      <c r="G219" s="327" t="s">
        <v>720</v>
      </c>
      <c r="H219" s="65"/>
      <c r="I219" s="326" t="str">
        <f>IF(C219=0,"NA",VLOOKUP(0,plc_base_expansion_controller_cost_cl,3))</f>
        <v>NA</v>
      </c>
      <c r="J219" s="323" t="str">
        <f t="shared" si="167"/>
        <v>--</v>
      </c>
      <c r="K219" s="327" t="str">
        <f>IF(C219=0,"NA",VLOOKUP(0,plc_base_expansion_controller_cost_cl,IF(ss_cat="large",4,5)))</f>
        <v>NA</v>
      </c>
      <c r="L219" s="324"/>
      <c r="M219" t="str">
        <f t="shared" si="157"/>
        <v>System Controls - PLC Units - Base expansion controller modules</v>
      </c>
      <c r="N219" s="5">
        <f t="shared" si="158"/>
        <v>1</v>
      </c>
      <c r="O219" s="5">
        <f t="shared" si="159"/>
        <v>1</v>
      </c>
      <c r="P219" s="5">
        <f t="shared" si="160"/>
        <v>1</v>
      </c>
      <c r="Q219" s="5">
        <f t="shared" si="161"/>
        <v>1</v>
      </c>
      <c r="R219" s="5">
        <f t="shared" si="162"/>
        <v>1</v>
      </c>
      <c r="S219" s="5">
        <f t="shared" si="163"/>
        <v>1</v>
      </c>
      <c r="T219" s="5">
        <f t="shared" si="164"/>
        <v>1</v>
      </c>
      <c r="U219" s="5">
        <f t="shared" si="165"/>
        <v>1</v>
      </c>
      <c r="V219" s="5">
        <f t="shared" si="166"/>
        <v>1</v>
      </c>
      <c r="W219" s="445">
        <v>0</v>
      </c>
      <c r="X219" s="414">
        <v>1</v>
      </c>
      <c r="Y219" s="414">
        <v>1</v>
      </c>
      <c r="Z219" s="414">
        <v>1</v>
      </c>
      <c r="AA219" s="414">
        <v>1</v>
      </c>
      <c r="AB219" s="414">
        <v>1</v>
      </c>
      <c r="AC219" s="414">
        <v>1</v>
      </c>
      <c r="AD219" s="414">
        <v>1</v>
      </c>
      <c r="AE219" s="414">
        <v>1</v>
      </c>
      <c r="AF219" s="414">
        <v>1</v>
      </c>
      <c r="AG219" s="414">
        <f t="shared" si="139"/>
        <v>0</v>
      </c>
      <c r="AH219" s="414">
        <f t="shared" si="140"/>
        <v>0</v>
      </c>
    </row>
    <row r="220" spans="1:34">
      <c r="A220" s="335" t="s">
        <v>637</v>
      </c>
      <c r="B220" s="65" t="s">
        <v>923</v>
      </c>
      <c r="C220" s="65">
        <f>IF(manual=1,0,ups)</f>
        <v>0</v>
      </c>
      <c r="D220" s="65" t="s">
        <v>2222</v>
      </c>
      <c r="E220" s="327" t="s">
        <v>720</v>
      </c>
      <c r="F220" s="65"/>
      <c r="G220" s="327" t="s">
        <v>720</v>
      </c>
      <c r="H220" s="65"/>
      <c r="I220" s="326" t="str">
        <f>IF(C220=0,"NA",VLOOKUP(0,ups_cost_cl,3))</f>
        <v>NA</v>
      </c>
      <c r="J220" s="323" t="str">
        <f t="shared" si="167"/>
        <v>--</v>
      </c>
      <c r="K220" s="327" t="str">
        <f>IF(C220=0,"NA",VLOOKUP(0,ups_cost_cl,IF(ss_cat="large",4,5)))</f>
        <v>NA</v>
      </c>
      <c r="L220" s="324"/>
      <c r="M220" t="str">
        <f t="shared" si="157"/>
        <v>System Controls - PLC Units - UPSs</v>
      </c>
      <c r="N220" s="5">
        <f t="shared" si="158"/>
        <v>1</v>
      </c>
      <c r="O220" s="5">
        <f t="shared" si="159"/>
        <v>1</v>
      </c>
      <c r="P220" s="5">
        <f t="shared" si="160"/>
        <v>1</v>
      </c>
      <c r="Q220" s="5">
        <f t="shared" si="161"/>
        <v>1</v>
      </c>
      <c r="R220" s="5">
        <f t="shared" si="162"/>
        <v>1</v>
      </c>
      <c r="S220" s="5">
        <f t="shared" si="163"/>
        <v>1</v>
      </c>
      <c r="T220" s="5">
        <f t="shared" si="164"/>
        <v>1</v>
      </c>
      <c r="U220" s="5">
        <f t="shared" si="165"/>
        <v>1</v>
      </c>
      <c r="V220" s="5">
        <f t="shared" si="166"/>
        <v>1</v>
      </c>
      <c r="W220" s="445">
        <v>0</v>
      </c>
      <c r="X220" s="414">
        <v>1</v>
      </c>
      <c r="Y220" s="414">
        <v>1</v>
      </c>
      <c r="Z220" s="414">
        <v>1</v>
      </c>
      <c r="AA220" s="414">
        <v>1</v>
      </c>
      <c r="AB220" s="414">
        <v>1</v>
      </c>
      <c r="AC220" s="414">
        <v>1</v>
      </c>
      <c r="AD220" s="414">
        <v>1</v>
      </c>
      <c r="AE220" s="414">
        <v>1</v>
      </c>
      <c r="AF220" s="414">
        <v>1</v>
      </c>
      <c r="AG220" s="414">
        <f t="shared" si="139"/>
        <v>0</v>
      </c>
      <c r="AH220" s="414">
        <f t="shared" si="140"/>
        <v>0</v>
      </c>
    </row>
    <row r="221" spans="1:34">
      <c r="A221" s="389" t="s">
        <v>638</v>
      </c>
      <c r="B221" s="175" t="s">
        <v>924</v>
      </c>
      <c r="C221" s="175"/>
      <c r="D221" s="669"/>
      <c r="E221" s="195"/>
      <c r="F221" s="669"/>
      <c r="G221" s="195"/>
      <c r="H221" s="669"/>
      <c r="I221" s="234"/>
      <c r="J221" s="195"/>
      <c r="K221" s="195"/>
      <c r="L221" s="200"/>
      <c r="AG221" s="414">
        <f t="shared" si="139"/>
        <v>0</v>
      </c>
      <c r="AH221" s="414">
        <f t="shared" si="140"/>
        <v>0</v>
      </c>
    </row>
    <row r="222" spans="1:34">
      <c r="A222" s="335" t="s">
        <v>639</v>
      </c>
      <c r="B222" s="65" t="s">
        <v>3013</v>
      </c>
      <c r="C222" s="65">
        <f>IF(manual=1,0,tot_switches)</f>
        <v>0</v>
      </c>
      <c r="D222" s="65" t="s">
        <v>2222</v>
      </c>
      <c r="E222" s="327" t="s">
        <v>720</v>
      </c>
      <c r="F222" s="65"/>
      <c r="G222" s="327" t="s">
        <v>720</v>
      </c>
      <c r="H222" s="65"/>
      <c r="I222" s="336" t="str">
        <f>IF(manual=1,"NA",VLOOKUP(0,switch_cost_cl,3))</f>
        <v>NA</v>
      </c>
      <c r="J222" s="323" t="str">
        <f t="shared" si="167"/>
        <v>--</v>
      </c>
      <c r="K222" s="327" t="str">
        <f>IF(C222=0,"NA",VLOOKUP(0,switch_cost_cl,IF(ss_cat="large",4,5)))</f>
        <v>NA</v>
      </c>
      <c r="L222" s="324"/>
      <c r="M222" t="str">
        <f>$B$210&amp;" - "&amp;$B$221&amp;" - "&amp;B222</f>
        <v>System Controls - Operator Equipment - Drive controllers</v>
      </c>
      <c r="N222" s="5">
        <f t="shared" ref="N222:T225" si="168">IF(retrofit=1,$W222*X222,IF(ISBLANK(X222),"",X222))</f>
        <v>1</v>
      </c>
      <c r="O222" s="5">
        <f t="shared" si="168"/>
        <v>1</v>
      </c>
      <c r="P222" s="5">
        <f t="shared" si="168"/>
        <v>1</v>
      </c>
      <c r="Q222" s="5">
        <f t="shared" si="168"/>
        <v>1</v>
      </c>
      <c r="R222" s="5">
        <f t="shared" si="168"/>
        <v>1</v>
      </c>
      <c r="S222" s="5">
        <f t="shared" si="168"/>
        <v>1</v>
      </c>
      <c r="T222" s="5">
        <f t="shared" si="168"/>
        <v>1</v>
      </c>
      <c r="U222" s="5">
        <f t="shared" ref="U222:V225" si="169">IF(retrofit=1,$W222*AE222,IF(ISBLANK(AE222),"",AE222))</f>
        <v>1</v>
      </c>
      <c r="V222" s="5">
        <f t="shared" si="169"/>
        <v>1</v>
      </c>
      <c r="W222" s="445">
        <v>0</v>
      </c>
      <c r="X222" s="414">
        <v>1</v>
      </c>
      <c r="Y222" s="414">
        <v>1</v>
      </c>
      <c r="Z222" s="414">
        <v>1</v>
      </c>
      <c r="AA222" s="414">
        <v>1</v>
      </c>
      <c r="AB222" s="414">
        <v>1</v>
      </c>
      <c r="AC222" s="414">
        <v>1</v>
      </c>
      <c r="AD222" s="414">
        <v>1</v>
      </c>
      <c r="AE222" s="414">
        <v>1</v>
      </c>
      <c r="AF222" s="414">
        <v>1</v>
      </c>
      <c r="AG222" s="414">
        <f t="shared" si="139"/>
        <v>0</v>
      </c>
      <c r="AH222" s="414">
        <f t="shared" si="140"/>
        <v>0</v>
      </c>
    </row>
    <row r="223" spans="1:34">
      <c r="A223" s="335" t="s">
        <v>640</v>
      </c>
      <c r="B223" s="65" t="s">
        <v>991</v>
      </c>
      <c r="C223" s="65">
        <f>IF(manual=1,0,plc_interface)</f>
        <v>0</v>
      </c>
      <c r="D223" s="65" t="s">
        <v>2222</v>
      </c>
      <c r="E223" s="327" t="s">
        <v>720</v>
      </c>
      <c r="F223" s="65"/>
      <c r="G223" s="327" t="s">
        <v>720</v>
      </c>
      <c r="H223" s="65"/>
      <c r="I223" s="326" t="str">
        <f>IF(C223=0,"NA",VLOOKUP(ss_cat,plc_op_interface_cost_cl,3,FALSE))</f>
        <v>NA</v>
      </c>
      <c r="J223" s="323" t="str">
        <f t="shared" si="167"/>
        <v>--</v>
      </c>
      <c r="K223" s="327" t="str">
        <f>IF(C223=0,"NA",VLOOKUP(ss_cat,plc_op_interface_cost_cl,IF(ss_cat="large",4,5),FALSE))</f>
        <v>NA</v>
      </c>
      <c r="L223" s="324"/>
      <c r="M223" t="str">
        <f>$B$210&amp;" - "&amp;$B$221&amp;" - "&amp;B223</f>
        <v>System Controls - Operator Equipment - Operator interface units</v>
      </c>
      <c r="N223" s="5">
        <f t="shared" si="168"/>
        <v>1</v>
      </c>
      <c r="O223" s="5">
        <f t="shared" si="168"/>
        <v>1</v>
      </c>
      <c r="P223" s="5">
        <f t="shared" si="168"/>
        <v>1</v>
      </c>
      <c r="Q223" s="5">
        <f t="shared" si="168"/>
        <v>1</v>
      </c>
      <c r="R223" s="5">
        <f t="shared" si="168"/>
        <v>1</v>
      </c>
      <c r="S223" s="5">
        <f t="shared" si="168"/>
        <v>1</v>
      </c>
      <c r="T223" s="5">
        <f t="shared" si="168"/>
        <v>1</v>
      </c>
      <c r="U223" s="5">
        <f t="shared" si="169"/>
        <v>1</v>
      </c>
      <c r="V223" s="5">
        <f t="shared" si="169"/>
        <v>1</v>
      </c>
      <c r="W223" s="445">
        <v>0</v>
      </c>
      <c r="X223" s="414">
        <v>1</v>
      </c>
      <c r="Y223" s="414">
        <v>1</v>
      </c>
      <c r="Z223" s="414">
        <v>1</v>
      </c>
      <c r="AA223" s="414">
        <v>1</v>
      </c>
      <c r="AB223" s="414">
        <v>1</v>
      </c>
      <c r="AC223" s="414">
        <v>1</v>
      </c>
      <c r="AD223" s="414">
        <v>1</v>
      </c>
      <c r="AE223" s="414">
        <v>1</v>
      </c>
      <c r="AF223" s="414">
        <v>1</v>
      </c>
      <c r="AG223" s="414">
        <f t="shared" si="139"/>
        <v>0</v>
      </c>
      <c r="AH223" s="414">
        <f t="shared" si="140"/>
        <v>0</v>
      </c>
    </row>
    <row r="224" spans="1:34">
      <c r="A224" s="335" t="s">
        <v>641</v>
      </c>
      <c r="B224" s="65" t="s">
        <v>983</v>
      </c>
      <c r="C224" s="65">
        <f>IF(OR(manual=1,ss_cat="small"),0,workstations)</f>
        <v>0</v>
      </c>
      <c r="D224" s="65" t="s">
        <v>2222</v>
      </c>
      <c r="E224" s="327" t="s">
        <v>720</v>
      </c>
      <c r="F224" s="65"/>
      <c r="G224" s="327" t="s">
        <v>720</v>
      </c>
      <c r="H224" s="65"/>
      <c r="I224" s="326" t="str">
        <f>IF(C224=0,"NA",VLOOKUP(0,pc_workstation_cost_cl,3))</f>
        <v>NA</v>
      </c>
      <c r="J224" s="323" t="str">
        <f t="shared" si="167"/>
        <v>--</v>
      </c>
      <c r="K224" s="327" t="str">
        <f>IF(C224=0,"NA",VLOOKUP(0,pc_workstation_cost_cl,IF(ss_cat="large",4,5)))</f>
        <v>NA</v>
      </c>
      <c r="L224" s="324"/>
      <c r="M224" t="str">
        <f>$B$210&amp;" - "&amp;$B$221&amp;" - "&amp;B224</f>
        <v>System Controls - Operator Equipment - PC Workstations</v>
      </c>
      <c r="N224" s="5">
        <f t="shared" si="168"/>
        <v>1</v>
      </c>
      <c r="O224" s="5">
        <f t="shared" si="168"/>
        <v>1</v>
      </c>
      <c r="P224" s="5">
        <f t="shared" si="168"/>
        <v>1</v>
      </c>
      <c r="Q224" s="5">
        <f t="shared" si="168"/>
        <v>1</v>
      </c>
      <c r="R224" s="5">
        <f t="shared" si="168"/>
        <v>1</v>
      </c>
      <c r="S224" s="5">
        <f t="shared" si="168"/>
        <v>1</v>
      </c>
      <c r="T224" s="5">
        <f t="shared" si="168"/>
        <v>1</v>
      </c>
      <c r="U224" s="5">
        <f t="shared" si="169"/>
        <v>1</v>
      </c>
      <c r="V224" s="5">
        <f t="shared" si="169"/>
        <v>1</v>
      </c>
      <c r="W224" s="445">
        <v>0</v>
      </c>
      <c r="X224" s="414">
        <v>1</v>
      </c>
      <c r="Y224" s="414">
        <v>1</v>
      </c>
      <c r="Z224" s="414">
        <v>1</v>
      </c>
      <c r="AA224" s="414">
        <v>1</v>
      </c>
      <c r="AB224" s="414">
        <v>1</v>
      </c>
      <c r="AC224" s="414">
        <v>1</v>
      </c>
      <c r="AD224" s="414">
        <v>1</v>
      </c>
      <c r="AE224" s="414">
        <v>1</v>
      </c>
      <c r="AF224" s="414">
        <v>1</v>
      </c>
      <c r="AG224" s="414">
        <f t="shared" si="139"/>
        <v>0</v>
      </c>
      <c r="AH224" s="414">
        <f t="shared" si="140"/>
        <v>0</v>
      </c>
    </row>
    <row r="225" spans="1:34">
      <c r="A225" s="335" t="s">
        <v>642</v>
      </c>
      <c r="B225" s="65" t="s">
        <v>982</v>
      </c>
      <c r="C225" s="65">
        <f>IF(OR(manual=1,ss_cat="small"),0,printers)</f>
        <v>0</v>
      </c>
      <c r="D225" s="65" t="s">
        <v>2222</v>
      </c>
      <c r="E225" s="327" t="s">
        <v>720</v>
      </c>
      <c r="F225" s="65"/>
      <c r="G225" s="327" t="s">
        <v>720</v>
      </c>
      <c r="H225" s="65"/>
      <c r="I225" s="326" t="str">
        <f>IF(C225=0,"NA",VLOOKUP(0,laser_printer_cost_cl,3))</f>
        <v>NA</v>
      </c>
      <c r="J225" s="323" t="str">
        <f t="shared" si="167"/>
        <v>--</v>
      </c>
      <c r="K225" s="327" t="str">
        <f>IF(C225=0,"NA",VLOOKUP(0,laser_printer_cost_cl,IF(ss_cat="large",4,5)))</f>
        <v>NA</v>
      </c>
      <c r="L225" s="324"/>
      <c r="M225" t="str">
        <f>$B$210&amp;" - "&amp;$B$221&amp;" - "&amp;B225</f>
        <v>System Controls - Operator Equipment - Printers - laser jet</v>
      </c>
      <c r="N225" s="5">
        <f t="shared" si="168"/>
        <v>1</v>
      </c>
      <c r="O225" s="5">
        <f t="shared" si="168"/>
        <v>1</v>
      </c>
      <c r="P225" s="5">
        <f t="shared" si="168"/>
        <v>1</v>
      </c>
      <c r="Q225" s="5">
        <f t="shared" si="168"/>
        <v>1</v>
      </c>
      <c r="R225" s="5">
        <f t="shared" si="168"/>
        <v>1</v>
      </c>
      <c r="S225" s="5">
        <f t="shared" si="168"/>
        <v>1</v>
      </c>
      <c r="T225" s="5">
        <f t="shared" si="168"/>
        <v>1</v>
      </c>
      <c r="U225" s="5">
        <f t="shared" si="169"/>
        <v>1</v>
      </c>
      <c r="V225" s="5">
        <f t="shared" si="169"/>
        <v>1</v>
      </c>
      <c r="W225" s="445">
        <v>0</v>
      </c>
      <c r="X225" s="414">
        <v>1</v>
      </c>
      <c r="Y225" s="414">
        <v>1</v>
      </c>
      <c r="Z225" s="414">
        <v>1</v>
      </c>
      <c r="AA225" s="414">
        <v>1</v>
      </c>
      <c r="AB225" s="414">
        <v>1</v>
      </c>
      <c r="AC225" s="414">
        <v>1</v>
      </c>
      <c r="AD225" s="414">
        <v>1</v>
      </c>
      <c r="AE225" s="414">
        <v>1</v>
      </c>
      <c r="AF225" s="414">
        <v>1</v>
      </c>
      <c r="AG225" s="414">
        <f t="shared" si="139"/>
        <v>0</v>
      </c>
      <c r="AH225" s="414">
        <f t="shared" si="140"/>
        <v>0</v>
      </c>
    </row>
    <row r="226" spans="1:34">
      <c r="A226" s="389" t="s">
        <v>643</v>
      </c>
      <c r="B226" s="39" t="s">
        <v>2227</v>
      </c>
      <c r="C226" s="175"/>
      <c r="D226" s="669"/>
      <c r="E226" s="195"/>
      <c r="F226" s="669"/>
      <c r="G226" s="195"/>
      <c r="H226" s="669"/>
      <c r="I226" s="234"/>
      <c r="J226" s="195"/>
      <c r="K226" s="195"/>
      <c r="L226" s="200"/>
      <c r="AG226" s="414">
        <f t="shared" si="139"/>
        <v>0</v>
      </c>
      <c r="AH226" s="414">
        <f t="shared" si="140"/>
        <v>0</v>
      </c>
    </row>
    <row r="227" spans="1:34">
      <c r="A227" s="335" t="s">
        <v>644</v>
      </c>
      <c r="B227" s="65" t="s">
        <v>2228</v>
      </c>
      <c r="C227" s="65">
        <f>IF(OR(manual=1,ss_cat="small"),0,plc_interface)</f>
        <v>0</v>
      </c>
      <c r="D227" s="65" t="s">
        <v>2222</v>
      </c>
      <c r="E227" s="327" t="s">
        <v>720</v>
      </c>
      <c r="F227" s="65"/>
      <c r="G227" s="327" t="s">
        <v>720</v>
      </c>
      <c r="H227" s="65"/>
      <c r="I227" s="326" t="str">
        <f>IF(C227=0,"NA",VLOOKUP(0,op_interface_software_cost_cl,3))</f>
        <v>NA</v>
      </c>
      <c r="J227" s="323" t="str">
        <f t="shared" si="167"/>
        <v>--</v>
      </c>
      <c r="K227" s="327" t="str">
        <f>IF(C227=0,"NA",VLOOKUP(0,op_interface_software_cost_cl,IF(ss_cat="large",4,5)))</f>
        <v>NA</v>
      </c>
      <c r="L227" s="324"/>
      <c r="M227" t="str">
        <f>$B$210&amp;" - "&amp;$B$226&amp;" - "&amp;B227</f>
        <v>System Controls - Controls Software - Operator interface software</v>
      </c>
      <c r="N227" s="5">
        <f t="shared" ref="N227:T230" si="170">IF(retrofit=1,$W227*X227,IF(ISBLANK(X227),"",X227))</f>
        <v>1</v>
      </c>
      <c r="O227" s="5">
        <f t="shared" si="170"/>
        <v>1</v>
      </c>
      <c r="P227" s="5">
        <f t="shared" si="170"/>
        <v>1</v>
      </c>
      <c r="Q227" s="5">
        <f t="shared" si="170"/>
        <v>1</v>
      </c>
      <c r="R227" s="5">
        <f t="shared" si="170"/>
        <v>1</v>
      </c>
      <c r="S227" s="5">
        <f t="shared" si="170"/>
        <v>1</v>
      </c>
      <c r="T227" s="5">
        <f t="shared" si="170"/>
        <v>1</v>
      </c>
      <c r="U227" s="5">
        <f t="shared" ref="U227:V230" si="171">IF(retrofit=1,$W227*AE227,IF(ISBLANK(AE227),"",AE227))</f>
        <v>1</v>
      </c>
      <c r="V227" s="5">
        <f t="shared" si="171"/>
        <v>1</v>
      </c>
      <c r="W227" s="445">
        <v>0</v>
      </c>
      <c r="X227" s="414">
        <v>1</v>
      </c>
      <c r="Y227" s="414">
        <v>1</v>
      </c>
      <c r="Z227" s="414">
        <v>1</v>
      </c>
      <c r="AA227" s="414">
        <v>1</v>
      </c>
      <c r="AB227" s="414">
        <v>1</v>
      </c>
      <c r="AC227" s="414">
        <v>1</v>
      </c>
      <c r="AD227" s="414">
        <v>1</v>
      </c>
      <c r="AE227" s="414">
        <v>1</v>
      </c>
      <c r="AF227" s="414">
        <v>1</v>
      </c>
      <c r="AG227" s="414">
        <f t="shared" si="139"/>
        <v>0</v>
      </c>
      <c r="AH227" s="414">
        <f t="shared" si="140"/>
        <v>0</v>
      </c>
    </row>
    <row r="228" spans="1:34">
      <c r="A228" s="335" t="s">
        <v>645</v>
      </c>
      <c r="B228" s="65" t="s">
        <v>925</v>
      </c>
      <c r="C228" s="65">
        <f>IF(OR(manual=1,ss_cat="small"),0,workstations)</f>
        <v>0</v>
      </c>
      <c r="D228" s="65" t="s">
        <v>2222</v>
      </c>
      <c r="E228" s="327" t="s">
        <v>720</v>
      </c>
      <c r="F228" s="65"/>
      <c r="G228" s="327" t="s">
        <v>720</v>
      </c>
      <c r="H228" s="65"/>
      <c r="I228" s="326" t="str">
        <f>IF(C228=0,"NA",VLOOKUP(0,plc_software_cost_cl,3))</f>
        <v>NA</v>
      </c>
      <c r="J228" s="323" t="str">
        <f t="shared" si="167"/>
        <v>--</v>
      </c>
      <c r="K228" s="327" t="str">
        <f>IF(C228=0,"NA",VLOOKUP(0,plc_software_cost_cl,IF(ss_cat="large",4,5)))</f>
        <v>NA</v>
      </c>
      <c r="L228" s="324"/>
      <c r="M228" t="str">
        <f>$B$210&amp;" - "&amp;$B$226&amp;" - "&amp;B228</f>
        <v>System Controls - Controls Software - PLC programming software</v>
      </c>
      <c r="N228" s="5">
        <f t="shared" si="170"/>
        <v>1</v>
      </c>
      <c r="O228" s="5">
        <f t="shared" si="170"/>
        <v>1</v>
      </c>
      <c r="P228" s="5">
        <f t="shared" si="170"/>
        <v>1</v>
      </c>
      <c r="Q228" s="5">
        <f t="shared" si="170"/>
        <v>1</v>
      </c>
      <c r="R228" s="5">
        <f t="shared" si="170"/>
        <v>1</v>
      </c>
      <c r="S228" s="5">
        <f t="shared" si="170"/>
        <v>1</v>
      </c>
      <c r="T228" s="5">
        <f t="shared" si="170"/>
        <v>1</v>
      </c>
      <c r="U228" s="5">
        <f t="shared" si="171"/>
        <v>1</v>
      </c>
      <c r="V228" s="5">
        <f t="shared" si="171"/>
        <v>1</v>
      </c>
      <c r="W228" s="445">
        <v>0</v>
      </c>
      <c r="X228" s="414">
        <v>1</v>
      </c>
      <c r="Y228" s="414">
        <v>1</v>
      </c>
      <c r="Z228" s="414">
        <v>1</v>
      </c>
      <c r="AA228" s="414">
        <v>1</v>
      </c>
      <c r="AB228" s="414">
        <v>1</v>
      </c>
      <c r="AC228" s="414">
        <v>1</v>
      </c>
      <c r="AD228" s="414">
        <v>1</v>
      </c>
      <c r="AE228" s="414">
        <v>1</v>
      </c>
      <c r="AF228" s="414">
        <v>1</v>
      </c>
      <c r="AG228" s="414">
        <f t="shared" si="139"/>
        <v>0</v>
      </c>
      <c r="AH228" s="414">
        <f t="shared" si="140"/>
        <v>0</v>
      </c>
    </row>
    <row r="229" spans="1:34">
      <c r="A229" s="335" t="s">
        <v>646</v>
      </c>
      <c r="B229" s="65" t="s">
        <v>926</v>
      </c>
      <c r="C229" s="65">
        <f>IF(OR(manual=1,ss_cat="small"),0,workstations)</f>
        <v>0</v>
      </c>
      <c r="D229" s="65" t="s">
        <v>2222</v>
      </c>
      <c r="E229" s="327" t="s">
        <v>720</v>
      </c>
      <c r="F229" s="65"/>
      <c r="G229" s="327" t="s">
        <v>720</v>
      </c>
      <c r="H229" s="65"/>
      <c r="I229" s="326" t="str">
        <f>IF(C229=0,"NA",VLOOKUP(0,plc_data_software_cost_cl,3))</f>
        <v>NA</v>
      </c>
      <c r="J229" s="323" t="str">
        <f t="shared" si="167"/>
        <v>--</v>
      </c>
      <c r="K229" s="327" t="str">
        <f>IF(C229=0,"NA",VLOOKUP(0,plc_data_software_cost_cl,IF(ss_cat="large",4,5)))</f>
        <v>NA</v>
      </c>
      <c r="L229" s="324"/>
      <c r="M229" t="str">
        <f>$B$210&amp;" - "&amp;$B$226&amp;" - "&amp;B229</f>
        <v>System Controls - Controls Software - PLC data collection software</v>
      </c>
      <c r="N229" s="5">
        <f t="shared" si="170"/>
        <v>1</v>
      </c>
      <c r="O229" s="5">
        <f t="shared" si="170"/>
        <v>1</v>
      </c>
      <c r="P229" s="5">
        <f t="shared" si="170"/>
        <v>1</v>
      </c>
      <c r="Q229" s="5">
        <f t="shared" si="170"/>
        <v>1</v>
      </c>
      <c r="R229" s="5">
        <f t="shared" si="170"/>
        <v>1</v>
      </c>
      <c r="S229" s="5">
        <f t="shared" si="170"/>
        <v>1</v>
      </c>
      <c r="T229" s="5">
        <f t="shared" si="170"/>
        <v>1</v>
      </c>
      <c r="U229" s="5">
        <f t="shared" si="171"/>
        <v>1</v>
      </c>
      <c r="V229" s="5">
        <f t="shared" si="171"/>
        <v>1</v>
      </c>
      <c r="W229" s="445">
        <v>0</v>
      </c>
      <c r="X229" s="414">
        <v>1</v>
      </c>
      <c r="Y229" s="414">
        <v>1</v>
      </c>
      <c r="Z229" s="414">
        <v>1</v>
      </c>
      <c r="AA229" s="414">
        <v>1</v>
      </c>
      <c r="AB229" s="414">
        <v>1</v>
      </c>
      <c r="AC229" s="414">
        <v>1</v>
      </c>
      <c r="AD229" s="414">
        <v>1</v>
      </c>
      <c r="AE229" s="414">
        <v>1</v>
      </c>
      <c r="AF229" s="414">
        <v>1</v>
      </c>
      <c r="AG229" s="414">
        <f t="shared" si="139"/>
        <v>0</v>
      </c>
      <c r="AH229" s="414">
        <f t="shared" si="140"/>
        <v>0</v>
      </c>
    </row>
    <row r="230" spans="1:34">
      <c r="A230" s="335" t="s">
        <v>647</v>
      </c>
      <c r="B230" s="65" t="s">
        <v>943</v>
      </c>
      <c r="C230" s="65">
        <f>IF(OR(manual=1,ss_cat="small"),0,workstations)</f>
        <v>0</v>
      </c>
      <c r="D230" s="65" t="s">
        <v>2222</v>
      </c>
      <c r="E230" s="327" t="s">
        <v>720</v>
      </c>
      <c r="F230" s="65"/>
      <c r="G230" s="327" t="s">
        <v>720</v>
      </c>
      <c r="H230" s="65"/>
      <c r="I230" s="326" t="str">
        <f>IF(C230=0,"NA",VLOOKUP(0,plant_intel_software_cost_cl,3))</f>
        <v>NA</v>
      </c>
      <c r="J230" s="323" t="str">
        <f t="shared" si="167"/>
        <v>--</v>
      </c>
      <c r="K230" s="327" t="str">
        <f>IF(C230=0,"NA",VLOOKUP(0,plant_intel_software_cost_cl,IF(ss_cat="large",4,5)))</f>
        <v>NA</v>
      </c>
      <c r="L230" s="324"/>
      <c r="M230" t="str">
        <f>$B$210&amp;" - "&amp;$B$226&amp;" - "&amp;B230</f>
        <v>System Controls - Controls Software - Plant intelligence software</v>
      </c>
      <c r="N230" s="5">
        <f t="shared" si="170"/>
        <v>1</v>
      </c>
      <c r="O230" s="5">
        <f t="shared" si="170"/>
        <v>1</v>
      </c>
      <c r="P230" s="5">
        <f t="shared" si="170"/>
        <v>1</v>
      </c>
      <c r="Q230" s="5">
        <f t="shared" si="170"/>
        <v>1</v>
      </c>
      <c r="R230" s="5">
        <f t="shared" si="170"/>
        <v>1</v>
      </c>
      <c r="S230" s="5">
        <f t="shared" si="170"/>
        <v>1</v>
      </c>
      <c r="T230" s="5">
        <f t="shared" si="170"/>
        <v>1</v>
      </c>
      <c r="U230" s="5">
        <f t="shared" si="171"/>
        <v>1</v>
      </c>
      <c r="V230" s="5">
        <f t="shared" si="171"/>
        <v>1</v>
      </c>
      <c r="W230" s="445">
        <v>0</v>
      </c>
      <c r="X230" s="414">
        <v>1</v>
      </c>
      <c r="Y230" s="414">
        <v>1</v>
      </c>
      <c r="Z230" s="414">
        <v>1</v>
      </c>
      <c r="AA230" s="414">
        <v>1</v>
      </c>
      <c r="AB230" s="414">
        <v>1</v>
      </c>
      <c r="AC230" s="414">
        <v>1</v>
      </c>
      <c r="AD230" s="414">
        <v>1</v>
      </c>
      <c r="AE230" s="414">
        <v>1</v>
      </c>
      <c r="AF230" s="414">
        <v>1</v>
      </c>
      <c r="AG230" s="414">
        <f t="shared" si="139"/>
        <v>0</v>
      </c>
      <c r="AH230" s="414">
        <f t="shared" si="140"/>
        <v>0</v>
      </c>
    </row>
    <row r="231" spans="1:34">
      <c r="A231" s="191" t="s">
        <v>648</v>
      </c>
      <c r="B231" s="14" t="s">
        <v>2464</v>
      </c>
      <c r="C231" s="24"/>
      <c r="D231" s="24"/>
      <c r="E231" s="24"/>
      <c r="F231" s="14"/>
      <c r="G231" s="24"/>
      <c r="H231" s="14"/>
      <c r="I231" s="24"/>
      <c r="J231" s="24"/>
      <c r="K231" s="24"/>
      <c r="L231" s="193"/>
      <c r="M231" s="27"/>
      <c r="AG231" s="414">
        <f t="shared" si="139"/>
        <v>0</v>
      </c>
      <c r="AH231" s="414">
        <f t="shared" si="140"/>
        <v>0</v>
      </c>
    </row>
    <row r="232" spans="1:34">
      <c r="A232" s="388" t="s">
        <v>649</v>
      </c>
      <c r="B232" s="11" t="s">
        <v>1633</v>
      </c>
      <c r="C232" s="307"/>
      <c r="D232" s="307"/>
      <c r="E232" s="307"/>
      <c r="F232" s="308"/>
      <c r="G232" s="307"/>
      <c r="H232" s="308"/>
      <c r="I232" s="307"/>
      <c r="J232" s="307"/>
      <c r="K232" s="307"/>
      <c r="L232" s="309"/>
      <c r="M232" s="27"/>
      <c r="AG232" s="414">
        <f t="shared" si="139"/>
        <v>0</v>
      </c>
      <c r="AH232" s="414">
        <f t="shared" si="140"/>
        <v>0</v>
      </c>
    </row>
    <row r="233" spans="1:34">
      <c r="A233" s="335" t="s">
        <v>650</v>
      </c>
      <c r="B233" s="1" t="str">
        <f>CHOOSE(transfer_method,"Slurry Pump System for GAC Transfer","Eductors for GAC Transfer","Manual GAC transfer, no equipment needed")</f>
        <v>Manual GAC transfer, no equipment needed</v>
      </c>
      <c r="C233" s="339">
        <f>CHOOSE(transfer_method,1,eductors,0)</f>
        <v>0</v>
      </c>
      <c r="D233" s="65" t="s">
        <v>2222</v>
      </c>
      <c r="E233" s="321" t="str">
        <f>CHOOSE(transfer_method,transfer_rate,eductor_size,"NA")</f>
        <v>NA</v>
      </c>
      <c r="F233" s="1" t="str">
        <f>CHOOSE(transfer_method,"lbs/hr","in. diam","")</f>
        <v/>
      </c>
      <c r="G233" s="321" t="str">
        <f>CHOOSE(transfer_method,IF(curve=1,transfer_rate,VLOOKUP(transfer_rate,gac_slurry_cost_cl,2)),IF(curve=1,eductor_size,VLOOKUP(eductor_size,seductor_cost_cl,2)),"NA")</f>
        <v>NA</v>
      </c>
      <c r="H233" s="1" t="str">
        <f>CHOOSE(transfer_method,"lbs/hr","in. diam","")</f>
        <v/>
      </c>
      <c r="I233" s="326" t="str">
        <f>CHOOSE(transfer_method,IF(curve=1,slurry_eq,VLOOKUP(transfer_rate,gac_slurry_cost_cl,3)),IF(curve=1,seductor_eq,VLOOKUP(eductor_size,seductor_cost_cl,3)),"NA")</f>
        <v>NA</v>
      </c>
      <c r="J233" s="323" t="str">
        <f>CHOOSE(transfer_method,IF(OR(C233=0,I233="contact vendor"),"--",C233*I233),IF(OR(C233=0,I233="contact vendor"),"--",C233*I233),"--")</f>
        <v>--</v>
      </c>
      <c r="K233" s="327" t="str">
        <f>CHOOSE(transfer_method,VLOOKUP(transfer_rate,gac_slurry_cost_cl,IF(ss_cat="large",4,5)),VLOOKUP(eductor_size,seductor_cost_cl,IF(ss_cat="large",4,5)),"NA")</f>
        <v>NA</v>
      </c>
      <c r="L233" s="324"/>
      <c r="M233" s="27" t="str">
        <f>$B$232&amp;" - "&amp;B233</f>
        <v>Solids Transfer - Manual GAC transfer, no equipment needed</v>
      </c>
      <c r="N233" s="5">
        <f t="shared" ref="N233:V234" si="172">IF(retrofit=1,$W233*X233,IF(ISBLANK(X233),"",X233))</f>
        <v>1</v>
      </c>
      <c r="O233" s="5">
        <f t="shared" si="172"/>
        <v>1</v>
      </c>
      <c r="P233" s="5">
        <f t="shared" si="172"/>
        <v>1</v>
      </c>
      <c r="Q233" s="5">
        <f t="shared" si="172"/>
        <v>1</v>
      </c>
      <c r="R233" s="5">
        <f t="shared" si="172"/>
        <v>1</v>
      </c>
      <c r="S233" s="5">
        <f t="shared" si="172"/>
        <v>1</v>
      </c>
      <c r="T233" s="5">
        <f t="shared" si="172"/>
        <v>1</v>
      </c>
      <c r="U233" s="5">
        <f t="shared" si="172"/>
        <v>1</v>
      </c>
      <c r="V233" s="5">
        <f t="shared" si="172"/>
        <v>1</v>
      </c>
      <c r="W233" s="445">
        <v>0</v>
      </c>
      <c r="X233" s="414">
        <v>1</v>
      </c>
      <c r="Y233" s="414">
        <v>1</v>
      </c>
      <c r="Z233" s="414">
        <v>1</v>
      </c>
      <c r="AA233" s="414">
        <v>1</v>
      </c>
      <c r="AB233" s="414">
        <v>1</v>
      </c>
      <c r="AC233" s="414">
        <v>1</v>
      </c>
      <c r="AD233" s="414">
        <v>1</v>
      </c>
      <c r="AE233" s="414">
        <v>1</v>
      </c>
      <c r="AF233" s="414">
        <v>1</v>
      </c>
      <c r="AG233" s="414">
        <f t="shared" si="139"/>
        <v>0</v>
      </c>
      <c r="AH233" s="414">
        <f t="shared" si="140"/>
        <v>0</v>
      </c>
    </row>
    <row r="234" spans="1:34">
      <c r="A234" s="325" t="s">
        <v>651</v>
      </c>
      <c r="B234" s="1" t="str">
        <f>CHOOSE(res_transfer_method,"Slurry Pump System for Holding Tanks","Eductors for Holding Tanks","Manual holding tank solids transfer, no equipment needed")</f>
        <v>Manual holding tank solids transfer, no equipment needed</v>
      </c>
      <c r="C234" s="65">
        <f>IF(res_holding="none",0,CHOOSE(res_transfer_method,res_slurry_pumps,res_eductors,0))</f>
        <v>0</v>
      </c>
      <c r="D234" s="65" t="s">
        <v>2222</v>
      </c>
      <c r="E234" s="321" t="str">
        <f>IF(C234=0,"NA",CHOOSE(res_transfer_method,res_transfer_rate,res_eductor_size,"NA"))</f>
        <v>NA</v>
      </c>
      <c r="F234" s="65" t="str">
        <f>IF(C234=0,"",CHOOSE(res_transfer_method,"lbs/hr","in. diam",""))</f>
        <v/>
      </c>
      <c r="G234" s="321" t="str">
        <f>IF(C234=0,"NA",CHOOSE(res_transfer_method,IF(curve=1,res_transfer_rate,VLOOKUP(res_transfer_rate,gac_slurry_cost_cl,2)),IF(curve=1,res_eductor_size,VLOOKUP(res_eductor_size,seductor_cost_cl,2)),"NA"))</f>
        <v>NA</v>
      </c>
      <c r="H234" s="65" t="str">
        <f>IF(C234=0,"",CHOOSE(res_transfer_method,"lbs/hr","in. diam",""))</f>
        <v/>
      </c>
      <c r="I234" s="326" t="str">
        <f>IF(C234=0,"NA",CHOOSE(res_transfer_method,IF(curve=1,res_slurry_eq,VLOOKUP(res_transfer_rate,gac_slurry_cost_cl,3)),IF(curve=1,res_seductor_eq,VLOOKUP(res_eductor_size,seductor_cost_cl,3)),"NA"))</f>
        <v>NA</v>
      </c>
      <c r="J234" s="323" t="str">
        <f>IF(C234=0,"--",CHOOSE(res_transfer_method,IF(I234="contact vendor","--",C234*I234),IF(I234="contact vendor","--",C234*I234),"--"))</f>
        <v>--</v>
      </c>
      <c r="K234" s="327" t="str">
        <f>IF(C234=0,"NA",VLOOKUP(E234,CHOOSE(res_transfer_method,gac_slurry_cost_cl,seductor_cost_cl),IF(ss_cat="large",4,5)))</f>
        <v>NA</v>
      </c>
      <c r="L234" s="324"/>
      <c r="M234" s="27" t="str">
        <f>$B$232&amp;" - "&amp;B234</f>
        <v>Solids Transfer - Manual holding tank solids transfer, no equipment needed</v>
      </c>
      <c r="N234" s="5">
        <f t="shared" si="172"/>
        <v>1</v>
      </c>
      <c r="O234" s="5">
        <f t="shared" si="172"/>
        <v>1</v>
      </c>
      <c r="P234" s="5">
        <f t="shared" si="172"/>
        <v>1</v>
      </c>
      <c r="Q234" s="5">
        <f t="shared" si="172"/>
        <v>1</v>
      </c>
      <c r="R234" s="5">
        <f t="shared" si="172"/>
        <v>1</v>
      </c>
      <c r="S234" s="5">
        <f t="shared" si="172"/>
        <v>1</v>
      </c>
      <c r="T234" s="5">
        <f t="shared" si="172"/>
        <v>1</v>
      </c>
      <c r="U234" s="5">
        <f t="shared" si="172"/>
        <v>1</v>
      </c>
      <c r="V234" s="5">
        <f t="shared" si="172"/>
        <v>1</v>
      </c>
      <c r="W234" s="445">
        <v>0</v>
      </c>
      <c r="X234" s="414">
        <v>1</v>
      </c>
      <c r="Y234" s="414">
        <v>1</v>
      </c>
      <c r="Z234" s="414">
        <v>1</v>
      </c>
      <c r="AA234" s="414">
        <v>1</v>
      </c>
      <c r="AB234" s="414">
        <v>1</v>
      </c>
      <c r="AC234" s="414">
        <v>1</v>
      </c>
      <c r="AD234" s="414">
        <v>1</v>
      </c>
      <c r="AE234" s="414">
        <v>1</v>
      </c>
      <c r="AF234" s="414">
        <v>1</v>
      </c>
      <c r="AG234" s="414">
        <f t="shared" si="139"/>
        <v>0</v>
      </c>
      <c r="AH234" s="414">
        <f t="shared" si="140"/>
        <v>0</v>
      </c>
    </row>
    <row r="235" spans="1:34">
      <c r="A235" s="505">
        <v>8.1999999999999993</v>
      </c>
      <c r="B235" s="39" t="s">
        <v>2469</v>
      </c>
      <c r="C235" s="175"/>
      <c r="D235" s="668"/>
      <c r="E235" s="175"/>
      <c r="F235" s="668"/>
      <c r="G235" s="175"/>
      <c r="H235" s="668"/>
      <c r="I235" s="175"/>
      <c r="J235" s="175"/>
      <c r="K235" s="175"/>
      <c r="L235" s="180"/>
      <c r="M235" s="27"/>
      <c r="N235" s="414"/>
      <c r="O235" s="414"/>
      <c r="P235" s="414"/>
      <c r="Q235" s="414"/>
      <c r="R235" s="414"/>
      <c r="S235" s="414"/>
      <c r="T235" s="414"/>
      <c r="U235" s="414"/>
      <c r="V235" s="414"/>
      <c r="AG235" s="414">
        <f t="shared" si="139"/>
        <v>0</v>
      </c>
      <c r="AH235" s="414">
        <f t="shared" si="140"/>
        <v>0</v>
      </c>
    </row>
    <row r="236" spans="1:34">
      <c r="A236" s="335" t="s">
        <v>652</v>
      </c>
      <c r="B236" s="65" t="s">
        <v>2465</v>
      </c>
      <c r="C236" s="65">
        <f>hmixers</f>
        <v>0</v>
      </c>
      <c r="D236" s="65" t="s">
        <v>2222</v>
      </c>
      <c r="E236" s="327" t="str">
        <f>IF(C236=0,"NA",hmix_size)</f>
        <v>NA</v>
      </c>
      <c r="F236" s="65" t="str">
        <f>IF(C236=0,"","hp")</f>
        <v/>
      </c>
      <c r="G236" s="723" t="str">
        <f>IF(C236=0,"NA",VLOOKUP(hmix_size,port_mix_cost_cl,2))</f>
        <v>NA</v>
      </c>
      <c r="H236" s="65" t="str">
        <f>IF(C236=0,"","hp")</f>
        <v/>
      </c>
      <c r="I236" s="326" t="str">
        <f>IF(C236=0,"NA",VLOOKUP(hmix_size,port_mix_cost_cl,3))</f>
        <v>NA</v>
      </c>
      <c r="J236" s="323" t="str">
        <f>IF(C236=0,"--",IF(I236="contact vendor","--",C236*I236))</f>
        <v>--</v>
      </c>
      <c r="K236" s="327" t="str">
        <f>IF(C236=0,"NA",VLOOKUP(hmix_size,port_mix_cost_cl,IF(ss_cat="large",4,5)))</f>
        <v>NA</v>
      </c>
      <c r="L236" s="324"/>
      <c r="M236" s="27" t="str">
        <f>$B$235&amp;" - "&amp;B236</f>
        <v>Residuals Mixers - Portable</v>
      </c>
      <c r="N236" s="5">
        <f t="shared" ref="N236:T238" si="173">IF(retrofit=1,$W236*X236,IF(ISBLANK(X236),"",X236))</f>
        <v>3</v>
      </c>
      <c r="O236" s="5">
        <f t="shared" si="173"/>
        <v>3</v>
      </c>
      <c r="P236" s="5">
        <f t="shared" si="173"/>
        <v>3</v>
      </c>
      <c r="Q236" s="5">
        <f t="shared" si="173"/>
        <v>3</v>
      </c>
      <c r="R236" s="5">
        <f t="shared" si="173"/>
        <v>3</v>
      </c>
      <c r="S236" s="5">
        <f t="shared" si="173"/>
        <v>3</v>
      </c>
      <c r="T236" s="5">
        <f t="shared" si="173"/>
        <v>3</v>
      </c>
      <c r="U236" s="5">
        <f t="shared" ref="U236:V238" si="174">IF(retrofit=1,$W236*AE236,IF(ISBLANK(AE236),"",AE236))</f>
        <v>3</v>
      </c>
      <c r="V236" s="5">
        <f t="shared" si="174"/>
        <v>3</v>
      </c>
      <c r="W236" s="445">
        <v>0</v>
      </c>
      <c r="X236" s="414">
        <v>3</v>
      </c>
      <c r="Y236" s="414">
        <v>3</v>
      </c>
      <c r="Z236" s="414">
        <v>3</v>
      </c>
      <c r="AA236" s="414">
        <v>3</v>
      </c>
      <c r="AB236" s="414">
        <v>3</v>
      </c>
      <c r="AC236" s="414">
        <v>3</v>
      </c>
      <c r="AD236" s="414">
        <v>3</v>
      </c>
      <c r="AE236" s="414">
        <v>3</v>
      </c>
      <c r="AF236" s="414">
        <v>3</v>
      </c>
      <c r="AG236" s="414">
        <f t="shared" si="139"/>
        <v>0</v>
      </c>
      <c r="AH236" s="414">
        <f t="shared" si="140"/>
        <v>0</v>
      </c>
    </row>
    <row r="237" spans="1:34">
      <c r="A237" s="335" t="s">
        <v>652</v>
      </c>
      <c r="B237" s="65" t="s">
        <v>2466</v>
      </c>
      <c r="C237" s="65">
        <f>hmixers</f>
        <v>0</v>
      </c>
      <c r="D237" s="65" t="s">
        <v>2222</v>
      </c>
      <c r="E237" s="327" t="str">
        <f>IF(C237=0,"NA",hmix_size)</f>
        <v>NA</v>
      </c>
      <c r="F237" s="65" t="str">
        <f>IF(C237=0,"","hp")</f>
        <v/>
      </c>
      <c r="G237" s="723" t="str">
        <f>IF(C237=0,"NA",IF(curve=1,hmix_size,VLOOKUP(hmix_size,mount_mix_cost_cl,2)))</f>
        <v>NA</v>
      </c>
      <c r="H237" s="65" t="str">
        <f>IF(C237=0,"","hp")</f>
        <v/>
      </c>
      <c r="I237" s="326" t="str">
        <f>IF(C237=0,"NA",IF(curve=1,hmount_mix_eq,VLOOKUP(hmix_size,mount_mix_cost_cl,3)))</f>
        <v>NA</v>
      </c>
      <c r="J237" s="323" t="str">
        <f>IF(C237=0,"--",IF(I237="contact vendor","--",C237*I237))</f>
        <v>--</v>
      </c>
      <c r="K237" s="327" t="str">
        <f>IF(C237=0,"NA",VLOOKUP(hmix_size,mount_mix_cost_cl,IF(ss_cat="large",4,5)))</f>
        <v>NA</v>
      </c>
      <c r="L237" s="324"/>
      <c r="M237" s="27" t="str">
        <f>$B$235&amp;" - "&amp;B237</f>
        <v>Residuals Mixers - Mounted</v>
      </c>
      <c r="N237" s="5">
        <f t="shared" si="173"/>
        <v>1</v>
      </c>
      <c r="O237" s="5">
        <f t="shared" si="173"/>
        <v>1</v>
      </c>
      <c r="P237" s="5">
        <f t="shared" si="173"/>
        <v>1</v>
      </c>
      <c r="Q237" s="5">
        <f t="shared" si="173"/>
        <v>1</v>
      </c>
      <c r="R237" s="5">
        <f t="shared" si="173"/>
        <v>1</v>
      </c>
      <c r="S237" s="5">
        <f t="shared" si="173"/>
        <v>1</v>
      </c>
      <c r="T237" s="5">
        <f t="shared" si="173"/>
        <v>1</v>
      </c>
      <c r="U237" s="5">
        <f t="shared" si="174"/>
        <v>1</v>
      </c>
      <c r="V237" s="5">
        <f t="shared" si="174"/>
        <v>1</v>
      </c>
      <c r="W237" s="445">
        <v>0</v>
      </c>
      <c r="X237" s="414">
        <v>1</v>
      </c>
      <c r="Y237" s="414">
        <v>1</v>
      </c>
      <c r="Z237" s="414">
        <v>1</v>
      </c>
      <c r="AA237" s="414">
        <v>1</v>
      </c>
      <c r="AB237" s="414">
        <v>1</v>
      </c>
      <c r="AC237" s="414">
        <v>1</v>
      </c>
      <c r="AD237" s="414">
        <v>1</v>
      </c>
      <c r="AE237" s="414">
        <v>1</v>
      </c>
      <c r="AF237" s="414">
        <v>1</v>
      </c>
      <c r="AG237" s="414">
        <f t="shared" si="139"/>
        <v>0</v>
      </c>
      <c r="AH237" s="414">
        <f t="shared" si="140"/>
        <v>0</v>
      </c>
    </row>
    <row r="238" spans="1:34">
      <c r="A238" s="335" t="s">
        <v>652</v>
      </c>
      <c r="B238" s="65" t="s">
        <v>2545</v>
      </c>
      <c r="C238" s="65">
        <f>hmixers</f>
        <v>0</v>
      </c>
      <c r="D238" s="65" t="s">
        <v>2222</v>
      </c>
      <c r="E238" s="327" t="str">
        <f>IF(C238=0,"NA",hmix_size)</f>
        <v>NA</v>
      </c>
      <c r="F238" s="65" t="str">
        <f>IF(C238=0,"","hp")</f>
        <v/>
      </c>
      <c r="G238" s="723" t="str">
        <f>IF(C238=0,"NA",IF(curve=1,hmix_size,VLOOKUP(hmix_size,imp_mix_cost_cl,2)))</f>
        <v>NA</v>
      </c>
      <c r="H238" s="65" t="str">
        <f>IF(C238=0,"","hp")</f>
        <v/>
      </c>
      <c r="I238" s="326" t="str">
        <f>IF(C238=0,"NA",IF(curve=1,himp_mix_eq,VLOOKUP(hmix_size,imp_mix_cost_cl,3)))</f>
        <v>NA</v>
      </c>
      <c r="J238" s="323" t="str">
        <f>IF(C238=0,"--",IF(I238="contact vendor","--",C238*I238))</f>
        <v>--</v>
      </c>
      <c r="K238" s="327" t="str">
        <f>IF(C238=0,"NA",VLOOKUP(hmix_size,imp_mix_cost_cl,IF(ss_cat="large",4,5)))</f>
        <v>NA</v>
      </c>
      <c r="L238" s="324"/>
      <c r="M238" s="27" t="str">
        <f>$B$235&amp;" - "&amp;B238</f>
        <v>Residuals Mixers - Impeller</v>
      </c>
      <c r="N238" s="5">
        <f t="shared" si="173"/>
        <v>2</v>
      </c>
      <c r="O238" s="5">
        <f t="shared" si="173"/>
        <v>2</v>
      </c>
      <c r="P238" s="5">
        <f t="shared" si="173"/>
        <v>2</v>
      </c>
      <c r="Q238" s="5">
        <f t="shared" si="173"/>
        <v>2</v>
      </c>
      <c r="R238" s="5">
        <f t="shared" si="173"/>
        <v>2</v>
      </c>
      <c r="S238" s="5">
        <f t="shared" si="173"/>
        <v>2</v>
      </c>
      <c r="T238" s="5">
        <f t="shared" si="173"/>
        <v>2</v>
      </c>
      <c r="U238" s="5">
        <f t="shared" si="174"/>
        <v>2</v>
      </c>
      <c r="V238" s="5">
        <f t="shared" si="174"/>
        <v>2</v>
      </c>
      <c r="W238" s="445">
        <v>0</v>
      </c>
      <c r="X238" s="414">
        <v>2</v>
      </c>
      <c r="Y238" s="414">
        <v>2</v>
      </c>
      <c r="Z238" s="414">
        <v>2</v>
      </c>
      <c r="AA238" s="414">
        <v>2</v>
      </c>
      <c r="AB238" s="414">
        <v>2</v>
      </c>
      <c r="AC238" s="414">
        <v>2</v>
      </c>
      <c r="AD238" s="414">
        <v>2</v>
      </c>
      <c r="AE238" s="414">
        <v>2</v>
      </c>
      <c r="AF238" s="414">
        <v>2</v>
      </c>
      <c r="AG238" s="414">
        <f t="shared" si="139"/>
        <v>0</v>
      </c>
      <c r="AH238" s="414">
        <f t="shared" si="140"/>
        <v>0</v>
      </c>
    </row>
    <row r="239" spans="1:34">
      <c r="A239" s="505" t="s">
        <v>3299</v>
      </c>
      <c r="B239" s="668" t="s">
        <v>3712</v>
      </c>
      <c r="C239" s="175"/>
      <c r="D239" s="668"/>
      <c r="E239" s="175"/>
      <c r="F239" s="668"/>
      <c r="G239" s="175"/>
      <c r="H239" s="668"/>
      <c r="I239" s="175"/>
      <c r="J239" s="175"/>
      <c r="K239" s="175"/>
      <c r="L239" s="180"/>
      <c r="M239" s="27"/>
      <c r="N239" s="414"/>
      <c r="O239" s="414"/>
      <c r="P239" s="414"/>
      <c r="Q239" s="414"/>
      <c r="R239" s="414"/>
      <c r="S239" s="414"/>
      <c r="T239" s="414"/>
      <c r="U239" s="414"/>
      <c r="V239" s="414"/>
      <c r="AG239" s="414">
        <f t="shared" si="139"/>
        <v>0</v>
      </c>
      <c r="AH239" s="414">
        <f t="shared" si="140"/>
        <v>0</v>
      </c>
    </row>
    <row r="240" spans="1:34">
      <c r="A240" s="335" t="s">
        <v>3300</v>
      </c>
      <c r="B240" s="65" t="s">
        <v>2465</v>
      </c>
      <c r="C240" s="65">
        <f>coag_cmixers</f>
        <v>0</v>
      </c>
      <c r="D240" s="65" t="s">
        <v>2222</v>
      </c>
      <c r="E240" s="327" t="str">
        <f>IF(C240=0,"NA",coag_cmix_size)</f>
        <v>NA</v>
      </c>
      <c r="F240" s="65" t="str">
        <f>IF(C240=0,"","hp")</f>
        <v/>
      </c>
      <c r="G240" s="723" t="str">
        <f>IF(C240=0,"NA",VLOOKUP(coag_cmix_size,port_mix_cost_cl,2))</f>
        <v>NA</v>
      </c>
      <c r="H240" s="65" t="str">
        <f>IF(C240=0,"","hp")</f>
        <v/>
      </c>
      <c r="I240" s="326" t="str">
        <f>IF(C240=0,"NA",VLOOKUP(coag_cmix_size,port_mix_cost_cl,3))</f>
        <v>NA</v>
      </c>
      <c r="J240" s="323" t="str">
        <f>IF(C240=0,"--",IF(I240="contact vendor","--",C240*I240))</f>
        <v>--</v>
      </c>
      <c r="K240" s="327" t="str">
        <f>IF(C240=0,"NA",VLOOKUP(coag_cmix_size,port_mix_cost_cl,IF(ss_cat="large",4,5)))</f>
        <v>NA</v>
      </c>
      <c r="L240" s="324"/>
      <c r="M240" s="27" t="str">
        <f>$B$243&amp;" - "&amp;B240</f>
        <v>Polymer Storage Tank Mixers - Portable</v>
      </c>
      <c r="N240" s="5">
        <f t="shared" ref="N240:N242" si="175">IF(retrofit=1,$W240*X240,IF(ISBLANK(X240),"",X240))</f>
        <v>3</v>
      </c>
      <c r="O240" s="5">
        <f t="shared" ref="O240:O242" si="176">IF(retrofit=1,$W240*Y240,IF(ISBLANK(Y240),"",Y240))</f>
        <v>3</v>
      </c>
      <c r="P240" s="5">
        <f t="shared" ref="P240:P242" si="177">IF(retrofit=1,$W240*Z240,IF(ISBLANK(Z240),"",Z240))</f>
        <v>3</v>
      </c>
      <c r="Q240" s="5">
        <f t="shared" ref="Q240:Q242" si="178">IF(retrofit=1,$W240*AA240,IF(ISBLANK(AA240),"",AA240))</f>
        <v>3</v>
      </c>
      <c r="R240" s="5">
        <f t="shared" ref="R240:R242" si="179">IF(retrofit=1,$W240*AB240,IF(ISBLANK(AB240),"",AB240))</f>
        <v>3</v>
      </c>
      <c r="S240" s="5">
        <f t="shared" ref="S240:S242" si="180">IF(retrofit=1,$W240*AC240,IF(ISBLANK(AC240),"",AC240))</f>
        <v>3</v>
      </c>
      <c r="T240" s="5">
        <f t="shared" ref="T240:T242" si="181">IF(retrofit=1,$W240*AD240,IF(ISBLANK(AD240),"",AD240))</f>
        <v>3</v>
      </c>
      <c r="U240" s="5">
        <f t="shared" ref="U240:U242" si="182">IF(retrofit=1,$W240*AE240,IF(ISBLANK(AE240),"",AE240))</f>
        <v>3</v>
      </c>
      <c r="V240" s="5">
        <f t="shared" ref="V240:V242" si="183">IF(retrofit=1,$W240*AF240,IF(ISBLANK(AF240),"",AF240))</f>
        <v>3</v>
      </c>
      <c r="W240" s="445">
        <v>0</v>
      </c>
      <c r="X240" s="414">
        <v>3</v>
      </c>
      <c r="Y240" s="414">
        <v>3</v>
      </c>
      <c r="Z240" s="414">
        <v>3</v>
      </c>
      <c r="AA240" s="414">
        <v>3</v>
      </c>
      <c r="AB240" s="414">
        <v>3</v>
      </c>
      <c r="AC240" s="414">
        <v>3</v>
      </c>
      <c r="AD240" s="414">
        <v>3</v>
      </c>
      <c r="AE240" s="414">
        <v>3</v>
      </c>
      <c r="AF240" s="414">
        <v>3</v>
      </c>
      <c r="AG240" s="414">
        <f t="shared" si="139"/>
        <v>0</v>
      </c>
      <c r="AH240" s="414">
        <f t="shared" si="140"/>
        <v>0</v>
      </c>
    </row>
    <row r="241" spans="1:34">
      <c r="A241" s="335" t="s">
        <v>3300</v>
      </c>
      <c r="B241" s="65" t="s">
        <v>2466</v>
      </c>
      <c r="C241" s="65">
        <f>coag_cmixers</f>
        <v>0</v>
      </c>
      <c r="D241" s="65" t="s">
        <v>2222</v>
      </c>
      <c r="E241" s="327" t="str">
        <f>IF(C241=0,"NA",coag_cmix_size)</f>
        <v>NA</v>
      </c>
      <c r="F241" s="65" t="str">
        <f>IF(C241=0,"","hp")</f>
        <v/>
      </c>
      <c r="G241" s="723" t="str">
        <f>IF(C241=0,"NA",IF(curve=1,coag_cmix_size,VLOOKUP(coag_cmix_size,mount_mix_cost_cl,2)))</f>
        <v>NA</v>
      </c>
      <c r="H241" s="65" t="str">
        <f>IF(C241=0,"","hp")</f>
        <v/>
      </c>
      <c r="I241" s="326" t="str">
        <f>IF(C241=0,"NA",IF(curve=1,cmount_mix_eq_coag,VLOOKUP(coag_cmix_size,mount_mix_cost_cl,3)))</f>
        <v>NA</v>
      </c>
      <c r="J241" s="323" t="str">
        <f>IF(C241=0,"--",IF(I241="contact vendor","--",C241*I241))</f>
        <v>--</v>
      </c>
      <c r="K241" s="327" t="str">
        <f>IF(C241=0,"NA",VLOOKUP(coag_cmix_size,mount_mix_cost_cl,IF(ss_cat="large",4,5)))</f>
        <v>NA</v>
      </c>
      <c r="L241" s="324"/>
      <c r="M241" s="27" t="str">
        <f t="shared" ref="M241:M242" si="184">$B$243&amp;" - "&amp;B241</f>
        <v>Polymer Storage Tank Mixers - Mounted</v>
      </c>
      <c r="N241" s="5">
        <f t="shared" si="175"/>
        <v>1</v>
      </c>
      <c r="O241" s="5">
        <f t="shared" si="176"/>
        <v>1</v>
      </c>
      <c r="P241" s="5">
        <f t="shared" si="177"/>
        <v>1</v>
      </c>
      <c r="Q241" s="5">
        <f t="shared" si="178"/>
        <v>1</v>
      </c>
      <c r="R241" s="5">
        <f t="shared" si="179"/>
        <v>1</v>
      </c>
      <c r="S241" s="5">
        <f t="shared" si="180"/>
        <v>1</v>
      </c>
      <c r="T241" s="5">
        <f t="shared" si="181"/>
        <v>1</v>
      </c>
      <c r="U241" s="5">
        <f t="shared" si="182"/>
        <v>1</v>
      </c>
      <c r="V241" s="5">
        <f t="shared" si="183"/>
        <v>1</v>
      </c>
      <c r="W241" s="445">
        <v>0</v>
      </c>
      <c r="X241" s="414">
        <v>1</v>
      </c>
      <c r="Y241" s="414">
        <v>1</v>
      </c>
      <c r="Z241" s="414">
        <v>1</v>
      </c>
      <c r="AA241" s="414">
        <v>1</v>
      </c>
      <c r="AB241" s="414">
        <v>1</v>
      </c>
      <c r="AC241" s="414">
        <v>1</v>
      </c>
      <c r="AD241" s="414">
        <v>1</v>
      </c>
      <c r="AE241" s="414">
        <v>1</v>
      </c>
      <c r="AF241" s="414">
        <v>1</v>
      </c>
      <c r="AG241" s="414">
        <f t="shared" si="139"/>
        <v>0</v>
      </c>
      <c r="AH241" s="414">
        <f t="shared" si="140"/>
        <v>0</v>
      </c>
    </row>
    <row r="242" spans="1:34">
      <c r="A242" s="335" t="s">
        <v>3300</v>
      </c>
      <c r="B242" s="65" t="s">
        <v>2545</v>
      </c>
      <c r="C242" s="65">
        <f>coag_cmixers</f>
        <v>0</v>
      </c>
      <c r="D242" s="65" t="s">
        <v>2222</v>
      </c>
      <c r="E242" s="327" t="str">
        <f>IF(C242=0,"NA",coag_cmix_size)</f>
        <v>NA</v>
      </c>
      <c r="F242" s="65" t="str">
        <f>IF(C242=0,"","hp")</f>
        <v/>
      </c>
      <c r="G242" s="723" t="str">
        <f>IF(C242=0,"NA",IF(curve=1,coag_cmix_size,VLOOKUP(coag_cmix_size,imp_mix_cost_cl,2)))</f>
        <v>NA</v>
      </c>
      <c r="H242" s="65" t="str">
        <f>IF(C242=0,"","hp")</f>
        <v/>
      </c>
      <c r="I242" s="326" t="str">
        <f>IF(C242=0,"NA",IF(curve=1,cimp_mix_eq_coag,VLOOKUP(coag_cmix_size,imp_mix_cost_cl,3)))</f>
        <v>NA</v>
      </c>
      <c r="J242" s="323" t="str">
        <f>IF(C242=0,"--",IF(I242="contact vendor","--",C242*I242))</f>
        <v>--</v>
      </c>
      <c r="K242" s="327" t="str">
        <f>IF(C242=0,"NA",VLOOKUP(coag_cmix_size,imp_mix_cost_cl,IF(ss_cat="large",4,5)))</f>
        <v>NA</v>
      </c>
      <c r="L242" s="324"/>
      <c r="M242" s="27" t="str">
        <f t="shared" si="184"/>
        <v>Polymer Storage Tank Mixers - Impeller</v>
      </c>
      <c r="N242" s="5">
        <f t="shared" si="175"/>
        <v>2</v>
      </c>
      <c r="O242" s="5">
        <f t="shared" si="176"/>
        <v>2</v>
      </c>
      <c r="P242" s="5">
        <f t="shared" si="177"/>
        <v>2</v>
      </c>
      <c r="Q242" s="5">
        <f t="shared" si="178"/>
        <v>2</v>
      </c>
      <c r="R242" s="5">
        <f t="shared" si="179"/>
        <v>2</v>
      </c>
      <c r="S242" s="5">
        <f t="shared" si="180"/>
        <v>2</v>
      </c>
      <c r="T242" s="5">
        <f t="shared" si="181"/>
        <v>2</v>
      </c>
      <c r="U242" s="5">
        <f t="shared" si="182"/>
        <v>2</v>
      </c>
      <c r="V242" s="5">
        <f t="shared" si="183"/>
        <v>2</v>
      </c>
      <c r="W242" s="445">
        <v>0</v>
      </c>
      <c r="X242" s="414">
        <v>2</v>
      </c>
      <c r="Y242" s="414">
        <v>2</v>
      </c>
      <c r="Z242" s="414">
        <v>2</v>
      </c>
      <c r="AA242" s="414">
        <v>2</v>
      </c>
      <c r="AB242" s="414">
        <v>2</v>
      </c>
      <c r="AC242" s="414">
        <v>2</v>
      </c>
      <c r="AD242" s="414">
        <v>2</v>
      </c>
      <c r="AE242" s="414">
        <v>2</v>
      </c>
      <c r="AF242" s="414">
        <v>2</v>
      </c>
      <c r="AG242" s="414">
        <f t="shared" si="139"/>
        <v>0</v>
      </c>
      <c r="AH242" s="414">
        <f t="shared" si="140"/>
        <v>0</v>
      </c>
    </row>
    <row r="243" spans="1:34">
      <c r="A243" s="901" t="s">
        <v>3713</v>
      </c>
      <c r="B243" s="39" t="s">
        <v>3301</v>
      </c>
      <c r="C243" s="175"/>
      <c r="D243" s="668"/>
      <c r="E243" s="175"/>
      <c r="F243" s="668"/>
      <c r="G243" s="175"/>
      <c r="H243" s="668"/>
      <c r="I243" s="175"/>
      <c r="J243" s="175"/>
      <c r="K243" s="175"/>
      <c r="L243" s="180"/>
      <c r="M243" s="27"/>
      <c r="N243" s="414"/>
      <c r="O243" s="414"/>
      <c r="P243" s="414"/>
      <c r="Q243" s="414"/>
      <c r="R243" s="414"/>
      <c r="S243" s="414"/>
      <c r="T243" s="414"/>
      <c r="U243" s="414"/>
      <c r="V243" s="414"/>
      <c r="AG243" s="414">
        <f t="shared" ref="AG243:AG246" si="185">IF(ISERROR(K243*L243),0,IF(K243&lt;1,0,L243))</f>
        <v>0</v>
      </c>
      <c r="AH243" s="414">
        <f t="shared" ref="AH243:AH246" si="186">IF(AG243,J243/K243,0)</f>
        <v>0</v>
      </c>
    </row>
    <row r="244" spans="1:34">
      <c r="A244" s="335" t="s">
        <v>3714</v>
      </c>
      <c r="B244" s="65" t="s">
        <v>2465</v>
      </c>
      <c r="C244" s="65">
        <f>polymer_cmixers</f>
        <v>0</v>
      </c>
      <c r="D244" s="65" t="s">
        <v>2222</v>
      </c>
      <c r="E244" s="327" t="str">
        <f>IF(C244=0,"NA",polymer_cmix_size)</f>
        <v>NA</v>
      </c>
      <c r="F244" s="65" t="str">
        <f>IF(C244=0,"","hp")</f>
        <v/>
      </c>
      <c r="G244" s="723" t="str">
        <f>IF(C244=0,"NA",VLOOKUP(polymer_cmix_size,port_mix_cost_cl,2))</f>
        <v>NA</v>
      </c>
      <c r="H244" s="65" t="str">
        <f>IF(C244=0,"","hp")</f>
        <v/>
      </c>
      <c r="I244" s="326" t="str">
        <f>IF(C244=0,"NA",VLOOKUP(polymer_cmix_size,port_mix_cost_cl,3))</f>
        <v>NA</v>
      </c>
      <c r="J244" s="323" t="str">
        <f>IF(C244=0,"--",IF(I244="contact vendor","--",C244*I244))</f>
        <v>--</v>
      </c>
      <c r="K244" s="327" t="str">
        <f>IF(C244=0,"NA",VLOOKUP(polymer_cmix_size,port_mix_cost_cl,IF(ss_cat="large",4,5)))</f>
        <v>NA</v>
      </c>
      <c r="L244" s="324"/>
      <c r="M244" s="27" t="str">
        <f>$B$243&amp;" - "&amp;B244</f>
        <v>Polymer Storage Tank Mixers - Portable</v>
      </c>
      <c r="N244" s="5">
        <f t="shared" ref="N244:N246" si="187">IF(retrofit=1,$W244*X244,IF(ISBLANK(X244),"",X244))</f>
        <v>3</v>
      </c>
      <c r="O244" s="5">
        <f t="shared" ref="O244:O246" si="188">IF(retrofit=1,$W244*Y244,IF(ISBLANK(Y244),"",Y244))</f>
        <v>3</v>
      </c>
      <c r="P244" s="5">
        <f t="shared" ref="P244:P246" si="189">IF(retrofit=1,$W244*Z244,IF(ISBLANK(Z244),"",Z244))</f>
        <v>3</v>
      </c>
      <c r="Q244" s="5">
        <f t="shared" ref="Q244:Q246" si="190">IF(retrofit=1,$W244*AA244,IF(ISBLANK(AA244),"",AA244))</f>
        <v>3</v>
      </c>
      <c r="R244" s="5">
        <f t="shared" ref="R244:R246" si="191">IF(retrofit=1,$W244*AB244,IF(ISBLANK(AB244),"",AB244))</f>
        <v>3</v>
      </c>
      <c r="S244" s="5">
        <f t="shared" ref="S244:S246" si="192">IF(retrofit=1,$W244*AC244,IF(ISBLANK(AC244),"",AC244))</f>
        <v>3</v>
      </c>
      <c r="T244" s="5">
        <f t="shared" ref="T244:T246" si="193">IF(retrofit=1,$W244*AD244,IF(ISBLANK(AD244),"",AD244))</f>
        <v>3</v>
      </c>
      <c r="U244" s="5">
        <f t="shared" ref="U244:U246" si="194">IF(retrofit=1,$W244*AE244,IF(ISBLANK(AE244),"",AE244))</f>
        <v>3</v>
      </c>
      <c r="V244" s="5">
        <f t="shared" ref="V244:V246" si="195">IF(retrofit=1,$W244*AF244,IF(ISBLANK(AF244),"",AF244))</f>
        <v>3</v>
      </c>
      <c r="W244" s="445">
        <v>0</v>
      </c>
      <c r="X244" s="414">
        <v>3</v>
      </c>
      <c r="Y244" s="414">
        <v>3</v>
      </c>
      <c r="Z244" s="414">
        <v>3</v>
      </c>
      <c r="AA244" s="414">
        <v>3</v>
      </c>
      <c r="AB244" s="414">
        <v>3</v>
      </c>
      <c r="AC244" s="414">
        <v>3</v>
      </c>
      <c r="AD244" s="414">
        <v>3</v>
      </c>
      <c r="AE244" s="414">
        <v>3</v>
      </c>
      <c r="AF244" s="414">
        <v>3</v>
      </c>
      <c r="AG244" s="414">
        <f t="shared" si="185"/>
        <v>0</v>
      </c>
      <c r="AH244" s="414">
        <f t="shared" si="186"/>
        <v>0</v>
      </c>
    </row>
    <row r="245" spans="1:34">
      <c r="A245" s="335" t="s">
        <v>3714</v>
      </c>
      <c r="B245" s="65" t="s">
        <v>2466</v>
      </c>
      <c r="C245" s="65">
        <f>polymer_cmixers</f>
        <v>0</v>
      </c>
      <c r="D245" s="65" t="s">
        <v>2222</v>
      </c>
      <c r="E245" s="327" t="str">
        <f>IF(C245=0,"NA",polymer_cmix_size)</f>
        <v>NA</v>
      </c>
      <c r="F245" s="65" t="str">
        <f>IF(C245=0,"","hp")</f>
        <v/>
      </c>
      <c r="G245" s="723" t="str">
        <f>IF(C245=0,"NA",IF(curve=1,polymer_cmix_size,VLOOKUP(polymer_cmix_size,mount_mix_cost_cl,2)))</f>
        <v>NA</v>
      </c>
      <c r="H245" s="65" t="str">
        <f>IF(C245=0,"","hp")</f>
        <v/>
      </c>
      <c r="I245" s="326" t="str">
        <f>IF(C245=0,"NA",IF(curve=1,cmount_mix_eq_polymer,VLOOKUP(polymer_cmix_size,mount_mix_cost_cl,3)))</f>
        <v>NA</v>
      </c>
      <c r="J245" s="323" t="str">
        <f>IF(C245=0,"--",IF(I245="contact vendor","--",C245*I245))</f>
        <v>--</v>
      </c>
      <c r="K245" s="327" t="str">
        <f>IF(C245=0,"NA",VLOOKUP(polymer_cmix_size,mount_mix_cost_cl,IF(ss_cat="large",4,5)))</f>
        <v>NA</v>
      </c>
      <c r="L245" s="324"/>
      <c r="M245" s="27" t="str">
        <f t="shared" ref="M245:M246" si="196">$B$243&amp;" - "&amp;B245</f>
        <v>Polymer Storage Tank Mixers - Mounted</v>
      </c>
      <c r="N245" s="5">
        <f t="shared" si="187"/>
        <v>1</v>
      </c>
      <c r="O245" s="5">
        <f t="shared" si="188"/>
        <v>1</v>
      </c>
      <c r="P245" s="5">
        <f t="shared" si="189"/>
        <v>1</v>
      </c>
      <c r="Q245" s="5">
        <f t="shared" si="190"/>
        <v>1</v>
      </c>
      <c r="R245" s="5">
        <f t="shared" si="191"/>
        <v>1</v>
      </c>
      <c r="S245" s="5">
        <f t="shared" si="192"/>
        <v>1</v>
      </c>
      <c r="T245" s="5">
        <f t="shared" si="193"/>
        <v>1</v>
      </c>
      <c r="U245" s="5">
        <f t="shared" si="194"/>
        <v>1</v>
      </c>
      <c r="V245" s="5">
        <f t="shared" si="195"/>
        <v>1</v>
      </c>
      <c r="W245" s="445">
        <v>0</v>
      </c>
      <c r="X245" s="414">
        <v>1</v>
      </c>
      <c r="Y245" s="414">
        <v>1</v>
      </c>
      <c r="Z245" s="414">
        <v>1</v>
      </c>
      <c r="AA245" s="414">
        <v>1</v>
      </c>
      <c r="AB245" s="414">
        <v>1</v>
      </c>
      <c r="AC245" s="414">
        <v>1</v>
      </c>
      <c r="AD245" s="414">
        <v>1</v>
      </c>
      <c r="AE245" s="414">
        <v>1</v>
      </c>
      <c r="AF245" s="414">
        <v>1</v>
      </c>
      <c r="AG245" s="414">
        <f t="shared" si="185"/>
        <v>0</v>
      </c>
      <c r="AH245" s="414">
        <f t="shared" si="186"/>
        <v>0</v>
      </c>
    </row>
    <row r="246" spans="1:34">
      <c r="A246" s="335" t="s">
        <v>3714</v>
      </c>
      <c r="B246" s="65" t="s">
        <v>2545</v>
      </c>
      <c r="C246" s="65">
        <f>polymer_cmixers</f>
        <v>0</v>
      </c>
      <c r="D246" s="65" t="s">
        <v>2222</v>
      </c>
      <c r="E246" s="327" t="str">
        <f>IF(C246=0,"NA",polymer_cmix_size)</f>
        <v>NA</v>
      </c>
      <c r="F246" s="65" t="str">
        <f>IF(C246=0,"","hp")</f>
        <v/>
      </c>
      <c r="G246" s="723" t="str">
        <f>IF(C246=0,"NA",IF(curve=1,polymer_cmix_size,VLOOKUP(polymer_cmix_size,imp_mix_cost_cl,2)))</f>
        <v>NA</v>
      </c>
      <c r="H246" s="65" t="str">
        <f>IF(C246=0,"","hp")</f>
        <v/>
      </c>
      <c r="I246" s="326" t="str">
        <f>IF(C246=0,"NA",IF(curve=1,cimp_mix_eq_polymer,VLOOKUP(polymer_cmix_size,imp_mix_cost_cl,3)))</f>
        <v>NA</v>
      </c>
      <c r="J246" s="323" t="str">
        <f>IF(C246=0,"--",IF(I246="contact vendor","--",C246*I246))</f>
        <v>--</v>
      </c>
      <c r="K246" s="327" t="str">
        <f>IF(C246=0,"NA",VLOOKUP(polymer_cmix_size,imp_mix_cost_cl,IF(ss_cat="large",4,5)))</f>
        <v>NA</v>
      </c>
      <c r="L246" s="324"/>
      <c r="M246" s="27" t="str">
        <f t="shared" si="196"/>
        <v>Polymer Storage Tank Mixers - Impeller</v>
      </c>
      <c r="N246" s="5">
        <f t="shared" si="187"/>
        <v>2</v>
      </c>
      <c r="O246" s="5">
        <f t="shared" si="188"/>
        <v>2</v>
      </c>
      <c r="P246" s="5">
        <f t="shared" si="189"/>
        <v>2</v>
      </c>
      <c r="Q246" s="5">
        <f t="shared" si="190"/>
        <v>2</v>
      </c>
      <c r="R246" s="5">
        <f t="shared" si="191"/>
        <v>2</v>
      </c>
      <c r="S246" s="5">
        <f t="shared" si="192"/>
        <v>2</v>
      </c>
      <c r="T246" s="5">
        <f t="shared" si="193"/>
        <v>2</v>
      </c>
      <c r="U246" s="5">
        <f t="shared" si="194"/>
        <v>2</v>
      </c>
      <c r="V246" s="5">
        <f t="shared" si="195"/>
        <v>2</v>
      </c>
      <c r="W246" s="445">
        <v>0</v>
      </c>
      <c r="X246" s="414">
        <v>2</v>
      </c>
      <c r="Y246" s="414">
        <v>2</v>
      </c>
      <c r="Z246" s="414">
        <v>2</v>
      </c>
      <c r="AA246" s="414">
        <v>2</v>
      </c>
      <c r="AB246" s="414">
        <v>2</v>
      </c>
      <c r="AC246" s="414">
        <v>2</v>
      </c>
      <c r="AD246" s="414">
        <v>2</v>
      </c>
      <c r="AE246" s="414">
        <v>2</v>
      </c>
      <c r="AF246" s="414">
        <v>2</v>
      </c>
      <c r="AG246" s="414">
        <f t="shared" si="185"/>
        <v>0</v>
      </c>
      <c r="AH246" s="414">
        <f t="shared" si="186"/>
        <v>0</v>
      </c>
    </row>
    <row r="247" spans="1:34">
      <c r="A247" s="191" t="s">
        <v>653</v>
      </c>
      <c r="B247" s="14" t="s">
        <v>3462</v>
      </c>
      <c r="C247" s="24"/>
      <c r="D247" s="24"/>
      <c r="E247" s="24"/>
      <c r="F247" s="14"/>
      <c r="G247" s="24"/>
      <c r="H247" s="14"/>
      <c r="I247" s="24"/>
      <c r="J247" s="24"/>
      <c r="K247" s="24"/>
      <c r="L247" s="193"/>
      <c r="M247" s="27"/>
      <c r="AG247" s="414">
        <f t="shared" si="139"/>
        <v>0</v>
      </c>
      <c r="AH247" s="414">
        <f t="shared" si="140"/>
        <v>0</v>
      </c>
    </row>
    <row r="248" spans="1:34">
      <c r="A248" s="999" t="s">
        <v>654</v>
      </c>
      <c r="B248" s="1000" t="s">
        <v>3124</v>
      </c>
      <c r="C248" s="1001">
        <f>GAC</f>
        <v>75398.223686155034</v>
      </c>
      <c r="D248" s="1000" t="s">
        <v>2255</v>
      </c>
      <c r="E248" s="1002" t="s">
        <v>720</v>
      </c>
      <c r="F248" s="1000"/>
      <c r="G248" s="1002" t="s">
        <v>720</v>
      </c>
      <c r="H248" s="1000"/>
      <c r="I248" s="1003">
        <f>'Cost Data'!D374</f>
        <v>0.94</v>
      </c>
      <c r="J248" s="1004">
        <f>IF(I248="contact vendor","--",C248*I248)</f>
        <v>70874.330264985721</v>
      </c>
      <c r="K248" s="341" t="str">
        <f>VLOOKUP(GAC,gac_cost_cl,IF(ss_cat="large",4,5))</f>
        <v>N/A</v>
      </c>
      <c r="L248" s="342">
        <v>1</v>
      </c>
      <c r="M248" s="27" t="str">
        <f>$B$247&amp;" - "&amp;B248</f>
        <v>Media - Initial GAC Charge</v>
      </c>
      <c r="N248" s="5">
        <f t="shared" ref="N248:V248" si="197">IF(retrofit=1,$W248*X248,IF(ISBLANK(X248),"",X248))</f>
        <v>1</v>
      </c>
      <c r="O248" s="5">
        <f t="shared" si="197"/>
        <v>1</v>
      </c>
      <c r="P248" s="5">
        <f t="shared" si="197"/>
        <v>1</v>
      </c>
      <c r="Q248" s="5">
        <f t="shared" si="197"/>
        <v>1</v>
      </c>
      <c r="R248" s="5">
        <f t="shared" si="197"/>
        <v>1</v>
      </c>
      <c r="S248" s="5">
        <f t="shared" si="197"/>
        <v>1</v>
      </c>
      <c r="T248" s="5">
        <f t="shared" si="197"/>
        <v>1</v>
      </c>
      <c r="U248" s="5">
        <f t="shared" si="197"/>
        <v>1</v>
      </c>
      <c r="V248" s="5">
        <f t="shared" si="197"/>
        <v>1</v>
      </c>
      <c r="W248" s="445">
        <v>0</v>
      </c>
      <c r="X248" s="414">
        <v>1</v>
      </c>
      <c r="Y248" s="414">
        <v>1</v>
      </c>
      <c r="Z248" s="414">
        <v>1</v>
      </c>
      <c r="AA248" s="414">
        <v>1</v>
      </c>
      <c r="AB248" s="414">
        <v>1</v>
      </c>
      <c r="AC248" s="414">
        <v>1</v>
      </c>
      <c r="AD248" s="414">
        <v>1</v>
      </c>
      <c r="AE248" s="414">
        <v>1</v>
      </c>
      <c r="AF248" s="414">
        <v>1</v>
      </c>
      <c r="AG248" s="414">
        <f t="shared" si="139"/>
        <v>0</v>
      </c>
      <c r="AH248" s="414">
        <f t="shared" si="140"/>
        <v>0</v>
      </c>
    </row>
    <row r="249" spans="1:34">
      <c r="A249" s="191" t="s">
        <v>1053</v>
      </c>
      <c r="B249" s="24" t="s">
        <v>960</v>
      </c>
      <c r="C249" s="24"/>
      <c r="D249" s="24"/>
      <c r="E249" s="205"/>
      <c r="F249" s="205"/>
      <c r="G249" s="205"/>
      <c r="H249" s="24"/>
      <c r="I249" s="24"/>
      <c r="J249" s="24"/>
      <c r="K249" s="24"/>
      <c r="L249" s="193"/>
      <c r="M249" s="27"/>
      <c r="N249" s="27"/>
      <c r="O249" s="27"/>
      <c r="P249" s="27"/>
      <c r="Q249" s="27"/>
      <c r="R249" s="27"/>
      <c r="S249" s="27"/>
      <c r="T249" s="27"/>
      <c r="U249" s="27"/>
      <c r="V249" s="27"/>
      <c r="X249" s="520"/>
      <c r="Y249" s="520"/>
      <c r="Z249" s="520"/>
      <c r="AA249" s="520"/>
      <c r="AB249" s="520"/>
      <c r="AC249" s="520"/>
      <c r="AD249" s="520"/>
      <c r="AE249" s="520"/>
      <c r="AF249" s="520"/>
      <c r="AG249" s="414">
        <f t="shared" ref="AG249:AG314" si="198">IF(ISERROR(K249*L249),0,IF(K249&lt;1,0,L249))</f>
        <v>0</v>
      </c>
      <c r="AH249" s="414">
        <f t="shared" ref="AH249:AH311" si="199">IF(AG249,J249/K249,0)</f>
        <v>0</v>
      </c>
    </row>
    <row r="250" spans="1:34">
      <c r="A250" s="390" t="s">
        <v>1054</v>
      </c>
      <c r="B250" s="307" t="s">
        <v>3126</v>
      </c>
      <c r="C250" s="320">
        <f>num_furnaces</f>
        <v>0</v>
      </c>
      <c r="D250" s="65" t="s">
        <v>2222</v>
      </c>
      <c r="E250" s="321" t="str">
        <f>IF(C250&lt;&gt;0,furnace_size,"NA")</f>
        <v>NA</v>
      </c>
      <c r="F250" s="344" t="str">
        <f>IF(C250=0,"","lb/day")</f>
        <v/>
      </c>
      <c r="G250" s="321" t="str">
        <f>IF(C250=0,"NA",IF(curve=1,furnace_size,VLOOKUP(furnace_size,on_regen_cost_cl,2)))</f>
        <v>NA</v>
      </c>
      <c r="H250" s="344" t="str">
        <f>IF(C250=0,"","lb/day")</f>
        <v/>
      </c>
      <c r="I250" s="326" t="str">
        <f>IF(C250=0,"NA",IF(curve=1,on_regen_eq,VLOOKUP(regen_capacity,on_regen_cost_cl,3)))</f>
        <v>NA</v>
      </c>
      <c r="J250" s="323" t="str">
        <f>IF(OR(C250=0,I250="contact vendor"),"--",C250*I250)</f>
        <v>--</v>
      </c>
      <c r="K250" s="327" t="str">
        <f>IF(C250=0,"NA",VLOOKUP(regen_capacity,on_regen_cost_cl,IF(ss_cat="large",4,5)))</f>
        <v>NA</v>
      </c>
      <c r="L250" s="328"/>
      <c r="M250" s="31" t="str">
        <f>B249&amp;" - "&amp;B250</f>
        <v>On-site GAC Regeneration - Multiple Hearth Furnace System</v>
      </c>
      <c r="N250" s="5">
        <f t="shared" ref="N250:V250" si="200">IF(retrofit=1,$W250*X250,IF(ISBLANK(X250),"",X250))</f>
        <v>1</v>
      </c>
      <c r="O250" s="5">
        <f t="shared" si="200"/>
        <v>1</v>
      </c>
      <c r="P250" s="5">
        <f t="shared" si="200"/>
        <v>1</v>
      </c>
      <c r="Q250" s="5">
        <f t="shared" si="200"/>
        <v>1</v>
      </c>
      <c r="R250" s="5">
        <f t="shared" si="200"/>
        <v>1</v>
      </c>
      <c r="S250" s="5">
        <f t="shared" si="200"/>
        <v>1</v>
      </c>
      <c r="T250" s="5">
        <f t="shared" si="200"/>
        <v>1</v>
      </c>
      <c r="U250" s="5">
        <f t="shared" si="200"/>
        <v>1</v>
      </c>
      <c r="V250" s="5">
        <f t="shared" si="200"/>
        <v>1</v>
      </c>
      <c r="W250" s="445">
        <v>0</v>
      </c>
      <c r="X250" s="414">
        <v>1</v>
      </c>
      <c r="Y250" s="414">
        <v>1</v>
      </c>
      <c r="Z250" s="414">
        <v>1</v>
      </c>
      <c r="AA250" s="414">
        <v>1</v>
      </c>
      <c r="AB250" s="414">
        <v>1</v>
      </c>
      <c r="AC250" s="414">
        <v>1</v>
      </c>
      <c r="AD250" s="414">
        <v>1</v>
      </c>
      <c r="AE250" s="414">
        <v>1</v>
      </c>
      <c r="AF250" s="414">
        <v>1</v>
      </c>
      <c r="AG250" s="414">
        <f t="shared" si="198"/>
        <v>0</v>
      </c>
      <c r="AH250" s="414">
        <f t="shared" si="199"/>
        <v>0</v>
      </c>
    </row>
    <row r="251" spans="1:34">
      <c r="A251" s="390" t="s">
        <v>1055</v>
      </c>
      <c r="B251" s="307" t="s">
        <v>549</v>
      </c>
      <c r="C251" s="320">
        <f>IF(r_new_furnace=1,1,0)</f>
        <v>0</v>
      </c>
      <c r="D251" s="65" t="s">
        <v>2222</v>
      </c>
      <c r="E251" s="321" t="str">
        <f>IF(AND(retrofit=1,regen_type=1),r_inc_regen_capacity,"NA")</f>
        <v>NA</v>
      </c>
      <c r="F251" s="344" t="str">
        <f>IF(OR(retrofit&lt;&gt;1,regen_type&lt;&gt;1),"","lb/day")</f>
        <v/>
      </c>
      <c r="G251" s="321" t="str">
        <f>IF(OR(retrofit&lt;&gt;1,regen_type&lt;&gt;1),"NA",IF(curve=1,r_inc_regen_capacity,VLOOKUP(r_regen_capacity,on_regen_cost_cl,2)-G250))</f>
        <v>NA</v>
      </c>
      <c r="H251" s="344" t="str">
        <f>IF(OR(retrofit&lt;&gt;1,regen_type&lt;&gt;1),"","lb/day")</f>
        <v/>
      </c>
      <c r="I251" s="326" t="str">
        <f>IF(C251=0,"NA",IF(curve=1,r_on_regen_eq-J250,VLOOKUP(r_regen_capacity,on_regen_cost_cl,3)-J250))</f>
        <v>NA</v>
      </c>
      <c r="J251" s="323" t="str">
        <f>IF(OR(C251=0,I251="contact vendor"),"--",C251*I251)</f>
        <v>--</v>
      </c>
      <c r="K251" s="327" t="str">
        <f>IF(C251=0,"NA",VLOOKUP(regen_capacity,on_regen_cost_cl,IF(ss_cat="large",4,5)))</f>
        <v>NA</v>
      </c>
      <c r="L251" s="328"/>
      <c r="M251" s="31" t="str">
        <f>B249&amp;" - "&amp;B251</f>
        <v>On-site GAC Regeneration - Additional Furnace Capacity (Retrofit)</v>
      </c>
      <c r="N251" s="5">
        <f t="shared" ref="N251:V251" si="201">IF(retrofit=1,$W251*X251,IF(ISBLANK(X251),"",X251))</f>
        <v>1</v>
      </c>
      <c r="O251" s="5">
        <f t="shared" si="201"/>
        <v>1</v>
      </c>
      <c r="P251" s="5">
        <f t="shared" si="201"/>
        <v>1</v>
      </c>
      <c r="Q251" s="5">
        <f t="shared" si="201"/>
        <v>1</v>
      </c>
      <c r="R251" s="5">
        <f t="shared" si="201"/>
        <v>1</v>
      </c>
      <c r="S251" s="5">
        <f t="shared" si="201"/>
        <v>1</v>
      </c>
      <c r="T251" s="5">
        <f t="shared" si="201"/>
        <v>1</v>
      </c>
      <c r="U251" s="5">
        <f t="shared" si="201"/>
        <v>1</v>
      </c>
      <c r="V251" s="5">
        <f t="shared" si="201"/>
        <v>1</v>
      </c>
      <c r="W251" s="445">
        <v>1</v>
      </c>
      <c r="X251" s="414">
        <v>1</v>
      </c>
      <c r="Y251" s="414">
        <v>1</v>
      </c>
      <c r="Z251" s="414">
        <v>1</v>
      </c>
      <c r="AA251" s="414">
        <v>1</v>
      </c>
      <c r="AB251" s="414">
        <v>1</v>
      </c>
      <c r="AC251" s="414">
        <v>1</v>
      </c>
      <c r="AD251" s="414">
        <v>1</v>
      </c>
      <c r="AE251" s="414">
        <v>1</v>
      </c>
      <c r="AF251" s="414">
        <v>1</v>
      </c>
      <c r="AG251" s="414">
        <f t="shared" si="198"/>
        <v>0</v>
      </c>
      <c r="AH251" s="414">
        <f t="shared" si="199"/>
        <v>0</v>
      </c>
    </row>
    <row r="252" spans="1:34">
      <c r="A252" s="388" t="s">
        <v>1056</v>
      </c>
      <c r="B252" s="39" t="s">
        <v>3128</v>
      </c>
      <c r="C252" s="194"/>
      <c r="D252" s="668"/>
      <c r="E252" s="179"/>
      <c r="F252" s="668"/>
      <c r="G252" s="179"/>
      <c r="H252" s="668"/>
      <c r="I252" s="206"/>
      <c r="J252" s="199"/>
      <c r="K252" s="207"/>
      <c r="L252" s="208"/>
      <c r="M252" s="27"/>
      <c r="N252" s="414"/>
      <c r="O252" s="414"/>
      <c r="P252" s="414"/>
      <c r="Q252" s="414"/>
      <c r="R252" s="414"/>
      <c r="S252" s="414"/>
      <c r="T252" s="414"/>
      <c r="U252" s="414"/>
      <c r="V252" s="414"/>
      <c r="AG252" s="414">
        <f t="shared" si="198"/>
        <v>0</v>
      </c>
      <c r="AH252" s="414">
        <f t="shared" si="199"/>
        <v>0</v>
      </c>
    </row>
    <row r="253" spans="1:34">
      <c r="A253" s="325" t="s">
        <v>1057</v>
      </c>
      <c r="B253" s="333" t="s">
        <v>984</v>
      </c>
      <c r="C253" s="320">
        <f>IF(regen_type&lt;&gt;1,0,storage_basins)</f>
        <v>0</v>
      </c>
      <c r="D253" s="65" t="s">
        <v>2222</v>
      </c>
      <c r="E253" s="321" t="str">
        <f>IF(regen_type&lt;&gt;1,"NA",virgin_basin_vol)</f>
        <v>NA</v>
      </c>
      <c r="F253" s="65" t="str">
        <f>IF(regen_type&lt;&gt;1,"","gal")</f>
        <v/>
      </c>
      <c r="G253" s="321" t="str">
        <f>IF(regen_type&lt;&gt;1,"NA",virgin_basin_vol)</f>
        <v>NA</v>
      </c>
      <c r="H253" s="65" t="str">
        <f>IF(regen_type&lt;&gt;1,"","gal")</f>
        <v/>
      </c>
      <c r="I253" s="322">
        <f>IF(regen_type&lt;&gt;1,0,J253/storage_basins)</f>
        <v>0</v>
      </c>
      <c r="J253" s="322">
        <f>IF(regen_type&lt;&gt;1,0,virgin_conc_vol*VLOOKUP(0,conc_basin_cost_cl,3)+virgin_excavation_vol*VLOOKUP(0,excavate_cost_cl,3)+virgin_backfill_vol*VLOOKUP(0,backfill_cost_cl,3)+virgin_railing*VLOOKUP("aluminum railing",metal_cost_cl,3))</f>
        <v>0</v>
      </c>
      <c r="K253" s="120" t="str">
        <f>IF(regen_type&lt;&gt;1,"NA",VLOOKUP(0,conc_basin_cost_cl,IF(ss_cat="large",4,5)))</f>
        <v>NA</v>
      </c>
      <c r="L253" s="334"/>
      <c r="M253" s="31" t="str">
        <f>$B$252&amp;" - "&amp;B253</f>
        <v>Virgin GAC Storage - Concrete Basins (includes Excavation, Backfill, and Compaction)</v>
      </c>
      <c r="N253" s="5">
        <f t="shared" ref="N253:V254" si="202">IF(retrofit=1,$W253*X253,IF(ISBLANK(X253),"",X253))</f>
        <v>1</v>
      </c>
      <c r="O253" s="5">
        <f t="shared" si="202"/>
        <v>1</v>
      </c>
      <c r="P253" s="5">
        <f t="shared" si="202"/>
        <v>2</v>
      </c>
      <c r="Q253" s="5">
        <f t="shared" si="202"/>
        <v>1</v>
      </c>
      <c r="R253" s="5">
        <f t="shared" si="202"/>
        <v>1</v>
      </c>
      <c r="S253" s="5">
        <f t="shared" si="202"/>
        <v>2</v>
      </c>
      <c r="T253" s="5">
        <f t="shared" si="202"/>
        <v>1</v>
      </c>
      <c r="U253" s="5">
        <f t="shared" si="202"/>
        <v>1</v>
      </c>
      <c r="V253" s="5">
        <f t="shared" si="202"/>
        <v>2</v>
      </c>
      <c r="W253" s="445">
        <v>0</v>
      </c>
      <c r="X253" s="414">
        <v>1</v>
      </c>
      <c r="Y253" s="414">
        <v>1</v>
      </c>
      <c r="Z253" s="414">
        <v>2</v>
      </c>
      <c r="AA253" s="414">
        <v>1</v>
      </c>
      <c r="AB253" s="414">
        <v>1</v>
      </c>
      <c r="AC253" s="414">
        <v>2</v>
      </c>
      <c r="AD253" s="414">
        <v>1</v>
      </c>
      <c r="AE253" s="414">
        <v>1</v>
      </c>
      <c r="AF253" s="414">
        <v>2</v>
      </c>
      <c r="AG253" s="414">
        <f t="shared" si="198"/>
        <v>0</v>
      </c>
      <c r="AH253" s="414">
        <f t="shared" si="199"/>
        <v>0</v>
      </c>
    </row>
    <row r="254" spans="1:34">
      <c r="A254" s="325" t="s">
        <v>1057</v>
      </c>
      <c r="B254" s="1" t="s">
        <v>3130</v>
      </c>
      <c r="C254" s="320">
        <f>IF(regen_type&lt;&gt;1,0,virgin_tanks)</f>
        <v>0</v>
      </c>
      <c r="D254" s="65" t="s">
        <v>2222</v>
      </c>
      <c r="E254" s="321" t="str">
        <f>IF(regen_type&lt;&gt;1,"NA",virgin_tank_vol)</f>
        <v>NA</v>
      </c>
      <c r="F254" s="65" t="str">
        <f>IF(regen_type&lt;&gt;1,"","gal")</f>
        <v/>
      </c>
      <c r="G254" s="321" t="str">
        <f>IF(regen_type&lt;&gt;1,"NA",IF(curve=1,virgin_tank_vol,VLOOKUP(virgin_tank_vol,st_bwt_cost_cl,2)))</f>
        <v>NA</v>
      </c>
      <c r="H254" s="65" t="str">
        <f>IF(regen_type&lt;&gt;1,"","gal")</f>
        <v/>
      </c>
      <c r="I254" s="322">
        <f>IF(regen_type&lt;&gt;1,0,IF(curve=1,st_vt_eq,VLOOKUP(virgin_tank_vol,st_bwt_cost_cl,3)))</f>
        <v>0</v>
      </c>
      <c r="J254" s="323">
        <f>IF(I254="contact vendor","--",C254*I254)</f>
        <v>0</v>
      </c>
      <c r="K254" s="330" t="str">
        <f>IF(regen_type&lt;&gt;1,"NA",VLOOKUP(virgin_tank_vol,st_bwt_cost_cl,IF(ss_cat="large",4,5)))</f>
        <v>NA</v>
      </c>
      <c r="L254" s="331"/>
      <c r="M254" s="31" t="str">
        <f>$B$252&amp;" - "&amp;B254</f>
        <v>Virgin GAC Storage - Steel Tanks</v>
      </c>
      <c r="N254" s="5">
        <f t="shared" si="202"/>
        <v>2</v>
      </c>
      <c r="O254" s="5">
        <f t="shared" si="202"/>
        <v>2</v>
      </c>
      <c r="P254" s="5">
        <f t="shared" si="202"/>
        <v>1</v>
      </c>
      <c r="Q254" s="5">
        <f t="shared" si="202"/>
        <v>2</v>
      </c>
      <c r="R254" s="5">
        <f t="shared" si="202"/>
        <v>2</v>
      </c>
      <c r="S254" s="5">
        <f t="shared" si="202"/>
        <v>1</v>
      </c>
      <c r="T254" s="5">
        <f t="shared" si="202"/>
        <v>2</v>
      </c>
      <c r="U254" s="5">
        <f t="shared" si="202"/>
        <v>2</v>
      </c>
      <c r="V254" s="5">
        <f t="shared" si="202"/>
        <v>1</v>
      </c>
      <c r="W254" s="445">
        <v>0</v>
      </c>
      <c r="X254" s="414">
        <v>2</v>
      </c>
      <c r="Y254" s="414">
        <v>2</v>
      </c>
      <c r="Z254" s="414">
        <v>1</v>
      </c>
      <c r="AA254" s="414">
        <v>2</v>
      </c>
      <c r="AB254" s="414">
        <v>2</v>
      </c>
      <c r="AC254" s="414">
        <v>1</v>
      </c>
      <c r="AD254" s="414">
        <v>2</v>
      </c>
      <c r="AE254" s="414">
        <v>2</v>
      </c>
      <c r="AF254" s="414">
        <v>1</v>
      </c>
      <c r="AG254" s="414">
        <f t="shared" si="198"/>
        <v>0</v>
      </c>
      <c r="AH254" s="414">
        <f t="shared" si="199"/>
        <v>0</v>
      </c>
    </row>
    <row r="255" spans="1:34">
      <c r="A255" s="388" t="s">
        <v>1058</v>
      </c>
      <c r="B255" s="39" t="s">
        <v>3131</v>
      </c>
      <c r="C255" s="194"/>
      <c r="D255" s="668"/>
      <c r="E255" s="179"/>
      <c r="F255" s="668"/>
      <c r="G255" s="179"/>
      <c r="H255" s="668"/>
      <c r="I255" s="206"/>
      <c r="J255" s="199"/>
      <c r="K255" s="207"/>
      <c r="L255" s="208"/>
      <c r="M255" s="27"/>
      <c r="N255" s="414"/>
      <c r="O255" s="414"/>
      <c r="P255" s="414"/>
      <c r="Q255" s="414"/>
      <c r="R255" s="414"/>
      <c r="S255" s="414"/>
      <c r="T255" s="414"/>
      <c r="U255" s="414"/>
      <c r="V255" s="414"/>
      <c r="AG255" s="414">
        <f t="shared" si="198"/>
        <v>0</v>
      </c>
      <c r="AH255" s="414">
        <f t="shared" si="199"/>
        <v>0</v>
      </c>
    </row>
    <row r="256" spans="1:34">
      <c r="A256" s="325" t="s">
        <v>1059</v>
      </c>
      <c r="B256" s="333" t="s">
        <v>984</v>
      </c>
      <c r="C256" s="320">
        <f>IF(regen_type&lt;&gt;1,0,storage_basins)</f>
        <v>0</v>
      </c>
      <c r="D256" s="65" t="s">
        <v>2222</v>
      </c>
      <c r="E256" s="321" t="str">
        <f>IF(regen_type&lt;&gt;1,"NA",spent_basin_vol)</f>
        <v>NA</v>
      </c>
      <c r="F256" s="65" t="str">
        <f>IF(regen_type&lt;&gt;1,"","gal")</f>
        <v/>
      </c>
      <c r="G256" s="321" t="str">
        <f>IF(regen_type&lt;&gt;1,"NA",spent_basin_vol)</f>
        <v>NA</v>
      </c>
      <c r="H256" s="65" t="str">
        <f>IF(regen_type&lt;&gt;1,"","gal")</f>
        <v/>
      </c>
      <c r="I256" s="322">
        <f>IF(regen_type&lt;&gt;1,0,J256/storage_basins)</f>
        <v>0</v>
      </c>
      <c r="J256" s="322">
        <f>IF(regen_type&lt;&gt;1,0,spent_conc_vol*VLOOKUP(0,conc_basin_cost_cl,3)+spent_excavation_vol*VLOOKUP(0,excavate_cost_cl,3)+spent_backfill_vol*VLOOKUP(0,backfill_cost_cl,3)+spent_railing*VLOOKUP("aluminum railing",metal_cost_cl,3))</f>
        <v>0</v>
      </c>
      <c r="K256" s="120" t="str">
        <f>IF(regen_type&lt;&gt;1,"NA",VLOOKUP(0,conc_basin_cost_cl,IF(ss_cat="large",4,5)))</f>
        <v>NA</v>
      </c>
      <c r="L256" s="334"/>
      <c r="M256" s="31" t="str">
        <f>$B$255&amp;" - "&amp;B256</f>
        <v>Spent GAC Storage - Concrete Basins (includes Excavation, Backfill, and Compaction)</v>
      </c>
      <c r="N256" s="5">
        <f t="shared" ref="N256:V257" si="203">IF(retrofit=1,$W256*X256,IF(ISBLANK(X256),"",X256))</f>
        <v>1</v>
      </c>
      <c r="O256" s="5">
        <f t="shared" si="203"/>
        <v>1</v>
      </c>
      <c r="P256" s="5">
        <f t="shared" si="203"/>
        <v>2</v>
      </c>
      <c r="Q256" s="5">
        <f t="shared" si="203"/>
        <v>1</v>
      </c>
      <c r="R256" s="5">
        <f t="shared" si="203"/>
        <v>1</v>
      </c>
      <c r="S256" s="5">
        <f t="shared" si="203"/>
        <v>2</v>
      </c>
      <c r="T256" s="5">
        <f t="shared" si="203"/>
        <v>1</v>
      </c>
      <c r="U256" s="5">
        <f t="shared" si="203"/>
        <v>1</v>
      </c>
      <c r="V256" s="5">
        <f t="shared" si="203"/>
        <v>2</v>
      </c>
      <c r="W256" s="445">
        <v>0</v>
      </c>
      <c r="X256" s="414">
        <v>1</v>
      </c>
      <c r="Y256" s="414">
        <v>1</v>
      </c>
      <c r="Z256" s="414">
        <v>2</v>
      </c>
      <c r="AA256" s="414">
        <v>1</v>
      </c>
      <c r="AB256" s="414">
        <v>1</v>
      </c>
      <c r="AC256" s="414">
        <v>2</v>
      </c>
      <c r="AD256" s="414">
        <v>1</v>
      </c>
      <c r="AE256" s="414">
        <v>1</v>
      </c>
      <c r="AF256" s="414">
        <v>2</v>
      </c>
      <c r="AG256" s="414">
        <f t="shared" si="198"/>
        <v>0</v>
      </c>
      <c r="AH256" s="414">
        <f t="shared" si="199"/>
        <v>0</v>
      </c>
    </row>
    <row r="257" spans="1:34">
      <c r="A257" s="325" t="s">
        <v>1059</v>
      </c>
      <c r="B257" s="1" t="s">
        <v>3130</v>
      </c>
      <c r="C257" s="320">
        <f>IF(regen_type&lt;&gt;1,0,spent_tanks)</f>
        <v>0</v>
      </c>
      <c r="D257" s="65" t="s">
        <v>2222</v>
      </c>
      <c r="E257" s="321" t="str">
        <f>IF(regen_type&lt;&gt;1,"NA",spent_tank_vol)</f>
        <v>NA</v>
      </c>
      <c r="F257" s="65" t="str">
        <f>IF(regen_type&lt;&gt;1,"","gal")</f>
        <v/>
      </c>
      <c r="G257" s="321" t="str">
        <f>IF(regen_type&lt;&gt;1,"NA",IF(curve=1,spent_tank_vol,VLOOKUP(spent_tank_vol,st_bwt_cost_cl,2)))</f>
        <v>NA</v>
      </c>
      <c r="H257" s="65" t="str">
        <f>IF(regen_type&lt;&gt;1,"","gal")</f>
        <v/>
      </c>
      <c r="I257" s="322">
        <f>IF(regen_type&lt;&gt;1,0,IF(curve=1,st_st_eq,VLOOKUP(spent_tank_vol,st_bwt_cost_cl,3)))</f>
        <v>0</v>
      </c>
      <c r="J257" s="323">
        <f>IF(I257="contact vendor","--",C257*I257)</f>
        <v>0</v>
      </c>
      <c r="K257" s="330" t="str">
        <f>IF(regen_type&lt;&gt;1,"NA",VLOOKUP(spent_tank_vol,st_bwt_cost_cl,IF(ss_cat="large",4,5)))</f>
        <v>NA</v>
      </c>
      <c r="L257" s="331"/>
      <c r="M257" s="31" t="str">
        <f>$B$255&amp;" - "&amp;B257</f>
        <v>Spent GAC Storage - Steel Tanks</v>
      </c>
      <c r="N257" s="5">
        <f t="shared" si="203"/>
        <v>2</v>
      </c>
      <c r="O257" s="5">
        <f t="shared" si="203"/>
        <v>2</v>
      </c>
      <c r="P257" s="5">
        <f t="shared" si="203"/>
        <v>1</v>
      </c>
      <c r="Q257" s="5">
        <f t="shared" si="203"/>
        <v>2</v>
      </c>
      <c r="R257" s="5">
        <f t="shared" si="203"/>
        <v>2</v>
      </c>
      <c r="S257" s="5">
        <f t="shared" si="203"/>
        <v>1</v>
      </c>
      <c r="T257" s="5">
        <f t="shared" si="203"/>
        <v>2</v>
      </c>
      <c r="U257" s="5">
        <f t="shared" si="203"/>
        <v>2</v>
      </c>
      <c r="V257" s="5">
        <f t="shared" si="203"/>
        <v>1</v>
      </c>
      <c r="W257" s="445">
        <v>0</v>
      </c>
      <c r="X257" s="414">
        <v>2</v>
      </c>
      <c r="Y257" s="414">
        <v>2</v>
      </c>
      <c r="Z257" s="414">
        <v>1</v>
      </c>
      <c r="AA257" s="414">
        <v>2</v>
      </c>
      <c r="AB257" s="414">
        <v>2</v>
      </c>
      <c r="AC257" s="414">
        <v>1</v>
      </c>
      <c r="AD257" s="414">
        <v>2</v>
      </c>
      <c r="AE257" s="414">
        <v>2</v>
      </c>
      <c r="AF257" s="414">
        <v>1</v>
      </c>
      <c r="AG257" s="414">
        <f t="shared" si="198"/>
        <v>0</v>
      </c>
      <c r="AH257" s="414">
        <f t="shared" si="199"/>
        <v>0</v>
      </c>
    </row>
    <row r="258" spans="1:34">
      <c r="A258" s="388" t="s">
        <v>760</v>
      </c>
      <c r="B258" s="39" t="s">
        <v>3132</v>
      </c>
      <c r="C258" s="194"/>
      <c r="D258" s="668"/>
      <c r="E258" s="179"/>
      <c r="F258" s="668"/>
      <c r="G258" s="179"/>
      <c r="H258" s="668"/>
      <c r="I258" s="206"/>
      <c r="J258" s="199"/>
      <c r="K258" s="207"/>
      <c r="L258" s="208"/>
      <c r="M258" s="27"/>
      <c r="N258" s="414"/>
      <c r="O258" s="414"/>
      <c r="P258" s="414"/>
      <c r="Q258" s="414"/>
      <c r="R258" s="414"/>
      <c r="S258" s="414"/>
      <c r="T258" s="414"/>
      <c r="U258" s="414"/>
      <c r="V258" s="414"/>
      <c r="AG258" s="414">
        <f t="shared" si="198"/>
        <v>0</v>
      </c>
      <c r="AH258" s="414">
        <f t="shared" si="199"/>
        <v>0</v>
      </c>
    </row>
    <row r="259" spans="1:34">
      <c r="A259" s="325" t="s">
        <v>761</v>
      </c>
      <c r="B259" s="333" t="s">
        <v>984</v>
      </c>
      <c r="C259" s="320">
        <f>IF(regen_type&lt;&gt;1,0,storage_basins)</f>
        <v>0</v>
      </c>
      <c r="D259" s="65" t="s">
        <v>2222</v>
      </c>
      <c r="E259" s="321" t="str">
        <f>IF(regen_type&lt;&gt;1,"NA",regen_basin_vol)</f>
        <v>NA</v>
      </c>
      <c r="F259" s="65" t="str">
        <f>IF(regen_type&lt;&gt;1,"","gal")</f>
        <v/>
      </c>
      <c r="G259" s="321" t="str">
        <f>IF(regen_type&lt;&gt;1,"NA",regen_basin_vol)</f>
        <v>NA</v>
      </c>
      <c r="H259" s="65" t="str">
        <f>IF(regen_type&lt;&gt;1,"","gal")</f>
        <v/>
      </c>
      <c r="I259" s="322">
        <f>IF(regen_type&lt;&gt;1,0,J259/storage_basins)</f>
        <v>0</v>
      </c>
      <c r="J259" s="322">
        <f>IF(regen_type&lt;&gt;1,0,regen_conc_vol*VLOOKUP(0,conc_basin_cost_cl,3)+regen_excavation_vol*VLOOKUP(0,excavate_cost_cl,3)+regen_backfill_vol*VLOOKUP(0,backfill_cost_cl,3)+regen_railing*VLOOKUP("aluminum railing",metal_cost_cl,3))</f>
        <v>0</v>
      </c>
      <c r="K259" s="120" t="str">
        <f>IF(regen_type&lt;&gt;1,"NA",VLOOKUP(0,conc_basin_cost_cl,IF(ss_cat="large",4,5)))</f>
        <v>NA</v>
      </c>
      <c r="L259" s="334"/>
      <c r="M259" s="31" t="str">
        <f>$B$258&amp;" - "&amp;B259</f>
        <v>Regenerated GAC Storage - Concrete Basins (includes Excavation, Backfill, and Compaction)</v>
      </c>
      <c r="N259" s="5">
        <f t="shared" ref="N259:V260" si="204">IF(retrofit=1,$W259*X259,IF(ISBLANK(X259),"",X259))</f>
        <v>1</v>
      </c>
      <c r="O259" s="5">
        <f t="shared" si="204"/>
        <v>1</v>
      </c>
      <c r="P259" s="5">
        <f t="shared" si="204"/>
        <v>2</v>
      </c>
      <c r="Q259" s="5">
        <f t="shared" si="204"/>
        <v>1</v>
      </c>
      <c r="R259" s="5">
        <f t="shared" si="204"/>
        <v>1</v>
      </c>
      <c r="S259" s="5">
        <f t="shared" si="204"/>
        <v>2</v>
      </c>
      <c r="T259" s="5">
        <f t="shared" si="204"/>
        <v>1</v>
      </c>
      <c r="U259" s="5">
        <f t="shared" si="204"/>
        <v>1</v>
      </c>
      <c r="V259" s="5">
        <f t="shared" si="204"/>
        <v>2</v>
      </c>
      <c r="W259" s="445">
        <v>0</v>
      </c>
      <c r="X259" s="414">
        <v>1</v>
      </c>
      <c r="Y259" s="414">
        <v>1</v>
      </c>
      <c r="Z259" s="414">
        <v>2</v>
      </c>
      <c r="AA259" s="414">
        <v>1</v>
      </c>
      <c r="AB259" s="414">
        <v>1</v>
      </c>
      <c r="AC259" s="414">
        <v>2</v>
      </c>
      <c r="AD259" s="414">
        <v>1</v>
      </c>
      <c r="AE259" s="414">
        <v>1</v>
      </c>
      <c r="AF259" s="414">
        <v>2</v>
      </c>
      <c r="AG259" s="414">
        <f t="shared" si="198"/>
        <v>0</v>
      </c>
      <c r="AH259" s="414">
        <f t="shared" si="199"/>
        <v>0</v>
      </c>
    </row>
    <row r="260" spans="1:34">
      <c r="A260" s="325" t="s">
        <v>761</v>
      </c>
      <c r="B260" s="1" t="s">
        <v>3130</v>
      </c>
      <c r="C260" s="320">
        <f>IF(regen_type&lt;&gt;1,0,regen_tanks)</f>
        <v>0</v>
      </c>
      <c r="D260" s="65" t="s">
        <v>2222</v>
      </c>
      <c r="E260" s="321" t="str">
        <f>IF(regen_type&lt;&gt;1,"NA",regen_tank_vol)</f>
        <v>NA</v>
      </c>
      <c r="F260" s="65" t="str">
        <f>IF(regen_type&lt;&gt;1,"","gal")</f>
        <v/>
      </c>
      <c r="G260" s="321" t="str">
        <f>IF(regen_type&lt;&gt;1,"NA",IF(curve=1,regen_tank_vol,VLOOKUP(regen_tank_vol,st_bwt_cost_cl,2)))</f>
        <v>NA</v>
      </c>
      <c r="H260" s="65" t="str">
        <f>IF(regen_type&lt;&gt;1,"","gal")</f>
        <v/>
      </c>
      <c r="I260" s="322">
        <f>IF(regen_type&lt;&gt;1,0,IF(curve=1,st_rt_eq,VLOOKUP(regen_tank_vol,st_bwt_cost_cl,3)))</f>
        <v>0</v>
      </c>
      <c r="J260" s="323">
        <f>IF(I260="contact vendor","--",C260*I260)</f>
        <v>0</v>
      </c>
      <c r="K260" s="330" t="str">
        <f>IF(regen_type&lt;&gt;1,"NA",VLOOKUP(regen_tank_vol,st_bwt_cost_cl,IF(ss_cat="large",4,5)))</f>
        <v>NA</v>
      </c>
      <c r="L260" s="331"/>
      <c r="M260" s="31" t="str">
        <f>$B$258&amp;" - "&amp;B260</f>
        <v>Regenerated GAC Storage - Steel Tanks</v>
      </c>
      <c r="N260" s="5">
        <f t="shared" si="204"/>
        <v>2</v>
      </c>
      <c r="O260" s="5">
        <f t="shared" si="204"/>
        <v>2</v>
      </c>
      <c r="P260" s="5">
        <f t="shared" si="204"/>
        <v>1</v>
      </c>
      <c r="Q260" s="5">
        <f t="shared" si="204"/>
        <v>2</v>
      </c>
      <c r="R260" s="5">
        <f t="shared" si="204"/>
        <v>2</v>
      </c>
      <c r="S260" s="5">
        <f t="shared" si="204"/>
        <v>1</v>
      </c>
      <c r="T260" s="5">
        <f t="shared" si="204"/>
        <v>2</v>
      </c>
      <c r="U260" s="5">
        <f t="shared" si="204"/>
        <v>2</v>
      </c>
      <c r="V260" s="5">
        <f t="shared" si="204"/>
        <v>1</v>
      </c>
      <c r="W260" s="445">
        <v>0</v>
      </c>
      <c r="X260" s="414">
        <v>2</v>
      </c>
      <c r="Y260" s="414">
        <v>2</v>
      </c>
      <c r="Z260" s="414">
        <v>1</v>
      </c>
      <c r="AA260" s="414">
        <v>2</v>
      </c>
      <c r="AB260" s="414">
        <v>2</v>
      </c>
      <c r="AC260" s="414">
        <v>1</v>
      </c>
      <c r="AD260" s="414">
        <v>2</v>
      </c>
      <c r="AE260" s="414">
        <v>2</v>
      </c>
      <c r="AF260" s="414">
        <v>1</v>
      </c>
      <c r="AG260" s="414">
        <f t="shared" si="198"/>
        <v>0</v>
      </c>
      <c r="AH260" s="414">
        <f t="shared" si="199"/>
        <v>0</v>
      </c>
    </row>
    <row r="261" spans="1:34">
      <c r="A261" s="188" t="s">
        <v>1060</v>
      </c>
      <c r="B261" s="14" t="s">
        <v>514</v>
      </c>
      <c r="C261" s="24"/>
      <c r="D261" s="24"/>
      <c r="E261" s="24"/>
      <c r="F261" s="14"/>
      <c r="G261" s="24"/>
      <c r="H261" s="14"/>
      <c r="I261" s="205"/>
      <c r="J261" s="24"/>
      <c r="K261" s="24"/>
      <c r="L261" s="193"/>
      <c r="M261" s="27"/>
      <c r="N261" s="414"/>
      <c r="O261" s="414"/>
      <c r="P261" s="414"/>
      <c r="Q261" s="414"/>
      <c r="R261" s="414"/>
      <c r="S261" s="414"/>
      <c r="T261" s="414"/>
      <c r="U261" s="414"/>
      <c r="V261" s="414"/>
      <c r="AG261" s="414">
        <f t="shared" si="198"/>
        <v>0</v>
      </c>
      <c r="AH261" s="414">
        <f t="shared" si="199"/>
        <v>0</v>
      </c>
    </row>
    <row r="262" spans="1:34">
      <c r="A262" s="390" t="s">
        <v>1061</v>
      </c>
      <c r="B262" s="337" t="s">
        <v>2947</v>
      </c>
      <c r="C262" s="320">
        <f>num_sept_tanks</f>
        <v>0</v>
      </c>
      <c r="D262" s="65" t="s">
        <v>2222</v>
      </c>
      <c r="E262" s="321" t="str">
        <f>IF(C262=0,"NA",sept_tank_vol)</f>
        <v>NA</v>
      </c>
      <c r="F262" s="1" t="str">
        <f>IF(C262=0,"","gal")</f>
        <v/>
      </c>
      <c r="G262" s="321" t="str">
        <f>IF(C262=0,"NA",IF(curve=1,sept_tank_vol,VLOOKUP(sept_tank_vol,septic_tank_cost_cl,2)))</f>
        <v>NA</v>
      </c>
      <c r="H262" s="1" t="str">
        <f>IF(C262=0,"","gal")</f>
        <v/>
      </c>
      <c r="I262" s="326" t="str">
        <f>IF(C262=0,"NA",IF(curve=1,septic_tank_eq,VLOOKUP(sept_tank_vol,septic_tank_cost_cl,3)))</f>
        <v>NA</v>
      </c>
      <c r="J262" s="323" t="str">
        <f t="shared" ref="J262:J267" si="205">IF(OR(I262="contact vendor",C262=0),"--",C262*I262)</f>
        <v>--</v>
      </c>
      <c r="K262" s="327" t="str">
        <f>IF(C262=0,"NA",VLOOKUP(sept_tank_vol,septic_tank_cost_cl,IF(ss_cat="large",4,5)))</f>
        <v>NA</v>
      </c>
      <c r="L262" s="324"/>
      <c r="M262" s="27" t="str">
        <f t="shared" ref="M262:M267" si="206">$B$261&amp;" - "&amp;B262</f>
        <v>Septic System - Septic Tanks</v>
      </c>
      <c r="N262" s="5">
        <f t="shared" ref="N262:T267" si="207">IF(retrofit=1,$W262*X262,IF(ISBLANK(X262),"",X262))</f>
        <v>1</v>
      </c>
      <c r="O262" s="5">
        <f t="shared" si="207"/>
        <v>1</v>
      </c>
      <c r="P262" s="5">
        <f t="shared" si="207"/>
        <v>1</v>
      </c>
      <c r="Q262" s="5">
        <f t="shared" si="207"/>
        <v>1</v>
      </c>
      <c r="R262" s="5">
        <f t="shared" si="207"/>
        <v>1</v>
      </c>
      <c r="S262" s="5">
        <f t="shared" si="207"/>
        <v>1</v>
      </c>
      <c r="T262" s="5">
        <f t="shared" si="207"/>
        <v>1</v>
      </c>
      <c r="U262" s="5">
        <f t="shared" ref="U262:U267" si="208">IF(retrofit=1,$W262*AE262,IF(ISBLANK(AE262),"",AE262))</f>
        <v>1</v>
      </c>
      <c r="V262" s="5">
        <f t="shared" ref="V262:V267" si="209">IF(retrofit=1,$W262*AF262,IF(ISBLANK(AF262),"",AF262))</f>
        <v>1</v>
      </c>
      <c r="W262" s="445">
        <v>0</v>
      </c>
      <c r="X262" s="414">
        <v>1</v>
      </c>
      <c r="Y262" s="414">
        <v>1</v>
      </c>
      <c r="Z262" s="414">
        <v>1</v>
      </c>
      <c r="AA262" s="414">
        <v>1</v>
      </c>
      <c r="AB262" s="414">
        <v>1</v>
      </c>
      <c r="AC262" s="414">
        <v>1</v>
      </c>
      <c r="AD262" s="414">
        <v>1</v>
      </c>
      <c r="AE262" s="414">
        <v>1</v>
      </c>
      <c r="AF262" s="414">
        <v>1</v>
      </c>
      <c r="AG262" s="414">
        <f t="shared" si="198"/>
        <v>0</v>
      </c>
      <c r="AH262" s="414">
        <f t="shared" si="199"/>
        <v>0</v>
      </c>
    </row>
    <row r="263" spans="1:34">
      <c r="A263" s="390" t="s">
        <v>1062</v>
      </c>
      <c r="B263" s="337" t="s">
        <v>2948</v>
      </c>
      <c r="C263" s="320">
        <f>sept_tank_exav_vol</f>
        <v>0</v>
      </c>
      <c r="D263" s="65" t="s">
        <v>1591</v>
      </c>
      <c r="E263" s="327" t="s">
        <v>720</v>
      </c>
      <c r="F263" s="327"/>
      <c r="G263" s="327" t="s">
        <v>720</v>
      </c>
      <c r="H263" s="65"/>
      <c r="I263" s="343" t="str">
        <f>IF(C263=0,"NA",sept_tank_excav_cost_cl)</f>
        <v>NA</v>
      </c>
      <c r="J263" s="323" t="str">
        <f t="shared" si="205"/>
        <v>--</v>
      </c>
      <c r="K263" s="327" t="str">
        <f>IF(C263=0,"NA",VLOOKUP(sept_tank_vol,septic_tank_cost_cl,IF(ss_cat="large",4,5)))</f>
        <v>NA</v>
      </c>
      <c r="L263" s="324"/>
      <c r="M263" s="27" t="str">
        <f t="shared" si="206"/>
        <v>Septic System - Excavation for Septic Tanks</v>
      </c>
      <c r="N263" s="5">
        <f t="shared" si="207"/>
        <v>1</v>
      </c>
      <c r="O263" s="5">
        <f t="shared" si="207"/>
        <v>1</v>
      </c>
      <c r="P263" s="5">
        <f t="shared" si="207"/>
        <v>1</v>
      </c>
      <c r="Q263" s="5">
        <f t="shared" si="207"/>
        <v>1</v>
      </c>
      <c r="R263" s="5">
        <f t="shared" si="207"/>
        <v>1</v>
      </c>
      <c r="S263" s="5">
        <f t="shared" si="207"/>
        <v>1</v>
      </c>
      <c r="T263" s="5">
        <f t="shared" si="207"/>
        <v>1</v>
      </c>
      <c r="U263" s="5">
        <f t="shared" si="208"/>
        <v>1</v>
      </c>
      <c r="V263" s="5">
        <f t="shared" si="209"/>
        <v>1</v>
      </c>
      <c r="W263" s="445">
        <v>0</v>
      </c>
      <c r="X263" s="414">
        <v>1</v>
      </c>
      <c r="Y263" s="414">
        <v>1</v>
      </c>
      <c r="Z263" s="414">
        <v>1</v>
      </c>
      <c r="AA263" s="414">
        <v>1</v>
      </c>
      <c r="AB263" s="414">
        <v>1</v>
      </c>
      <c r="AC263" s="414">
        <v>1</v>
      </c>
      <c r="AD263" s="414">
        <v>1</v>
      </c>
      <c r="AE263" s="414">
        <v>1</v>
      </c>
      <c r="AF263" s="414">
        <v>1</v>
      </c>
      <c r="AG263" s="414">
        <f t="shared" si="198"/>
        <v>0</v>
      </c>
      <c r="AH263" s="414">
        <f t="shared" si="199"/>
        <v>0</v>
      </c>
    </row>
    <row r="264" spans="1:34">
      <c r="A264" s="390" t="s">
        <v>1063</v>
      </c>
      <c r="B264" s="337" t="s">
        <v>2949</v>
      </c>
      <c r="C264" s="320">
        <f>sept_dist_boxes</f>
        <v>0</v>
      </c>
      <c r="D264" s="65" t="s">
        <v>2222</v>
      </c>
      <c r="E264" s="327" t="s">
        <v>720</v>
      </c>
      <c r="F264" s="327"/>
      <c r="G264" s="327" t="s">
        <v>720</v>
      </c>
      <c r="H264" s="65"/>
      <c r="I264" s="326" t="str">
        <f>IF(C264=0,"NA",VLOOKUP(0,sept_distbox_cost_cl,3))</f>
        <v>NA</v>
      </c>
      <c r="J264" s="323" t="str">
        <f t="shared" si="205"/>
        <v>--</v>
      </c>
      <c r="K264" s="327" t="str">
        <f>IF(C264=0,"NA",VLOOKUP(0,sept_distbox_cost_cl,IF(ss_cat="large",4,5)))</f>
        <v>NA</v>
      </c>
      <c r="L264" s="324"/>
      <c r="M264" s="27" t="str">
        <f t="shared" si="206"/>
        <v>Septic System - Distribution Boxes</v>
      </c>
      <c r="N264" s="5">
        <f t="shared" si="207"/>
        <v>1</v>
      </c>
      <c r="O264" s="5">
        <f t="shared" si="207"/>
        <v>1</v>
      </c>
      <c r="P264" s="5">
        <f t="shared" si="207"/>
        <v>1</v>
      </c>
      <c r="Q264" s="5">
        <f t="shared" si="207"/>
        <v>1</v>
      </c>
      <c r="R264" s="5">
        <f t="shared" si="207"/>
        <v>1</v>
      </c>
      <c r="S264" s="5">
        <f t="shared" si="207"/>
        <v>1</v>
      </c>
      <c r="T264" s="5">
        <f t="shared" si="207"/>
        <v>1</v>
      </c>
      <c r="U264" s="5">
        <f t="shared" si="208"/>
        <v>1</v>
      </c>
      <c r="V264" s="5">
        <f t="shared" si="209"/>
        <v>1</v>
      </c>
      <c r="W264" s="445">
        <v>0</v>
      </c>
      <c r="X264" s="414">
        <v>1</v>
      </c>
      <c r="Y264" s="414">
        <v>1</v>
      </c>
      <c r="Z264" s="414">
        <v>1</v>
      </c>
      <c r="AA264" s="414">
        <v>1</v>
      </c>
      <c r="AB264" s="414">
        <v>1</v>
      </c>
      <c r="AC264" s="414">
        <v>1</v>
      </c>
      <c r="AD264" s="414">
        <v>1</v>
      </c>
      <c r="AE264" s="414">
        <v>1</v>
      </c>
      <c r="AF264" s="414">
        <v>1</v>
      </c>
      <c r="AG264" s="414">
        <f t="shared" si="198"/>
        <v>0</v>
      </c>
      <c r="AH264" s="414">
        <f t="shared" si="199"/>
        <v>0</v>
      </c>
    </row>
    <row r="265" spans="1:34">
      <c r="A265" s="390" t="s">
        <v>1064</v>
      </c>
      <c r="B265" s="337" t="s">
        <v>2950</v>
      </c>
      <c r="C265" s="320">
        <f>sept_pipe_length</f>
        <v>0</v>
      </c>
      <c r="D265" s="65" t="s">
        <v>2526</v>
      </c>
      <c r="E265" s="327" t="str">
        <f>IF(C265=0,"NA",sept_pipe_diam)</f>
        <v>NA</v>
      </c>
      <c r="F265" s="1" t="str">
        <f>IF(C265=0,"","in. diam")</f>
        <v/>
      </c>
      <c r="G265" s="321" t="str">
        <f>IF(C265=0,"NA",IF(curve=1,sept_pipe_diam,VLOOKUP(sept_tank_vol,sept_distpipe_cost_cl,2)))</f>
        <v>NA</v>
      </c>
      <c r="H265" s="1" t="str">
        <f>IF(C265=0,"","in. diam")</f>
        <v/>
      </c>
      <c r="I265" s="343" t="str">
        <f>IF(C265=0,"NA",VLOOKUP(sept_pipe_diam,sept_distpipe_cost_cl,3))</f>
        <v>NA</v>
      </c>
      <c r="J265" s="323" t="str">
        <f t="shared" si="205"/>
        <v>--</v>
      </c>
      <c r="K265" s="327" t="str">
        <f>IF(C265=0,"NA",VLOOKUP(sept_pipe_diam,sept_distpipe_cost_cl,IF(ss_cat="large",4,5)))</f>
        <v>NA</v>
      </c>
      <c r="L265" s="324"/>
      <c r="M265" s="27" t="str">
        <f t="shared" si="206"/>
        <v>Septic System - Distribution Pipe (Perforated PVC)</v>
      </c>
      <c r="N265" s="5">
        <f t="shared" si="207"/>
        <v>1</v>
      </c>
      <c r="O265" s="5">
        <f t="shared" si="207"/>
        <v>1</v>
      </c>
      <c r="P265" s="5">
        <f t="shared" si="207"/>
        <v>1</v>
      </c>
      <c r="Q265" s="5">
        <f t="shared" si="207"/>
        <v>1</v>
      </c>
      <c r="R265" s="5">
        <f t="shared" si="207"/>
        <v>1</v>
      </c>
      <c r="S265" s="5">
        <f t="shared" si="207"/>
        <v>1</v>
      </c>
      <c r="T265" s="5">
        <f t="shared" si="207"/>
        <v>1</v>
      </c>
      <c r="U265" s="5">
        <f t="shared" si="208"/>
        <v>1</v>
      </c>
      <c r="V265" s="5">
        <f t="shared" si="209"/>
        <v>1</v>
      </c>
      <c r="W265" s="445">
        <v>0</v>
      </c>
      <c r="X265" s="414">
        <v>1</v>
      </c>
      <c r="Y265" s="414">
        <v>1</v>
      </c>
      <c r="Z265" s="414">
        <v>1</v>
      </c>
      <c r="AA265" s="414">
        <v>1</v>
      </c>
      <c r="AB265" s="414">
        <v>1</v>
      </c>
      <c r="AC265" s="414">
        <v>1</v>
      </c>
      <c r="AD265" s="414">
        <v>1</v>
      </c>
      <c r="AE265" s="414">
        <v>1</v>
      </c>
      <c r="AF265" s="414">
        <v>1</v>
      </c>
      <c r="AG265" s="414">
        <f t="shared" si="198"/>
        <v>0</v>
      </c>
      <c r="AH265" s="414">
        <f t="shared" si="199"/>
        <v>0</v>
      </c>
    </row>
    <row r="266" spans="1:34">
      <c r="A266" s="390" t="s">
        <v>1065</v>
      </c>
      <c r="B266" s="337" t="s">
        <v>2951</v>
      </c>
      <c r="C266" s="320">
        <f>sept_trench_excav_vol</f>
        <v>0</v>
      </c>
      <c r="D266" s="65" t="s">
        <v>1591</v>
      </c>
      <c r="E266" s="327" t="s">
        <v>720</v>
      </c>
      <c r="F266" s="327"/>
      <c r="G266" s="327" t="s">
        <v>720</v>
      </c>
      <c r="H266" s="65"/>
      <c r="I266" s="343" t="str">
        <f>IF(C266=0,"NA",sept_trench_excav_cost_cl)</f>
        <v>NA</v>
      </c>
      <c r="J266" s="323" t="str">
        <f t="shared" si="205"/>
        <v>--</v>
      </c>
      <c r="K266" s="327" t="str">
        <f>IF(C266=0,"NA",VLOOKUP(sept_pipe_diam,sept_distpipe_cost_cl,IF(ss_cat="large",4,5)))</f>
        <v>NA</v>
      </c>
      <c r="L266" s="324"/>
      <c r="M266" s="27" t="str">
        <f t="shared" si="206"/>
        <v>Septic System - Drain Field Trench Excavation</v>
      </c>
      <c r="N266" s="5">
        <f t="shared" si="207"/>
        <v>1</v>
      </c>
      <c r="O266" s="5">
        <f t="shared" si="207"/>
        <v>1</v>
      </c>
      <c r="P266" s="5">
        <f t="shared" si="207"/>
        <v>1</v>
      </c>
      <c r="Q266" s="5">
        <f t="shared" si="207"/>
        <v>1</v>
      </c>
      <c r="R266" s="5">
        <f t="shared" si="207"/>
        <v>1</v>
      </c>
      <c r="S266" s="5">
        <f t="shared" si="207"/>
        <v>1</v>
      </c>
      <c r="T266" s="5">
        <f t="shared" si="207"/>
        <v>1</v>
      </c>
      <c r="U266" s="5">
        <f t="shared" si="208"/>
        <v>1</v>
      </c>
      <c r="V266" s="5">
        <f t="shared" si="209"/>
        <v>1</v>
      </c>
      <c r="W266" s="445">
        <v>0</v>
      </c>
      <c r="X266" s="414">
        <v>1</v>
      </c>
      <c r="Y266" s="414">
        <v>1</v>
      </c>
      <c r="Z266" s="414">
        <v>1</v>
      </c>
      <c r="AA266" s="414">
        <v>1</v>
      </c>
      <c r="AB266" s="414">
        <v>1</v>
      </c>
      <c r="AC266" s="414">
        <v>1</v>
      </c>
      <c r="AD266" s="414">
        <v>1</v>
      </c>
      <c r="AE266" s="414">
        <v>1</v>
      </c>
      <c r="AF266" s="414">
        <v>1</v>
      </c>
      <c r="AG266" s="414">
        <f t="shared" si="198"/>
        <v>0</v>
      </c>
      <c r="AH266" s="414">
        <f t="shared" si="199"/>
        <v>0</v>
      </c>
    </row>
    <row r="267" spans="1:34">
      <c r="A267" s="390" t="s">
        <v>1066</v>
      </c>
      <c r="B267" s="337" t="s">
        <v>2952</v>
      </c>
      <c r="C267" s="320">
        <f>sept_gravel_vol</f>
        <v>0</v>
      </c>
      <c r="D267" s="65" t="s">
        <v>1591</v>
      </c>
      <c r="E267" s="327" t="s">
        <v>720</v>
      </c>
      <c r="F267" s="327"/>
      <c r="G267" s="327" t="s">
        <v>720</v>
      </c>
      <c r="H267" s="65"/>
      <c r="I267" s="343" t="str">
        <f>IF(C267=0,"NA",sept_gravel_cost_cl)</f>
        <v>NA</v>
      </c>
      <c r="J267" s="323" t="str">
        <f t="shared" si="205"/>
        <v>--</v>
      </c>
      <c r="K267" s="327" t="str">
        <f>IF(C267=0,"NA",VLOOKUP(sept_pipe_diam,sept_distpipe_cost_cl,IF(ss_cat="large",4,5)))</f>
        <v>NA</v>
      </c>
      <c r="L267" s="324"/>
      <c r="M267" s="27" t="str">
        <f t="shared" si="206"/>
        <v>Septic System - Drain Field Gravel</v>
      </c>
      <c r="N267" s="5">
        <f t="shared" si="207"/>
        <v>1</v>
      </c>
      <c r="O267" s="5">
        <f t="shared" si="207"/>
        <v>1</v>
      </c>
      <c r="P267" s="5">
        <f t="shared" si="207"/>
        <v>1</v>
      </c>
      <c r="Q267" s="5">
        <f t="shared" si="207"/>
        <v>1</v>
      </c>
      <c r="R267" s="5">
        <f t="shared" si="207"/>
        <v>1</v>
      </c>
      <c r="S267" s="5">
        <f t="shared" si="207"/>
        <v>1</v>
      </c>
      <c r="T267" s="5">
        <f t="shared" si="207"/>
        <v>1</v>
      </c>
      <c r="U267" s="5">
        <f t="shared" si="208"/>
        <v>1</v>
      </c>
      <c r="V267" s="5">
        <f t="shared" si="209"/>
        <v>1</v>
      </c>
      <c r="W267" s="445">
        <v>0</v>
      </c>
      <c r="X267" s="414">
        <v>1</v>
      </c>
      <c r="Y267" s="414">
        <v>1</v>
      </c>
      <c r="Z267" s="414">
        <v>1</v>
      </c>
      <c r="AA267" s="414">
        <v>1</v>
      </c>
      <c r="AB267" s="414">
        <v>1</v>
      </c>
      <c r="AC267" s="414">
        <v>1</v>
      </c>
      <c r="AD267" s="414">
        <v>1</v>
      </c>
      <c r="AE267" s="414">
        <v>1</v>
      </c>
      <c r="AF267" s="414">
        <v>1</v>
      </c>
      <c r="AG267" s="414">
        <f t="shared" si="198"/>
        <v>0</v>
      </c>
      <c r="AH267" s="414">
        <f t="shared" si="199"/>
        <v>0</v>
      </c>
    </row>
    <row r="268" spans="1:34">
      <c r="A268" s="188" t="s">
        <v>1067</v>
      </c>
      <c r="B268" s="14" t="s">
        <v>2930</v>
      </c>
      <c r="C268" s="24"/>
      <c r="D268" s="24"/>
      <c r="E268" s="24"/>
      <c r="F268" s="14"/>
      <c r="G268" s="24"/>
      <c r="H268" s="14"/>
      <c r="I268" s="205"/>
      <c r="J268" s="24"/>
      <c r="K268" s="24"/>
      <c r="L268" s="193"/>
      <c r="M268" s="27"/>
      <c r="N268" s="414"/>
      <c r="O268" s="414"/>
      <c r="P268" s="414"/>
      <c r="Q268" s="414"/>
      <c r="R268" s="414"/>
      <c r="S268" s="414"/>
      <c r="T268" s="414"/>
      <c r="U268" s="414"/>
      <c r="V268" s="414"/>
      <c r="AG268" s="414">
        <f t="shared" si="198"/>
        <v>0</v>
      </c>
      <c r="AH268" s="414">
        <f t="shared" si="199"/>
        <v>0</v>
      </c>
    </row>
    <row r="269" spans="1:34">
      <c r="A269" s="391" t="s">
        <v>1068</v>
      </c>
      <c r="B269" s="307" t="s">
        <v>2930</v>
      </c>
      <c r="C269" s="65">
        <f>IF(solids_pad_area=0,0,1)</f>
        <v>1</v>
      </c>
      <c r="D269" s="65" t="s">
        <v>2222</v>
      </c>
      <c r="E269" s="321">
        <f>IF(C269=0,"NA",solids_pad_concrete)</f>
        <v>47</v>
      </c>
      <c r="F269" s="1" t="str">
        <f>IF(C269=0,"","cy")</f>
        <v>cy</v>
      </c>
      <c r="G269" s="321">
        <f>IF(C269=0,"NA",solids_pad_concrete)</f>
        <v>47</v>
      </c>
      <c r="H269" s="1" t="str">
        <f>IF(C269=0,"","cy")</f>
        <v>cy</v>
      </c>
      <c r="I269" s="326">
        <f>IF(C269=0,"NA",VLOOKUP(0,conc_pad_cost_cl,3))</f>
        <v>492.74999999999994</v>
      </c>
      <c r="J269" s="323">
        <f>IF(OR(C269=0,I269="contact vendor"),"--",E269*I269)</f>
        <v>23159.249999999996</v>
      </c>
      <c r="K269" s="327">
        <f>IF(C269=0,"NA",VLOOKUP(0,conc_pad_cost_cl,IF(ss_cat="large",4,5)))</f>
        <v>40</v>
      </c>
      <c r="L269" s="324">
        <v>1</v>
      </c>
      <c r="M269" s="237" t="str">
        <f>B269</f>
        <v>Solids drying pad</v>
      </c>
      <c r="N269" s="5">
        <f t="shared" ref="N269:V269" si="210">IF(retrofit=1,$W269*X269,IF(ISBLANK(X269),"",X269))</f>
        <v>1</v>
      </c>
      <c r="O269" s="5">
        <f t="shared" si="210"/>
        <v>1</v>
      </c>
      <c r="P269" s="5">
        <f t="shared" si="210"/>
        <v>1</v>
      </c>
      <c r="Q269" s="5">
        <f t="shared" si="210"/>
        <v>1</v>
      </c>
      <c r="R269" s="5">
        <f t="shared" si="210"/>
        <v>1</v>
      </c>
      <c r="S269" s="5">
        <f t="shared" si="210"/>
        <v>1</v>
      </c>
      <c r="T269" s="5">
        <f t="shared" si="210"/>
        <v>1</v>
      </c>
      <c r="U269" s="5">
        <f t="shared" si="210"/>
        <v>1</v>
      </c>
      <c r="V269" s="5">
        <f t="shared" si="210"/>
        <v>1</v>
      </c>
      <c r="W269" s="445">
        <v>0</v>
      </c>
      <c r="X269" s="414">
        <v>1</v>
      </c>
      <c r="Y269" s="414">
        <v>1</v>
      </c>
      <c r="Z269" s="414">
        <v>1</v>
      </c>
      <c r="AA269" s="414">
        <v>1</v>
      </c>
      <c r="AB269" s="414">
        <v>1</v>
      </c>
      <c r="AC269" s="414">
        <v>1</v>
      </c>
      <c r="AD269" s="414">
        <v>1</v>
      </c>
      <c r="AE269" s="414">
        <v>1</v>
      </c>
      <c r="AF269" s="414">
        <v>1</v>
      </c>
      <c r="AG269" s="414">
        <f t="shared" si="198"/>
        <v>1</v>
      </c>
      <c r="AH269" s="414">
        <f t="shared" si="199"/>
        <v>578.98124999999993</v>
      </c>
    </row>
    <row r="270" spans="1:34">
      <c r="A270" s="188">
        <v>12</v>
      </c>
      <c r="B270" s="14" t="s">
        <v>2399</v>
      </c>
      <c r="C270" s="24"/>
      <c r="D270" s="24"/>
      <c r="E270" s="24"/>
      <c r="F270" s="14"/>
      <c r="G270" s="24"/>
      <c r="H270" s="14"/>
      <c r="I270" s="205"/>
      <c r="J270" s="24"/>
      <c r="K270" s="24"/>
      <c r="L270" s="193"/>
      <c r="M270" s="27"/>
      <c r="N270" s="5" t="str">
        <f t="shared" ref="N270:V274" si="211">IF(retrofit=1,$W270*X270,IF(ISBLANK(X270),"",X270))</f>
        <v/>
      </c>
      <c r="O270" s="5" t="str">
        <f t="shared" si="211"/>
        <v/>
      </c>
      <c r="P270" s="5" t="str">
        <f t="shared" si="211"/>
        <v/>
      </c>
      <c r="Q270" s="5" t="str">
        <f t="shared" si="211"/>
        <v/>
      </c>
      <c r="R270" s="5" t="str">
        <f t="shared" si="211"/>
        <v/>
      </c>
      <c r="S270" s="5" t="str">
        <f t="shared" si="211"/>
        <v/>
      </c>
      <c r="T270" s="5" t="str">
        <f t="shared" si="211"/>
        <v/>
      </c>
      <c r="U270" s="5" t="str">
        <f t="shared" si="211"/>
        <v/>
      </c>
      <c r="V270" s="5" t="str">
        <f t="shared" si="211"/>
        <v/>
      </c>
      <c r="W270" s="445"/>
      <c r="AG270" s="414">
        <f t="shared" si="198"/>
        <v>0</v>
      </c>
      <c r="AH270" s="414">
        <f t="shared" si="199"/>
        <v>0</v>
      </c>
    </row>
    <row r="271" spans="1:34">
      <c r="A271" s="511">
        <v>13.1</v>
      </c>
      <c r="B271" s="307" t="s">
        <v>1263</v>
      </c>
      <c r="C271" s="512">
        <f>ep_cells</f>
        <v>0</v>
      </c>
      <c r="D271" s="344" t="s">
        <v>2356</v>
      </c>
      <c r="E271" s="513" t="str">
        <f>IF(C271=0,"NA",ep_excavation_vol/ep_cells)</f>
        <v>NA</v>
      </c>
      <c r="F271" s="65" t="str">
        <f>IF(C271=0,"","cy")</f>
        <v/>
      </c>
      <c r="G271" s="513" t="str">
        <f>IF(C271=0,"NA",ep_excavation_vol/ep_cells)</f>
        <v>NA</v>
      </c>
      <c r="H271" s="65" t="str">
        <f>IF(C271=0,"","cy")</f>
        <v/>
      </c>
      <c r="I271" s="514" t="str">
        <f>IF(C271=0,"NA",VLOOKUP(0,excavate_cost_cl,3)*ep_excavation_vol/ep_cells)</f>
        <v>NA</v>
      </c>
      <c r="J271" s="323" t="str">
        <f>IF(C271=0,"--",IF(I271="contact vendor","--",C271*I271))</f>
        <v>--</v>
      </c>
      <c r="K271" s="327" t="str">
        <f>IF(C271=0,"NA",VLOOKUP(0,ep_liner_cost_cl,IF(ss_cat="large",4,5)))</f>
        <v>NA</v>
      </c>
      <c r="L271" s="324"/>
      <c r="M271" s="27" t="str">
        <f>$B$270&amp;" - "&amp;B271</f>
        <v>Evaporation Pond - Excavation</v>
      </c>
      <c r="N271" s="5">
        <f t="shared" si="211"/>
        <v>1</v>
      </c>
      <c r="O271" s="5">
        <f t="shared" si="211"/>
        <v>1</v>
      </c>
      <c r="P271" s="5">
        <f t="shared" si="211"/>
        <v>1</v>
      </c>
      <c r="Q271" s="5">
        <f t="shared" si="211"/>
        <v>1</v>
      </c>
      <c r="R271" s="5">
        <f t="shared" si="211"/>
        <v>1</v>
      </c>
      <c r="S271" s="5">
        <f t="shared" si="211"/>
        <v>1</v>
      </c>
      <c r="T271" s="5">
        <f t="shared" si="211"/>
        <v>1</v>
      </c>
      <c r="U271" s="5">
        <f t="shared" si="211"/>
        <v>1</v>
      </c>
      <c r="V271" s="5">
        <f t="shared" si="211"/>
        <v>1</v>
      </c>
      <c r="W271" s="445">
        <v>0</v>
      </c>
      <c r="X271" s="414">
        <v>1</v>
      </c>
      <c r="Y271" s="414">
        <v>1</v>
      </c>
      <c r="Z271" s="414">
        <v>1</v>
      </c>
      <c r="AA271" s="414">
        <v>1</v>
      </c>
      <c r="AB271" s="414">
        <v>1</v>
      </c>
      <c r="AC271" s="414">
        <v>1</v>
      </c>
      <c r="AD271" s="414">
        <v>1</v>
      </c>
      <c r="AE271" s="414">
        <v>1</v>
      </c>
      <c r="AF271" s="414">
        <v>1</v>
      </c>
      <c r="AG271" s="414">
        <f t="shared" si="198"/>
        <v>0</v>
      </c>
      <c r="AH271" s="414">
        <f t="shared" si="199"/>
        <v>0</v>
      </c>
    </row>
    <row r="272" spans="1:34">
      <c r="A272" s="511">
        <v>13.2</v>
      </c>
      <c r="B272" s="307" t="s">
        <v>2400</v>
      </c>
      <c r="C272" s="512">
        <f>ep_cells</f>
        <v>0</v>
      </c>
      <c r="D272" s="344" t="s">
        <v>2356</v>
      </c>
      <c r="E272" s="321" t="str">
        <f>IF(C272=0,"NA",ep_backfill_vol/ep_cells)</f>
        <v>NA</v>
      </c>
      <c r="F272" s="65" t="str">
        <f>IF(C272=0,"","cy")</f>
        <v/>
      </c>
      <c r="G272" s="321" t="str">
        <f>IF(C272=0,"NA",ep_backfill_vol/ep_cells)</f>
        <v>NA</v>
      </c>
      <c r="H272" s="65" t="str">
        <f>IF(C272=0,"","cy")</f>
        <v/>
      </c>
      <c r="I272" s="515" t="str">
        <f>IF(C272=0,"NA",VLOOKUP(0,backfill_cost_cl,3)*ep_excavation_vol/ep_cells)</f>
        <v>NA</v>
      </c>
      <c r="J272" s="323" t="str">
        <f>IF(C272=0,"--",IF(I272="contact vendor","--",C272*I272))</f>
        <v>--</v>
      </c>
      <c r="K272" s="327" t="str">
        <f>IF(C272=0,"NA",VLOOKUP(0,ep_liner_cost_cl,IF(ss_cat="large",4,5)))</f>
        <v>NA</v>
      </c>
      <c r="L272" s="324"/>
      <c r="M272" s="27" t="str">
        <f>$B$270&amp;" - "&amp;B272</f>
        <v>Evaporation Pond - Backfill</v>
      </c>
      <c r="N272" s="5">
        <f t="shared" si="211"/>
        <v>1</v>
      </c>
      <c r="O272" s="5">
        <f t="shared" si="211"/>
        <v>1</v>
      </c>
      <c r="P272" s="5">
        <f t="shared" si="211"/>
        <v>1</v>
      </c>
      <c r="Q272" s="5">
        <f t="shared" si="211"/>
        <v>1</v>
      </c>
      <c r="R272" s="5">
        <f t="shared" si="211"/>
        <v>1</v>
      </c>
      <c r="S272" s="5">
        <f t="shared" si="211"/>
        <v>1</v>
      </c>
      <c r="T272" s="5">
        <f t="shared" si="211"/>
        <v>1</v>
      </c>
      <c r="U272" s="5">
        <f t="shared" si="211"/>
        <v>1</v>
      </c>
      <c r="V272" s="5">
        <f t="shared" si="211"/>
        <v>1</v>
      </c>
      <c r="W272" s="445">
        <v>0</v>
      </c>
      <c r="X272" s="414">
        <v>1</v>
      </c>
      <c r="Y272" s="414">
        <v>1</v>
      </c>
      <c r="Z272" s="414">
        <v>1</v>
      </c>
      <c r="AA272" s="414">
        <v>1</v>
      </c>
      <c r="AB272" s="414">
        <v>1</v>
      </c>
      <c r="AC272" s="414">
        <v>1</v>
      </c>
      <c r="AD272" s="414">
        <v>1</v>
      </c>
      <c r="AE272" s="414">
        <v>1</v>
      </c>
      <c r="AF272" s="414">
        <v>1</v>
      </c>
      <c r="AG272" s="414">
        <f t="shared" si="198"/>
        <v>0</v>
      </c>
      <c r="AH272" s="414">
        <f t="shared" si="199"/>
        <v>0</v>
      </c>
    </row>
    <row r="273" spans="1:36">
      <c r="A273" s="511">
        <v>13.3</v>
      </c>
      <c r="B273" s="307" t="s">
        <v>2401</v>
      </c>
      <c r="C273" s="512">
        <f>ep_cells</f>
        <v>0</v>
      </c>
      <c r="D273" s="344" t="s">
        <v>2356</v>
      </c>
      <c r="E273" s="321" t="str">
        <f>IF(C273=0,"NA",liner_area/ep_cells)</f>
        <v>NA</v>
      </c>
      <c r="F273" s="65" t="str">
        <f>IF(C273=0,"","sf")</f>
        <v/>
      </c>
      <c r="G273" s="321" t="str">
        <f>IF(C273=0,"NA",liner_area/ep_cells)</f>
        <v>NA</v>
      </c>
      <c r="H273" s="65" t="str">
        <f>IF(C273=0,"","sf")</f>
        <v/>
      </c>
      <c r="I273" s="514" t="str">
        <f>IF(C273=0,"NA",VLOOKUP(0,ep_liner_cost_cl,3)*liner_area/ep_cells)</f>
        <v>NA</v>
      </c>
      <c r="J273" s="323" t="str">
        <f>IF(C273=0,"--",IF(I273="contact vendor","--",C273*I273))</f>
        <v>--</v>
      </c>
      <c r="K273" s="327" t="str">
        <f>IF(C273=0,"NA",VLOOKUP(0,ep_liner_cost_cl,IF(ss_cat="large",4,5)))</f>
        <v>NA</v>
      </c>
      <c r="L273" s="324"/>
      <c r="M273" s="27" t="str">
        <f>$B$270&amp;" - "&amp;B273</f>
        <v>Evaporation Pond - Liner</v>
      </c>
      <c r="N273" s="5">
        <f t="shared" si="211"/>
        <v>1</v>
      </c>
      <c r="O273" s="5">
        <f t="shared" si="211"/>
        <v>1</v>
      </c>
      <c r="P273" s="5">
        <f t="shared" si="211"/>
        <v>1</v>
      </c>
      <c r="Q273" s="5">
        <f t="shared" si="211"/>
        <v>1</v>
      </c>
      <c r="R273" s="5">
        <f t="shared" si="211"/>
        <v>1</v>
      </c>
      <c r="S273" s="5">
        <f t="shared" si="211"/>
        <v>1</v>
      </c>
      <c r="T273" s="5">
        <f t="shared" si="211"/>
        <v>1</v>
      </c>
      <c r="U273" s="5">
        <f t="shared" si="211"/>
        <v>1</v>
      </c>
      <c r="V273" s="5">
        <f t="shared" si="211"/>
        <v>1</v>
      </c>
      <c r="W273" s="445">
        <v>0</v>
      </c>
      <c r="X273" s="414">
        <v>1</v>
      </c>
      <c r="Y273" s="414">
        <v>1</v>
      </c>
      <c r="Z273" s="414">
        <v>1</v>
      </c>
      <c r="AA273" s="414">
        <v>1</v>
      </c>
      <c r="AB273" s="414">
        <v>1</v>
      </c>
      <c r="AC273" s="414">
        <v>1</v>
      </c>
      <c r="AD273" s="414">
        <v>1</v>
      </c>
      <c r="AE273" s="414">
        <v>1</v>
      </c>
      <c r="AF273" s="414">
        <v>1</v>
      </c>
      <c r="AG273" s="414">
        <f t="shared" si="198"/>
        <v>0</v>
      </c>
      <c r="AH273" s="414">
        <f t="shared" si="199"/>
        <v>0</v>
      </c>
    </row>
    <row r="274" spans="1:36">
      <c r="A274" s="511">
        <v>13.4</v>
      </c>
      <c r="B274" s="307" t="s">
        <v>2402</v>
      </c>
      <c r="C274" s="512">
        <f>ep_cells</f>
        <v>0</v>
      </c>
      <c r="D274" s="344" t="s">
        <v>2356</v>
      </c>
      <c r="E274" s="321" t="str">
        <f>IF(C274=0,"NA",dike_volume/ep_cells)</f>
        <v>NA</v>
      </c>
      <c r="F274" s="65" t="str">
        <f>IF(C274=0,"","cy")</f>
        <v/>
      </c>
      <c r="G274" s="321" t="str">
        <f>IF(C274=0,"NA",dike_volume/ep_cells)</f>
        <v>NA</v>
      </c>
      <c r="H274" s="65" t="str">
        <f>IF(C274=0,"","cy")</f>
        <v/>
      </c>
      <c r="I274" s="515" t="str">
        <f>IF(C274=0,"NA",ep_dike_construct_cl*dike_volume/ep_cells)</f>
        <v>NA</v>
      </c>
      <c r="J274" s="323" t="str">
        <f>IF(C274=0,"--",IF(I274="contact vendor","--",C274*I274))</f>
        <v>--</v>
      </c>
      <c r="K274" s="327" t="str">
        <f>IF(C274=0,"NA",VLOOKUP(0,ep_liner_cost_cl,IF(ss_cat="large",4,5)))</f>
        <v>NA</v>
      </c>
      <c r="L274" s="324"/>
      <c r="M274" s="27" t="str">
        <f>$B$270&amp;" - "&amp;B274</f>
        <v>Evaporation Pond - Dike Construction</v>
      </c>
      <c r="N274" s="5">
        <f t="shared" si="211"/>
        <v>1</v>
      </c>
      <c r="O274" s="5">
        <f t="shared" si="211"/>
        <v>1</v>
      </c>
      <c r="P274" s="5">
        <f t="shared" si="211"/>
        <v>1</v>
      </c>
      <c r="Q274" s="5">
        <f t="shared" si="211"/>
        <v>1</v>
      </c>
      <c r="R274" s="5">
        <f t="shared" si="211"/>
        <v>1</v>
      </c>
      <c r="S274" s="5">
        <f t="shared" si="211"/>
        <v>1</v>
      </c>
      <c r="T274" s="5">
        <f t="shared" si="211"/>
        <v>1</v>
      </c>
      <c r="U274" s="5">
        <f t="shared" si="211"/>
        <v>1</v>
      </c>
      <c r="V274" s="5">
        <f t="shared" si="211"/>
        <v>1</v>
      </c>
      <c r="W274" s="445">
        <v>0</v>
      </c>
      <c r="X274" s="414">
        <v>1</v>
      </c>
      <c r="Y274" s="414">
        <v>1</v>
      </c>
      <c r="Z274" s="414">
        <v>1</v>
      </c>
      <c r="AA274" s="414">
        <v>1</v>
      </c>
      <c r="AB274" s="414">
        <v>1</v>
      </c>
      <c r="AC274" s="414">
        <v>1</v>
      </c>
      <c r="AD274" s="414">
        <v>1</v>
      </c>
      <c r="AE274" s="414">
        <v>1</v>
      </c>
      <c r="AF274" s="414">
        <v>1</v>
      </c>
      <c r="AG274" s="414">
        <f t="shared" si="198"/>
        <v>0</v>
      </c>
      <c r="AH274" s="414">
        <f t="shared" si="199"/>
        <v>0</v>
      </c>
    </row>
    <row r="275" spans="1:36">
      <c r="A275" s="477">
        <v>14</v>
      </c>
      <c r="B275" s="478" t="s">
        <v>1165</v>
      </c>
      <c r="C275" s="209"/>
      <c r="D275" s="209"/>
      <c r="E275" s="209"/>
      <c r="F275" s="209"/>
      <c r="G275" s="209"/>
      <c r="H275" s="209"/>
      <c r="I275" s="209"/>
      <c r="J275" s="209"/>
      <c r="K275" s="209"/>
      <c r="L275" s="479"/>
      <c r="AG275" s="414">
        <f t="shared" si="198"/>
        <v>0</v>
      </c>
      <c r="AH275" s="414">
        <f t="shared" si="199"/>
        <v>0</v>
      </c>
    </row>
    <row r="276" spans="1:36">
      <c r="A276" s="197">
        <v>14.1</v>
      </c>
      <c r="B276" s="480" t="s">
        <v>388</v>
      </c>
      <c r="C276" s="195"/>
      <c r="D276" s="669"/>
      <c r="E276" s="195"/>
      <c r="F276" s="669"/>
      <c r="G276" s="195"/>
      <c r="H276" s="669"/>
      <c r="I276" s="195"/>
      <c r="J276" s="195"/>
      <c r="K276" s="195"/>
      <c r="L276" s="200"/>
      <c r="AG276" s="414">
        <f t="shared" si="198"/>
        <v>0</v>
      </c>
      <c r="AH276" s="414">
        <f t="shared" si="199"/>
        <v>0</v>
      </c>
    </row>
    <row r="277" spans="1:36">
      <c r="A277" s="329" t="s">
        <v>2403</v>
      </c>
      <c r="B277" s="481" t="s">
        <v>1220</v>
      </c>
      <c r="C277" s="482">
        <f>IF(AND(build1_fp&gt;0,build1_fp&lt;500),1,0)</f>
        <v>0</v>
      </c>
      <c r="D277" s="483" t="s">
        <v>2222</v>
      </c>
      <c r="E277" s="518">
        <f>build1_fp</f>
        <v>3780</v>
      </c>
      <c r="F277" s="483" t="s">
        <v>2856</v>
      </c>
      <c r="G277" s="519">
        <f>build1_fp</f>
        <v>3780</v>
      </c>
      <c r="H277" s="483" t="s">
        <v>2856</v>
      </c>
      <c r="I277" s="484" t="str">
        <f>IF(C277=0,"NA",VLOOKUP(build1_fp,bldg_shed_cost_cl,3))</f>
        <v>NA</v>
      </c>
      <c r="J277" s="485" t="str">
        <f>IF(OR(I277="NA",I277="contact vendor"),"--",G277*I277)</f>
        <v>--</v>
      </c>
      <c r="K277" s="120" t="str">
        <f>IF($C277=0,"N/A",VLOOKUP(build1_fp,bldg_shed_cost_cl,IF(ss_cat="large",4,5)))</f>
        <v>N/A</v>
      </c>
      <c r="L277" s="324"/>
      <c r="M277" s="27" t="str">
        <f>B275&amp;" - "&amp;B276&amp;" - "&amp;B277</f>
        <v>Building Structures and HVAC - Building 1 - Small Low Cost Shed</v>
      </c>
      <c r="N277" s="5">
        <f t="shared" ref="N277:N294" si="212">IF(retrofit=1,$W277*X277,IF(ISBLANK(X277),"",X277))</f>
        <v>0</v>
      </c>
      <c r="O277" s="5">
        <f t="shared" ref="O277:O294" si="213">IF(retrofit=1,$W277*Y277,IF(ISBLANK(Y277),"",Y277))</f>
        <v>0</v>
      </c>
      <c r="P277" s="5">
        <f t="shared" ref="P277:P294" si="214">IF(retrofit=1,$W277*Z277,IF(ISBLANK(Z277),"",Z277))</f>
        <v>0</v>
      </c>
      <c r="Q277" s="5">
        <f t="shared" ref="Q277:Q294" si="215">IF(retrofit=1,$W277*AA277,IF(ISBLANK(AA277),"",AA277))</f>
        <v>0</v>
      </c>
      <c r="R277" s="5">
        <f t="shared" ref="R277:R294" si="216">IF(retrofit=1,$W277*AB277,IF(ISBLANK(AB277),"",AB277))</f>
        <v>0</v>
      </c>
      <c r="S277" s="5">
        <f t="shared" ref="S277:S294" si="217">IF(retrofit=1,$W277*AC277,IF(ISBLANK(AC277),"",AC277))</f>
        <v>0</v>
      </c>
      <c r="T277" s="5">
        <f t="shared" ref="T277:T294" si="218">IF(retrofit=1,$W277*AD277,IF(ISBLANK(AD277),"",AD277))</f>
        <v>0</v>
      </c>
      <c r="U277" s="5">
        <f t="shared" ref="U277:U294" si="219">IF(retrofit=1,$W277*AE277,IF(ISBLANK(AE277),"",AE277))</f>
        <v>0</v>
      </c>
      <c r="V277" s="5">
        <f t="shared" ref="V277:V294" si="220">IF(retrofit=1,$W277*AF277,IF(ISBLANK(AF277),"",AF277))</f>
        <v>0</v>
      </c>
      <c r="W277" s="445">
        <v>0</v>
      </c>
      <c r="X277" s="414">
        <f t="shared" ref="X277:AF277" si="221">IF(include_buildings=1,2,0)</f>
        <v>0</v>
      </c>
      <c r="Y277" s="414">
        <f t="shared" si="221"/>
        <v>0</v>
      </c>
      <c r="Z277" s="414">
        <f t="shared" si="221"/>
        <v>0</v>
      </c>
      <c r="AA277" s="414">
        <f t="shared" si="221"/>
        <v>0</v>
      </c>
      <c r="AB277" s="414">
        <f t="shared" si="221"/>
        <v>0</v>
      </c>
      <c r="AC277" s="414">
        <f t="shared" si="221"/>
        <v>0</v>
      </c>
      <c r="AD277" s="414">
        <f t="shared" si="221"/>
        <v>0</v>
      </c>
      <c r="AE277" s="414">
        <f t="shared" si="221"/>
        <v>0</v>
      </c>
      <c r="AF277" s="414">
        <f t="shared" si="221"/>
        <v>0</v>
      </c>
      <c r="AG277" s="414">
        <f t="shared" si="198"/>
        <v>0</v>
      </c>
      <c r="AH277" s="414">
        <f t="shared" si="199"/>
        <v>0</v>
      </c>
      <c r="AJ277">
        <f>IF(AG277,K277,0)</f>
        <v>0</v>
      </c>
    </row>
    <row r="278" spans="1:36">
      <c r="A278" s="329" t="s">
        <v>2403</v>
      </c>
      <c r="B278" s="481" t="s">
        <v>1221</v>
      </c>
      <c r="C278" s="482">
        <f>IF(build1_fp&gt;=500,1,0)</f>
        <v>1</v>
      </c>
      <c r="D278" s="483" t="s">
        <v>2222</v>
      </c>
      <c r="E278" s="519">
        <f>build1_fp</f>
        <v>3780</v>
      </c>
      <c r="F278" s="483" t="s">
        <v>2856</v>
      </c>
      <c r="G278" s="519">
        <f>build1_fp</f>
        <v>3780</v>
      </c>
      <c r="H278" s="483" t="s">
        <v>2856</v>
      </c>
      <c r="I278" s="484">
        <f>IF(C278=0,"NA",IF(curve=1,bldg_lo_eq_1,VLOOKUP(build1_fp, bldg_lo_cost_cl,3)))</f>
        <v>74.732635146286725</v>
      </c>
      <c r="J278" s="485">
        <f>IF(OR(I278="NA",I278="contact vendor"),"--",G278*I278)</f>
        <v>282489.36085296381</v>
      </c>
      <c r="K278" s="120">
        <f>IF($C278=0,"N/A",VLOOKUP(build1_fp,bldg_lo_cost_cl,IF(ss_cat="large",4,5)))</f>
        <v>40</v>
      </c>
      <c r="L278" s="324">
        <v>0</v>
      </c>
      <c r="M278" s="27" t="str">
        <f>B275&amp;" - "&amp;B276&amp;" - "&amp;B278</f>
        <v>Building Structures and HVAC - Building 1 - Low Quality</v>
      </c>
      <c r="N278" s="5">
        <f t="shared" si="212"/>
        <v>0</v>
      </c>
      <c r="O278" s="5" t="str">
        <f t="shared" si="213"/>
        <v/>
      </c>
      <c r="P278" s="5" t="str">
        <f t="shared" si="214"/>
        <v/>
      </c>
      <c r="Q278" s="5">
        <f t="shared" si="215"/>
        <v>0</v>
      </c>
      <c r="R278" s="5" t="str">
        <f t="shared" si="216"/>
        <v/>
      </c>
      <c r="S278" s="5" t="str">
        <f t="shared" si="217"/>
        <v/>
      </c>
      <c r="T278" s="5">
        <f t="shared" si="218"/>
        <v>0</v>
      </c>
      <c r="U278" s="5" t="str">
        <f t="shared" si="219"/>
        <v/>
      </c>
      <c r="V278" s="5" t="str">
        <f t="shared" si="220"/>
        <v/>
      </c>
      <c r="W278" s="445">
        <v>0</v>
      </c>
      <c r="X278" s="414">
        <f>include_buildings</f>
        <v>0</v>
      </c>
      <c r="AA278" s="414">
        <f>include_buildings</f>
        <v>0</v>
      </c>
      <c r="AC278" s="932"/>
      <c r="AD278" s="414">
        <f>include_buildings</f>
        <v>0</v>
      </c>
      <c r="AE278" s="932"/>
      <c r="AG278">
        <f t="shared" si="198"/>
        <v>0</v>
      </c>
      <c r="AH278">
        <f t="shared" si="199"/>
        <v>0</v>
      </c>
      <c r="AJ278">
        <f>IF(AG278,K278,0)</f>
        <v>0</v>
      </c>
    </row>
    <row r="279" spans="1:36">
      <c r="A279" s="329" t="s">
        <v>2403</v>
      </c>
      <c r="B279" s="481" t="s">
        <v>1222</v>
      </c>
      <c r="C279" s="482">
        <f>IF(build1_fp&gt;=500,1,0)</f>
        <v>1</v>
      </c>
      <c r="D279" s="483" t="s">
        <v>2222</v>
      </c>
      <c r="E279" s="519">
        <f>build1_fp</f>
        <v>3780</v>
      </c>
      <c r="F279" s="483" t="s">
        <v>2856</v>
      </c>
      <c r="G279" s="519">
        <f>build1_fp</f>
        <v>3780</v>
      </c>
      <c r="H279" s="483" t="s">
        <v>2856</v>
      </c>
      <c r="I279" s="484">
        <f>IF(C279=0,"NA",IF(curve=1,bldg_mid_eq_1,VLOOKUP(build1_fp, bldg_mid_cost_cl,3)))</f>
        <v>89.618271427284725</v>
      </c>
      <c r="J279" s="485">
        <f>IF(OR(I279="NA",I279="contact vendor"),"--",G279*I279)</f>
        <v>338757.06599513628</v>
      </c>
      <c r="K279" s="120">
        <f>IF($C279=0,"N/A",VLOOKUP(build1_fp,bldg_mid_cost_cl,IF(ss_cat="large",4,5)))</f>
        <v>40</v>
      </c>
      <c r="L279" s="324">
        <v>0</v>
      </c>
      <c r="M279" s="27" t="str">
        <f>B275&amp;" - "&amp;B276&amp;" - "&amp;B279</f>
        <v>Building Structures and HVAC - Building 1 - Medium Quality</v>
      </c>
      <c r="N279" s="5" t="str">
        <f t="shared" si="212"/>
        <v/>
      </c>
      <c r="O279" s="5">
        <f t="shared" si="213"/>
        <v>0</v>
      </c>
      <c r="P279" s="5" t="str">
        <f t="shared" si="214"/>
        <v/>
      </c>
      <c r="Q279" s="5" t="str">
        <f t="shared" si="215"/>
        <v/>
      </c>
      <c r="R279" s="5">
        <f t="shared" si="216"/>
        <v>0</v>
      </c>
      <c r="S279" s="5" t="str">
        <f t="shared" si="217"/>
        <v/>
      </c>
      <c r="T279" s="5" t="str">
        <f t="shared" si="218"/>
        <v/>
      </c>
      <c r="U279" s="5">
        <f t="shared" si="219"/>
        <v>0</v>
      </c>
      <c r="V279" s="5" t="str">
        <f t="shared" si="220"/>
        <v/>
      </c>
      <c r="W279" s="445">
        <v>0</v>
      </c>
      <c r="Y279" s="414">
        <f>include_buildings</f>
        <v>0</v>
      </c>
      <c r="AB279" s="414">
        <f>include_buildings</f>
        <v>0</v>
      </c>
      <c r="AC279" s="932"/>
      <c r="AD279" s="932"/>
      <c r="AE279" s="414">
        <f>include_buildings</f>
        <v>0</v>
      </c>
      <c r="AG279">
        <f t="shared" si="198"/>
        <v>0</v>
      </c>
      <c r="AH279">
        <f t="shared" si="199"/>
        <v>0</v>
      </c>
      <c r="AJ279">
        <f>IF(AG279,K279,0)</f>
        <v>0</v>
      </c>
    </row>
    <row r="280" spans="1:36">
      <c r="A280" s="329" t="s">
        <v>2403</v>
      </c>
      <c r="B280" s="481" t="s">
        <v>1223</v>
      </c>
      <c r="C280" s="482">
        <f>IF(build1_fp&gt;=500,1,0)</f>
        <v>1</v>
      </c>
      <c r="D280" s="483" t="s">
        <v>2222</v>
      </c>
      <c r="E280" s="519">
        <f>build1_fp</f>
        <v>3780</v>
      </c>
      <c r="F280" s="483" t="s">
        <v>2856</v>
      </c>
      <c r="G280" s="519">
        <f>build1_fp</f>
        <v>3780</v>
      </c>
      <c r="H280" s="483" t="s">
        <v>2856</v>
      </c>
      <c r="I280" s="484">
        <f>IF(C280=0,"NA",IF(curve=1,bldg_hi_eq_1,VLOOKUP(build1_fp, bldg_hi_cost_cl,3)))</f>
        <v>122.7064787872412</v>
      </c>
      <c r="J280" s="485">
        <f>IF(OR(I280="NA",I280="contact vendor"),"--",G280*I280)</f>
        <v>463830.4898157717</v>
      </c>
      <c r="K280" s="120">
        <f>IF($C280=0,"N/A",VLOOKUP(build1_fp,bldg_hi_cost_cl,IF(ss_cat="large",4,5)))</f>
        <v>40</v>
      </c>
      <c r="L280" s="324">
        <v>0</v>
      </c>
      <c r="M280" s="27" t="str">
        <f>B275&amp;" - "&amp;B276&amp;" - "&amp;B280</f>
        <v>Building Structures and HVAC - Building 1 - High Quality</v>
      </c>
      <c r="N280" s="5" t="str">
        <f>IF(retrofit=1,$W280*X280,IF(ISBLANK(X280),"",X280))</f>
        <v/>
      </c>
      <c r="O280" s="5" t="str">
        <f t="shared" si="213"/>
        <v/>
      </c>
      <c r="P280" s="5">
        <f t="shared" si="214"/>
        <v>0</v>
      </c>
      <c r="Q280" s="5" t="str">
        <f t="shared" si="215"/>
        <v/>
      </c>
      <c r="R280" s="5" t="str">
        <f t="shared" si="216"/>
        <v/>
      </c>
      <c r="S280" s="5">
        <f t="shared" si="217"/>
        <v>0</v>
      </c>
      <c r="T280" s="5" t="str">
        <f t="shared" si="218"/>
        <v/>
      </c>
      <c r="U280" s="5" t="str">
        <f t="shared" si="219"/>
        <v/>
      </c>
      <c r="V280" s="5">
        <f t="shared" si="220"/>
        <v>0</v>
      </c>
      <c r="W280" s="445">
        <v>0</v>
      </c>
      <c r="Z280" s="414">
        <f>include_buildings</f>
        <v>0</v>
      </c>
      <c r="AC280" s="414">
        <f>include_buildings</f>
        <v>0</v>
      </c>
      <c r="AD280" s="932"/>
      <c r="AE280" s="932"/>
      <c r="AF280" s="414">
        <f>include_buildings</f>
        <v>0</v>
      </c>
      <c r="AG280">
        <f t="shared" si="198"/>
        <v>0</v>
      </c>
      <c r="AH280">
        <f t="shared" si="199"/>
        <v>0</v>
      </c>
      <c r="AJ280">
        <f>IF(AG280,K280,0)</f>
        <v>0</v>
      </c>
    </row>
    <row r="281" spans="1:36">
      <c r="A281" s="197" t="s">
        <v>2404</v>
      </c>
      <c r="B281" s="668" t="str">
        <f>"Heating System"&amp;IF(build1_heat="heat pump"," (included with cooling system)","")</f>
        <v>Heating System</v>
      </c>
      <c r="C281" s="234"/>
      <c r="D281" s="671"/>
      <c r="E281" s="234"/>
      <c r="F281" s="671"/>
      <c r="G281" s="234"/>
      <c r="H281" s="671"/>
      <c r="I281" s="234"/>
      <c r="J281" s="234"/>
      <c r="K281" s="234"/>
      <c r="L281" s="200"/>
      <c r="N281" s="5"/>
      <c r="O281" s="5"/>
      <c r="P281" s="5"/>
      <c r="Q281" s="5"/>
      <c r="R281" s="5"/>
      <c r="S281" s="5"/>
      <c r="T281" s="5"/>
      <c r="U281" s="5"/>
      <c r="V281" s="5"/>
      <c r="W281" s="445"/>
      <c r="AG281">
        <f t="shared" si="198"/>
        <v>0</v>
      </c>
      <c r="AH281">
        <f t="shared" si="199"/>
        <v>0</v>
      </c>
    </row>
    <row r="282" spans="1:36">
      <c r="A282" s="329" t="s">
        <v>2405</v>
      </c>
      <c r="B282" s="481" t="s">
        <v>1662</v>
      </c>
      <c r="C282" s="482">
        <f>IF(build1_heat="heat pump","NA",IF(build1_need_heat,build1_zones,"NA"))</f>
        <v>1</v>
      </c>
      <c r="D282" s="483" t="str">
        <f>IF(C282="NA","","zones")</f>
        <v>zones</v>
      </c>
      <c r="E282" s="330">
        <f>IF(C282="NA","NA",build1_heat_mbh)</f>
        <v>101.18601398424175</v>
      </c>
      <c r="F282" s="483" t="str">
        <f>IF(C282="NA","","MBH")</f>
        <v>MBH</v>
      </c>
      <c r="G282" s="330">
        <f>IF(C282="NA","NA",IF(curve=1,build1_heat_mbh,VLOOKUP(build1_heat_mbh,hvac_elec_cost_cl,2)))</f>
        <v>101.18601398424175</v>
      </c>
      <c r="H282" s="483" t="str">
        <f>IF(C282="NA","","MBH")</f>
        <v>MBH</v>
      </c>
      <c r="I282" s="486">
        <f>IF(C282="NA","NA",IF(curve=1,hvac_elec_eq_1,VLOOKUP(build1_heat_mbh,hvac_elec_cost_cl,3)))</f>
        <v>39933.474612588798</v>
      </c>
      <c r="J282" s="485">
        <f>IF(OR(I282="NA",I282="contact vendor"),"--",C282*I282)</f>
        <v>39933.474612588798</v>
      </c>
      <c r="K282" s="120">
        <f>IF(C282="NA","NA",VLOOKUP(build1_heat_mbh,hvac_elec_cost_cl,IF(ss_cat="large",4,5)))</f>
        <v>25</v>
      </c>
      <c r="L282" s="324">
        <v>0</v>
      </c>
      <c r="M282" s="27" t="str">
        <f>B275&amp;" - "&amp;B276&amp;" - "&amp;B281&amp;" - "&amp;B282</f>
        <v>Building Structures and HVAC - Building 1 - Heating System - Electric resistance</v>
      </c>
      <c r="N282" s="5">
        <f t="shared" ref="N282:V286" si="222">IF(include_HVAC=0,0,IF(retrofit=1,$W282*X282,IF(ISBLANK(X282),"",X282)))</f>
        <v>0</v>
      </c>
      <c r="O282" s="5">
        <f t="shared" si="222"/>
        <v>0</v>
      </c>
      <c r="P282" s="5">
        <f t="shared" si="222"/>
        <v>0</v>
      </c>
      <c r="Q282" s="5">
        <f t="shared" si="222"/>
        <v>0</v>
      </c>
      <c r="R282" s="5">
        <f t="shared" si="222"/>
        <v>0</v>
      </c>
      <c r="S282" s="5">
        <f t="shared" si="222"/>
        <v>0</v>
      </c>
      <c r="T282" s="5">
        <f t="shared" si="222"/>
        <v>0</v>
      </c>
      <c r="U282" s="5">
        <f t="shared" si="222"/>
        <v>0</v>
      </c>
      <c r="V282" s="5">
        <f t="shared" si="222"/>
        <v>0</v>
      </c>
      <c r="W282" s="445">
        <v>0</v>
      </c>
      <c r="X282" s="414">
        <f t="shared" ref="X282:AF286" si="223">IF(build1_heat=$B282,1,0)</f>
        <v>0</v>
      </c>
      <c r="Y282" s="414">
        <f t="shared" si="223"/>
        <v>0</v>
      </c>
      <c r="Z282" s="414">
        <f t="shared" si="223"/>
        <v>0</v>
      </c>
      <c r="AA282" s="414">
        <f t="shared" si="223"/>
        <v>0</v>
      </c>
      <c r="AB282" s="414">
        <f t="shared" si="223"/>
        <v>0</v>
      </c>
      <c r="AC282" s="414">
        <f t="shared" si="223"/>
        <v>0</v>
      </c>
      <c r="AD282" s="414">
        <f t="shared" si="223"/>
        <v>0</v>
      </c>
      <c r="AE282" s="414">
        <f t="shared" si="223"/>
        <v>0</v>
      </c>
      <c r="AF282" s="414">
        <f t="shared" si="223"/>
        <v>0</v>
      </c>
      <c r="AG282">
        <f t="shared" si="198"/>
        <v>0</v>
      </c>
      <c r="AH282">
        <f t="shared" si="199"/>
        <v>0</v>
      </c>
    </row>
    <row r="283" spans="1:36">
      <c r="A283" s="329" t="s">
        <v>2405</v>
      </c>
      <c r="B283" s="481" t="s">
        <v>725</v>
      </c>
      <c r="C283" s="482">
        <f>IF(build1_heat="heat pump","NA",IF(build1_need_heat,build1_zones,"NA"))</f>
        <v>1</v>
      </c>
      <c r="D283" s="483" t="str">
        <f>IF(C283="NA","","zones")</f>
        <v>zones</v>
      </c>
      <c r="E283" s="330">
        <f>IF(C283="NA","NA",build1_heat_mbh)</f>
        <v>101.18601398424175</v>
      </c>
      <c r="F283" s="483" t="str">
        <f>IF(C283="NA","","MBH")</f>
        <v>MBH</v>
      </c>
      <c r="G283" s="330">
        <f>IF(C283="NA","NA",IF(curve=1,build1_heat_mbh,VLOOKUP(build1_heat_mbh,hvac_gas_non_cost_cl,2)))</f>
        <v>101.18601398424175</v>
      </c>
      <c r="H283" s="483" t="str">
        <f>IF(C283="NA","","MBH")</f>
        <v>MBH</v>
      </c>
      <c r="I283" s="486">
        <f>IF(C283="NA","NA",IF(curve=1,hvac_gas_non_eq_1,VLOOKUP(build1_heat_mbh,hvac_gas_non_cost_cl,3)))</f>
        <v>28313.868145051252</v>
      </c>
      <c r="J283" s="485">
        <f>IF(OR(I283="NA",I283="contact vendor"),"--",C283*I283)</f>
        <v>28313.868145051252</v>
      </c>
      <c r="K283" s="120">
        <f>IF(C283="NA","NA",VLOOKUP(build1_heat_mbh,hvac_gas_non_cost_cl,IF(ss_cat="large",4,5)))</f>
        <v>25</v>
      </c>
      <c r="L283" s="324">
        <v>0</v>
      </c>
      <c r="M283" s="27" t="str">
        <f>B275&amp;" - "&amp;B276&amp;" - "&amp;B281&amp;" - "&amp;B283</f>
        <v>Building Structures and HVAC - Building 1 - Heating System - Natural gas non-condensing furnace</v>
      </c>
      <c r="N283" s="5">
        <f t="shared" si="222"/>
        <v>0</v>
      </c>
      <c r="O283" s="5">
        <f t="shared" si="222"/>
        <v>0</v>
      </c>
      <c r="P283" s="5">
        <f t="shared" si="222"/>
        <v>0</v>
      </c>
      <c r="Q283" s="5">
        <f t="shared" si="222"/>
        <v>0</v>
      </c>
      <c r="R283" s="5">
        <f t="shared" si="222"/>
        <v>0</v>
      </c>
      <c r="S283" s="5">
        <f t="shared" si="222"/>
        <v>0</v>
      </c>
      <c r="T283" s="5">
        <f t="shared" si="222"/>
        <v>0</v>
      </c>
      <c r="U283" s="5">
        <f t="shared" si="222"/>
        <v>0</v>
      </c>
      <c r="V283" s="5">
        <f t="shared" si="222"/>
        <v>0</v>
      </c>
      <c r="W283" s="445">
        <v>0</v>
      </c>
      <c r="X283" s="414">
        <f t="shared" si="223"/>
        <v>0</v>
      </c>
      <c r="Y283" s="414">
        <f t="shared" si="223"/>
        <v>0</v>
      </c>
      <c r="Z283" s="414">
        <f t="shared" si="223"/>
        <v>0</v>
      </c>
      <c r="AA283" s="414">
        <f t="shared" si="223"/>
        <v>0</v>
      </c>
      <c r="AB283" s="414">
        <f t="shared" si="223"/>
        <v>0</v>
      </c>
      <c r="AC283" s="414">
        <f t="shared" si="223"/>
        <v>0</v>
      </c>
      <c r="AD283" s="414">
        <f t="shared" si="223"/>
        <v>0</v>
      </c>
      <c r="AE283" s="414">
        <f t="shared" si="223"/>
        <v>0</v>
      </c>
      <c r="AF283" s="414">
        <f t="shared" si="223"/>
        <v>0</v>
      </c>
      <c r="AG283">
        <f t="shared" si="198"/>
        <v>0</v>
      </c>
      <c r="AH283">
        <f t="shared" si="199"/>
        <v>0</v>
      </c>
    </row>
    <row r="284" spans="1:36">
      <c r="A284" s="329" t="s">
        <v>2405</v>
      </c>
      <c r="B284" s="481" t="s">
        <v>726</v>
      </c>
      <c r="C284" s="482">
        <f>IF(build1_heat="heat pump","NA",IF(build1_need_heat,build1_zones,"NA"))</f>
        <v>1</v>
      </c>
      <c r="D284" s="483" t="str">
        <f>IF(C284="NA","","zones")</f>
        <v>zones</v>
      </c>
      <c r="E284" s="330">
        <f>IF(C284="NA","NA",build1_heat_mbh)</f>
        <v>101.18601398424175</v>
      </c>
      <c r="F284" s="483" t="str">
        <f>IF(C284="NA","","MBH")</f>
        <v>MBH</v>
      </c>
      <c r="G284" s="330">
        <f>IF(C284="NA","NA",IF(curve=1,build1_heat_mbh,VLOOKUP(build1_heat_mbh,hvac_gas_cost_cl,2)))</f>
        <v>101.18601398424175</v>
      </c>
      <c r="H284" s="483" t="str">
        <f>IF(C284="NA","","MBH")</f>
        <v>MBH</v>
      </c>
      <c r="I284" s="486">
        <f>IF(C284="NA","NA",IF(curve=1,hvac_gas_eq_1,VLOOKUP(build1_heat_mbh,hvac_gas_cost_cl,3)))</f>
        <v>28313.868145051252</v>
      </c>
      <c r="J284" s="485">
        <f>IF(OR(I284="NA",I284="contact vendor"),"--",C284*I284)</f>
        <v>28313.868145051252</v>
      </c>
      <c r="K284" s="120">
        <f>IF(C284="NA","NA",VLOOKUP(build1_heat_mbh,hvac_gas_cost_cl,IF(ss_cat="large",4,5)))</f>
        <v>25</v>
      </c>
      <c r="L284" s="324">
        <v>1</v>
      </c>
      <c r="M284" s="27" t="str">
        <f>B275&amp;" - "&amp;B276&amp;" - "&amp;B281&amp;" - "&amp;B284</f>
        <v>Building Structures and HVAC - Building 1 - Heating System - Natural gas condensing furnace</v>
      </c>
      <c r="N284" s="5">
        <f t="shared" si="222"/>
        <v>1</v>
      </c>
      <c r="O284" s="5">
        <f t="shared" si="222"/>
        <v>1</v>
      </c>
      <c r="P284" s="5">
        <f t="shared" si="222"/>
        <v>1</v>
      </c>
      <c r="Q284" s="5">
        <f t="shared" si="222"/>
        <v>1</v>
      </c>
      <c r="R284" s="5">
        <f t="shared" si="222"/>
        <v>1</v>
      </c>
      <c r="S284" s="5">
        <f t="shared" si="222"/>
        <v>1</v>
      </c>
      <c r="T284" s="5">
        <f t="shared" si="222"/>
        <v>1</v>
      </c>
      <c r="U284" s="5">
        <f t="shared" si="222"/>
        <v>1</v>
      </c>
      <c r="V284" s="5">
        <f t="shared" si="222"/>
        <v>1</v>
      </c>
      <c r="W284" s="445">
        <v>0</v>
      </c>
      <c r="X284" s="414">
        <f t="shared" si="223"/>
        <v>1</v>
      </c>
      <c r="Y284" s="414">
        <f t="shared" si="223"/>
        <v>1</v>
      </c>
      <c r="Z284" s="414">
        <f t="shared" si="223"/>
        <v>1</v>
      </c>
      <c r="AA284" s="414">
        <f t="shared" si="223"/>
        <v>1</v>
      </c>
      <c r="AB284" s="414">
        <f t="shared" si="223"/>
        <v>1</v>
      </c>
      <c r="AC284" s="414">
        <f t="shared" si="223"/>
        <v>1</v>
      </c>
      <c r="AD284" s="414">
        <f t="shared" si="223"/>
        <v>1</v>
      </c>
      <c r="AE284" s="414">
        <f t="shared" si="223"/>
        <v>1</v>
      </c>
      <c r="AF284" s="414">
        <f t="shared" si="223"/>
        <v>1</v>
      </c>
      <c r="AG284">
        <f t="shared" si="198"/>
        <v>1</v>
      </c>
      <c r="AH284">
        <f t="shared" si="199"/>
        <v>1132.5547258020501</v>
      </c>
    </row>
    <row r="285" spans="1:36">
      <c r="A285" s="329" t="s">
        <v>2405</v>
      </c>
      <c r="B285" s="481" t="s">
        <v>1297</v>
      </c>
      <c r="C285" s="482">
        <f>IF(build1_heat="heat pump","NA",IF(build1_need_heat,build1_zones,"NA"))</f>
        <v>1</v>
      </c>
      <c r="D285" s="483" t="str">
        <f>IF(C285="NA","","zones")</f>
        <v>zones</v>
      </c>
      <c r="E285" s="330">
        <f>IF(C285="NA","NA",build1_heat_mbh)</f>
        <v>101.18601398424175</v>
      </c>
      <c r="F285" s="483" t="str">
        <f>IF(C285="NA","","MBH")</f>
        <v>MBH</v>
      </c>
      <c r="G285" s="330">
        <f>IF(C285="NA","NA",IF(curve=1,build1_heat_mbh,VLOOKUP(E285,hvac_oil_std_cost_cl,2)))</f>
        <v>101.18601398424175</v>
      </c>
      <c r="H285" s="483" t="str">
        <f>IF(C285="NA","","MBH")</f>
        <v>MBH</v>
      </c>
      <c r="I285" s="486">
        <f>IF(C285="NA","NA",IF(curve=1,hvac_oil_std_eq_1,VLOOKUP(build1_heat_mbh,hvac_oil_std_cost_cl,3)))</f>
        <v>31873.565370149812</v>
      </c>
      <c r="J285" s="485">
        <f>IF(OR(I285="NA",I285="contact vendor"),"--",C285*I285)</f>
        <v>31873.565370149812</v>
      </c>
      <c r="K285" s="120">
        <f>IF(C285="NA","NA",VLOOKUP(build1_heat_mbh,hvac_oil_std_cost_cl,IF(ss_cat="large",4,5)))</f>
        <v>25</v>
      </c>
      <c r="L285" s="324">
        <v>0</v>
      </c>
      <c r="M285" s="27" t="str">
        <f>B275&amp;" - "&amp;B276&amp;" - "&amp;B281&amp;" - "&amp;B285</f>
        <v>Building Structures and HVAC - Building 1 - Heating System - Standard efficiency oil furnace</v>
      </c>
      <c r="N285" s="5">
        <f t="shared" si="222"/>
        <v>0</v>
      </c>
      <c r="O285" s="5">
        <f t="shared" si="222"/>
        <v>0</v>
      </c>
      <c r="P285" s="5">
        <f t="shared" si="222"/>
        <v>0</v>
      </c>
      <c r="Q285" s="5">
        <f t="shared" si="222"/>
        <v>0</v>
      </c>
      <c r="R285" s="5">
        <f t="shared" si="222"/>
        <v>0</v>
      </c>
      <c r="S285" s="5">
        <f t="shared" si="222"/>
        <v>0</v>
      </c>
      <c r="T285" s="5">
        <f t="shared" si="222"/>
        <v>0</v>
      </c>
      <c r="U285" s="5">
        <f t="shared" si="222"/>
        <v>0</v>
      </c>
      <c r="V285" s="5">
        <f t="shared" si="222"/>
        <v>0</v>
      </c>
      <c r="W285" s="445">
        <v>0</v>
      </c>
      <c r="X285" s="414">
        <f t="shared" si="223"/>
        <v>0</v>
      </c>
      <c r="Y285" s="414">
        <f t="shared" si="223"/>
        <v>0</v>
      </c>
      <c r="Z285" s="414">
        <f t="shared" si="223"/>
        <v>0</v>
      </c>
      <c r="AA285" s="414">
        <f t="shared" si="223"/>
        <v>0</v>
      </c>
      <c r="AB285" s="414">
        <f t="shared" si="223"/>
        <v>0</v>
      </c>
      <c r="AC285" s="414">
        <f t="shared" si="223"/>
        <v>0</v>
      </c>
      <c r="AD285" s="414">
        <f t="shared" si="223"/>
        <v>0</v>
      </c>
      <c r="AE285" s="414">
        <f t="shared" si="223"/>
        <v>0</v>
      </c>
      <c r="AF285" s="414">
        <f t="shared" si="223"/>
        <v>0</v>
      </c>
      <c r="AG285">
        <f t="shared" si="198"/>
        <v>0</v>
      </c>
      <c r="AH285">
        <f t="shared" si="199"/>
        <v>0</v>
      </c>
    </row>
    <row r="286" spans="1:36">
      <c r="A286" s="329" t="s">
        <v>2405</v>
      </c>
      <c r="B286" s="481" t="s">
        <v>1298</v>
      </c>
      <c r="C286" s="482">
        <f>IF(build1_heat="heat pump","NA",IF(build1_need_heat,build1_zones,"NA"))</f>
        <v>1</v>
      </c>
      <c r="D286" s="483" t="str">
        <f>IF(C286="NA","","zones")</f>
        <v>zones</v>
      </c>
      <c r="E286" s="330">
        <f>IF(C286="NA","NA",build1_heat_mbh)</f>
        <v>101.18601398424175</v>
      </c>
      <c r="F286" s="483" t="str">
        <f>IF(C286="NA","","MBH")</f>
        <v>MBH</v>
      </c>
      <c r="G286" s="330">
        <f>IF(C286="NA","NA",IF(curve=1,build1_heat_mbh,VLOOKUP(build1_heat_mbh,hvac_oil_mid_cost_cl,2)))</f>
        <v>101.18601398424175</v>
      </c>
      <c r="H286" s="483" t="str">
        <f>IF(C286="NA","","MBH")</f>
        <v>MBH</v>
      </c>
      <c r="I286" s="486">
        <f>IF(C286="NA","NA",IF(curve=1,hvac_oil_mid_eq_1,VLOOKUP(build1_heat_mbh,hvac_oil_mid_cost_cl,3)))</f>
        <v>31873.565370149812</v>
      </c>
      <c r="J286" s="485">
        <f>IF(OR(I286="NA",I286="contact vendor"),"--",C286*I286)</f>
        <v>31873.565370149812</v>
      </c>
      <c r="K286" s="120">
        <f>IF(C286="NA","NA",VLOOKUP(build1_heat_mbh,hvac_oil_mid_cost_cl,IF(ss_cat="large",4,5)))</f>
        <v>25</v>
      </c>
      <c r="L286" s="324">
        <v>0</v>
      </c>
      <c r="M286" s="27" t="str">
        <f>B275&amp;" - "&amp;B276&amp;" - "&amp;B281&amp;" - "&amp;B286</f>
        <v>Building Structures and HVAC - Building 1 - Heating System - Mid-efficiency oil furnace</v>
      </c>
      <c r="N286" s="5">
        <f t="shared" si="222"/>
        <v>0</v>
      </c>
      <c r="O286" s="5">
        <f t="shared" si="222"/>
        <v>0</v>
      </c>
      <c r="P286" s="5">
        <f t="shared" si="222"/>
        <v>0</v>
      </c>
      <c r="Q286" s="5">
        <f t="shared" si="222"/>
        <v>0</v>
      </c>
      <c r="R286" s="5">
        <f t="shared" si="222"/>
        <v>0</v>
      </c>
      <c r="S286" s="5">
        <f t="shared" si="222"/>
        <v>0</v>
      </c>
      <c r="T286" s="5">
        <f t="shared" si="222"/>
        <v>0</v>
      </c>
      <c r="U286" s="5">
        <f t="shared" si="222"/>
        <v>0</v>
      </c>
      <c r="V286" s="5">
        <f t="shared" si="222"/>
        <v>0</v>
      </c>
      <c r="W286" s="445">
        <v>0</v>
      </c>
      <c r="X286" s="414">
        <f t="shared" si="223"/>
        <v>0</v>
      </c>
      <c r="Y286" s="414">
        <f t="shared" si="223"/>
        <v>0</v>
      </c>
      <c r="Z286" s="414">
        <f t="shared" si="223"/>
        <v>0</v>
      </c>
      <c r="AA286" s="414">
        <f t="shared" si="223"/>
        <v>0</v>
      </c>
      <c r="AB286" s="414">
        <f t="shared" si="223"/>
        <v>0</v>
      </c>
      <c r="AC286" s="414">
        <f t="shared" si="223"/>
        <v>0</v>
      </c>
      <c r="AD286" s="414">
        <f t="shared" si="223"/>
        <v>0</v>
      </c>
      <c r="AE286" s="414">
        <f t="shared" si="223"/>
        <v>0</v>
      </c>
      <c r="AF286" s="414">
        <f t="shared" si="223"/>
        <v>0</v>
      </c>
      <c r="AG286">
        <f t="shared" si="198"/>
        <v>0</v>
      </c>
      <c r="AH286">
        <f t="shared" si="199"/>
        <v>0</v>
      </c>
    </row>
    <row r="287" spans="1:36">
      <c r="A287" s="197" t="s">
        <v>2406</v>
      </c>
      <c r="B287" s="668" t="str">
        <f>IF(build1_heat="heat pump","Heating and ","")&amp;"Cooling System"</f>
        <v>Cooling System</v>
      </c>
      <c r="C287" s="234"/>
      <c r="D287" s="671"/>
      <c r="E287" s="234"/>
      <c r="F287" s="671"/>
      <c r="G287" s="234"/>
      <c r="H287" s="671"/>
      <c r="I287" s="234"/>
      <c r="J287" s="234"/>
      <c r="K287" s="234"/>
      <c r="L287" s="200"/>
      <c r="N287" s="5"/>
      <c r="O287" s="5"/>
      <c r="P287" s="5"/>
      <c r="Q287" s="5"/>
      <c r="R287" s="5"/>
      <c r="S287" s="5"/>
      <c r="T287" s="5"/>
      <c r="U287" s="5"/>
      <c r="V287" s="5"/>
      <c r="W287" s="445"/>
      <c r="AG287">
        <f t="shared" si="198"/>
        <v>0</v>
      </c>
      <c r="AH287">
        <f t="shared" si="199"/>
        <v>0</v>
      </c>
    </row>
    <row r="288" spans="1:36">
      <c r="A288" s="329" t="s">
        <v>2407</v>
      </c>
      <c r="B288" s="481" t="s">
        <v>1144</v>
      </c>
      <c r="C288" s="482" t="str">
        <f>IF(build1_need_cool,build1_zones,"NA")</f>
        <v>NA</v>
      </c>
      <c r="D288" s="483" t="str">
        <f>IF(C288="NA","","zones")</f>
        <v/>
      </c>
      <c r="E288" s="487" t="str">
        <f>IF(C288="NA","NA",build1_cooling_tons)</f>
        <v>NA</v>
      </c>
      <c r="F288" s="483" t="str">
        <f>IF(C288="NA","","tons")</f>
        <v/>
      </c>
      <c r="G288" s="487" t="str">
        <f>IF(C288="NA","NA",IF(curve=1,build1_cooling_tons,VLOOKUP(build1_cooling_tons,hvac_ac_cost_cl,2)))</f>
        <v>NA</v>
      </c>
      <c r="H288" s="483" t="str">
        <f>IF(C288="NA","","tons")</f>
        <v/>
      </c>
      <c r="I288" s="486" t="str">
        <f>IF(C288="NA","NA",IF(curve=1,hvac_ac_eq_1,VLOOKUP(build1_cooling_tons,hvac_ac_cost_cl,3)))</f>
        <v>NA</v>
      </c>
      <c r="J288" s="485" t="str">
        <f>IF(OR(I288="NA",I288="contact vendor"),"--",C288*I288)</f>
        <v>--</v>
      </c>
      <c r="K288" s="120" t="str">
        <f>IF(C288="NA","NA",VLOOKUP(build1_cooling_tons,hvac_ac_cost_cl,IF(ss_cat="large",4,5)))</f>
        <v>NA</v>
      </c>
      <c r="L288" s="324"/>
      <c r="M288" s="27" t="str">
        <f>B275&amp;" - "&amp;B276&amp;" - "&amp;B287&amp;" - "&amp;B288</f>
        <v>Building Structures and HVAC - Building 1 - Cooling System - Air conditioner</v>
      </c>
      <c r="N288" s="5">
        <f t="shared" ref="N288:V289" si="224">IF(include_HVAC=0,0,IF(retrofit=1,$W288*X288,IF(ISBLANK(X288),"",X288)))</f>
        <v>0</v>
      </c>
      <c r="O288" s="5">
        <f t="shared" si="224"/>
        <v>0</v>
      </c>
      <c r="P288" s="5">
        <f t="shared" si="224"/>
        <v>0</v>
      </c>
      <c r="Q288" s="5">
        <f t="shared" si="224"/>
        <v>0</v>
      </c>
      <c r="R288" s="5">
        <f t="shared" si="224"/>
        <v>0</v>
      </c>
      <c r="S288" s="5">
        <f t="shared" si="224"/>
        <v>0</v>
      </c>
      <c r="T288" s="5">
        <f t="shared" si="224"/>
        <v>0</v>
      </c>
      <c r="U288" s="5">
        <f t="shared" si="224"/>
        <v>0</v>
      </c>
      <c r="V288" s="5">
        <f t="shared" si="224"/>
        <v>0</v>
      </c>
      <c r="W288" s="445">
        <v>0</v>
      </c>
      <c r="X288" s="414">
        <f t="shared" ref="X288:AF289" si="225">IF(build1_cool=$B288,1,0)</f>
        <v>0</v>
      </c>
      <c r="Y288" s="414">
        <f t="shared" si="225"/>
        <v>0</v>
      </c>
      <c r="Z288" s="414">
        <f t="shared" si="225"/>
        <v>0</v>
      </c>
      <c r="AA288" s="414">
        <f t="shared" si="225"/>
        <v>0</v>
      </c>
      <c r="AB288" s="414">
        <f t="shared" si="225"/>
        <v>0</v>
      </c>
      <c r="AC288" s="414">
        <f t="shared" si="225"/>
        <v>0</v>
      </c>
      <c r="AD288" s="414">
        <f t="shared" si="225"/>
        <v>0</v>
      </c>
      <c r="AE288" s="414">
        <f t="shared" si="225"/>
        <v>0</v>
      </c>
      <c r="AF288" s="414">
        <f t="shared" si="225"/>
        <v>0</v>
      </c>
      <c r="AG288">
        <f t="shared" si="198"/>
        <v>0</v>
      </c>
      <c r="AH288">
        <f t="shared" si="199"/>
        <v>0</v>
      </c>
    </row>
    <row r="289" spans="1:36">
      <c r="A289" s="329" t="s">
        <v>2407</v>
      </c>
      <c r="B289" s="481" t="s">
        <v>611</v>
      </c>
      <c r="C289" s="482" t="str">
        <f>IF(AND(hp_ok_1,build1_need_cool),build1_zones,"NA")</f>
        <v>NA</v>
      </c>
      <c r="D289" s="483" t="str">
        <f>IF(C289="NA","","zones")</f>
        <v/>
      </c>
      <c r="E289" s="487" t="str">
        <f>IF(C289="NA","NA",build1_cooling_tons)</f>
        <v>NA</v>
      </c>
      <c r="F289" s="483" t="str">
        <f>IF(C289="NA","","tons")</f>
        <v/>
      </c>
      <c r="G289" s="487" t="str">
        <f>IF(C289="NA","NA",IF(curve=1,build1_cooling_tons,VLOOKUP(build1_cooling_tons,hvac_hp_cost_cl,2)))</f>
        <v>NA</v>
      </c>
      <c r="H289" s="483" t="str">
        <f>IF(C289="NA","","tons")</f>
        <v/>
      </c>
      <c r="I289" s="486" t="str">
        <f>IF(C289="NA","NA",IF(curve=1,hvac_hp_eq_1,VLOOKUP(build1_cooling_tons,hvac_hp_cost_cl,3)))</f>
        <v>NA</v>
      </c>
      <c r="J289" s="485" t="str">
        <f>IF(OR(I289="NA",I289="contact vendor"),"--",C289*I289)</f>
        <v>--</v>
      </c>
      <c r="K289" s="120" t="str">
        <f>IF(C289="NA","NA",VLOOKUP(build1_cooling_tons,hvac_hp_cost_cl,IF(ss_cat="large",4,5)))</f>
        <v>NA</v>
      </c>
      <c r="L289" s="324"/>
      <c r="M289" s="27" t="str">
        <f>B275&amp;" - "&amp;B276&amp;" - "&amp;B287&amp;" - "&amp;B289</f>
        <v>Building Structures and HVAC - Building 1 - Cooling System - Heat pump</v>
      </c>
      <c r="N289" s="5">
        <f t="shared" si="224"/>
        <v>0</v>
      </c>
      <c r="O289" s="5">
        <f t="shared" si="224"/>
        <v>0</v>
      </c>
      <c r="P289" s="5">
        <f t="shared" si="224"/>
        <v>0</v>
      </c>
      <c r="Q289" s="5">
        <f t="shared" si="224"/>
        <v>0</v>
      </c>
      <c r="R289" s="5">
        <f t="shared" si="224"/>
        <v>0</v>
      </c>
      <c r="S289" s="5">
        <f t="shared" si="224"/>
        <v>0</v>
      </c>
      <c r="T289" s="5">
        <f t="shared" si="224"/>
        <v>0</v>
      </c>
      <c r="U289" s="5">
        <f t="shared" si="224"/>
        <v>0</v>
      </c>
      <c r="V289" s="5">
        <f t="shared" si="224"/>
        <v>0</v>
      </c>
      <c r="W289" s="445">
        <v>0</v>
      </c>
      <c r="X289" s="414">
        <f t="shared" si="225"/>
        <v>0</v>
      </c>
      <c r="Y289" s="414">
        <f t="shared" si="225"/>
        <v>0</v>
      </c>
      <c r="Z289" s="414">
        <f t="shared" si="225"/>
        <v>0</v>
      </c>
      <c r="AA289" s="414">
        <f t="shared" si="225"/>
        <v>0</v>
      </c>
      <c r="AB289" s="414">
        <f t="shared" si="225"/>
        <v>0</v>
      </c>
      <c r="AC289" s="414">
        <f t="shared" si="225"/>
        <v>0</v>
      </c>
      <c r="AD289" s="414">
        <f t="shared" si="225"/>
        <v>0</v>
      </c>
      <c r="AE289" s="414">
        <f t="shared" si="225"/>
        <v>0</v>
      </c>
      <c r="AF289" s="414">
        <f t="shared" si="225"/>
        <v>0</v>
      </c>
      <c r="AG289">
        <f t="shared" si="198"/>
        <v>0</v>
      </c>
      <c r="AH289">
        <f t="shared" si="199"/>
        <v>0</v>
      </c>
    </row>
    <row r="290" spans="1:36">
      <c r="A290" s="197">
        <v>14.2</v>
      </c>
      <c r="B290" s="480" t="s">
        <v>389</v>
      </c>
      <c r="C290" s="234"/>
      <c r="D290" s="671"/>
      <c r="E290" s="234"/>
      <c r="F290" s="671"/>
      <c r="G290" s="234"/>
      <c r="H290" s="671"/>
      <c r="I290" s="234"/>
      <c r="J290" s="234"/>
      <c r="K290" s="234"/>
      <c r="L290" s="200"/>
      <c r="N290" s="5"/>
      <c r="O290" s="5"/>
      <c r="P290" s="5"/>
      <c r="Q290" s="5"/>
      <c r="R290" s="5"/>
      <c r="S290" s="5"/>
      <c r="T290" s="5"/>
      <c r="U290" s="5"/>
      <c r="V290" s="5"/>
      <c r="W290" s="445"/>
      <c r="AG290">
        <f t="shared" si="198"/>
        <v>0</v>
      </c>
      <c r="AH290">
        <f t="shared" si="199"/>
        <v>0</v>
      </c>
    </row>
    <row r="291" spans="1:36">
      <c r="A291" s="329" t="s">
        <v>2408</v>
      </c>
      <c r="B291" s="481" t="s">
        <v>1220</v>
      </c>
      <c r="C291" s="482">
        <f>IF(AND(build2_fp&gt;0,build2_fp&lt;500),1,0)</f>
        <v>0</v>
      </c>
      <c r="D291" s="483" t="s">
        <v>2222</v>
      </c>
      <c r="E291" s="519">
        <f>build2_fp</f>
        <v>0</v>
      </c>
      <c r="F291" s="483" t="s">
        <v>2856</v>
      </c>
      <c r="G291" s="519">
        <f>build2_fp</f>
        <v>0</v>
      </c>
      <c r="H291" s="483" t="s">
        <v>2856</v>
      </c>
      <c r="I291" s="484" t="str">
        <f>IF(C291=0,"NA",VLOOKUP(build2_fp,bldg_shed_cost_cl,3))</f>
        <v>NA</v>
      </c>
      <c r="J291" s="485" t="str">
        <f>IF(OR(I291="NA",I291="contact vendor"),"--",G291*I291)</f>
        <v>--</v>
      </c>
      <c r="K291" s="120" t="str">
        <f>IF($C291=0,"N/A",VLOOKUP(build2_fp,bldg_shed_cost_cl,IF(ss_cat="large",4,5)))</f>
        <v>N/A</v>
      </c>
      <c r="L291" s="324"/>
      <c r="M291" s="27" t="str">
        <f>B275&amp;" - "&amp;B290&amp;" - "&amp;B291</f>
        <v>Building Structures and HVAC - Building 2 - Small Low Cost Shed</v>
      </c>
      <c r="N291" s="5">
        <f t="shared" si="212"/>
        <v>0</v>
      </c>
      <c r="O291" s="5">
        <f t="shared" si="213"/>
        <v>0</v>
      </c>
      <c r="P291" s="5">
        <f t="shared" si="214"/>
        <v>0</v>
      </c>
      <c r="Q291" s="5">
        <f t="shared" si="215"/>
        <v>0</v>
      </c>
      <c r="R291" s="5">
        <f t="shared" si="216"/>
        <v>0</v>
      </c>
      <c r="S291" s="5">
        <f t="shared" si="217"/>
        <v>0</v>
      </c>
      <c r="T291" s="5">
        <f t="shared" si="218"/>
        <v>0</v>
      </c>
      <c r="U291" s="5">
        <f t="shared" si="219"/>
        <v>0</v>
      </c>
      <c r="V291" s="5">
        <f t="shared" si="220"/>
        <v>0</v>
      </c>
      <c r="W291" s="445">
        <v>0</v>
      </c>
      <c r="X291" s="414">
        <f t="shared" ref="X291:AF291" si="226">IF(include_buildings=1,2,0)</f>
        <v>0</v>
      </c>
      <c r="Y291" s="414">
        <f t="shared" si="226"/>
        <v>0</v>
      </c>
      <c r="Z291" s="414">
        <f t="shared" si="226"/>
        <v>0</v>
      </c>
      <c r="AA291" s="414">
        <f t="shared" si="226"/>
        <v>0</v>
      </c>
      <c r="AB291" s="414">
        <f t="shared" si="226"/>
        <v>0</v>
      </c>
      <c r="AC291" s="414">
        <f t="shared" si="226"/>
        <v>0</v>
      </c>
      <c r="AD291" s="414">
        <f t="shared" si="226"/>
        <v>0</v>
      </c>
      <c r="AE291" s="414">
        <f t="shared" si="226"/>
        <v>0</v>
      </c>
      <c r="AF291" s="414">
        <f t="shared" si="226"/>
        <v>0</v>
      </c>
      <c r="AG291">
        <f t="shared" si="198"/>
        <v>0</v>
      </c>
      <c r="AH291">
        <f t="shared" si="199"/>
        <v>0</v>
      </c>
      <c r="AJ291">
        <f>IF(AG291,K291,0)</f>
        <v>0</v>
      </c>
    </row>
    <row r="292" spans="1:36">
      <c r="A292" s="329" t="s">
        <v>2408</v>
      </c>
      <c r="B292" s="481" t="s">
        <v>1221</v>
      </c>
      <c r="C292" s="482">
        <f>IF(build2_fp&gt;=500,1,0)</f>
        <v>0</v>
      </c>
      <c r="D292" s="483" t="s">
        <v>2222</v>
      </c>
      <c r="E292" s="519">
        <f>build2_fp</f>
        <v>0</v>
      </c>
      <c r="F292" s="483" t="s">
        <v>2856</v>
      </c>
      <c r="G292" s="519">
        <f>build2_fp</f>
        <v>0</v>
      </c>
      <c r="H292" s="483" t="s">
        <v>2856</v>
      </c>
      <c r="I292" s="484" t="str">
        <f>IF(C292=0,"NA",IF(curve=1,bldg_lo_eq_2,VLOOKUP(build2_fp, bldg_lo_cost_cl,3)))</f>
        <v>NA</v>
      </c>
      <c r="J292" s="485" t="str">
        <f>IF(OR(I292="NA",I292="contact vendor"),"--",G292*I292)</f>
        <v>--</v>
      </c>
      <c r="K292" s="120" t="str">
        <f>IF($C292=0,"N/A",VLOOKUP(build2_fp,bldg_lo_cost_cl,IF(ss_cat="large",4,5)))</f>
        <v>N/A</v>
      </c>
      <c r="L292" s="324"/>
      <c r="M292" s="27" t="str">
        <f>B275&amp;" - "&amp;B290&amp;" - "&amp;B292</f>
        <v>Building Structures and HVAC - Building 2 - Low Quality</v>
      </c>
      <c r="N292" s="5">
        <f t="shared" si="212"/>
        <v>0</v>
      </c>
      <c r="O292" s="5" t="str">
        <f t="shared" si="213"/>
        <v/>
      </c>
      <c r="P292" s="5" t="str">
        <f t="shared" si="214"/>
        <v/>
      </c>
      <c r="Q292" s="5">
        <f t="shared" si="215"/>
        <v>0</v>
      </c>
      <c r="R292" s="5" t="str">
        <f t="shared" si="216"/>
        <v/>
      </c>
      <c r="S292" s="5" t="str">
        <f t="shared" si="217"/>
        <v/>
      </c>
      <c r="T292" s="5">
        <f t="shared" si="218"/>
        <v>0</v>
      </c>
      <c r="U292" s="5" t="str">
        <f t="shared" si="219"/>
        <v/>
      </c>
      <c r="V292" s="5" t="str">
        <f t="shared" si="220"/>
        <v/>
      </c>
      <c r="W292" s="445">
        <v>0</v>
      </c>
      <c r="X292" s="414">
        <f>include_buildings</f>
        <v>0</v>
      </c>
      <c r="AA292" s="414">
        <f>include_buildings</f>
        <v>0</v>
      </c>
      <c r="AC292" s="932"/>
      <c r="AD292" s="414">
        <f>include_buildings</f>
        <v>0</v>
      </c>
      <c r="AE292" s="932"/>
      <c r="AG292">
        <f t="shared" si="198"/>
        <v>0</v>
      </c>
      <c r="AH292">
        <f t="shared" si="199"/>
        <v>0</v>
      </c>
      <c r="AJ292">
        <f>IF(AG292,K292,0)</f>
        <v>0</v>
      </c>
    </row>
    <row r="293" spans="1:36">
      <c r="A293" s="329" t="s">
        <v>2408</v>
      </c>
      <c r="B293" s="481" t="s">
        <v>1222</v>
      </c>
      <c r="C293" s="482">
        <f>IF(build2_fp&gt;=500,1,0)</f>
        <v>0</v>
      </c>
      <c r="D293" s="483" t="s">
        <v>2222</v>
      </c>
      <c r="E293" s="519">
        <f>build2_fp</f>
        <v>0</v>
      </c>
      <c r="F293" s="483" t="s">
        <v>2856</v>
      </c>
      <c r="G293" s="519">
        <f>build2_fp</f>
        <v>0</v>
      </c>
      <c r="H293" s="483" t="s">
        <v>2856</v>
      </c>
      <c r="I293" s="484" t="str">
        <f>IF(C293=0,"NA",IF(curve=1,bldg_mid_eq_2,VLOOKUP(build2_fp, bldg_mid_cost_cl,3)))</f>
        <v>NA</v>
      </c>
      <c r="J293" s="485" t="str">
        <f>IF(OR(I293="NA",I293="contact vendor"),"--",G293*I293)</f>
        <v>--</v>
      </c>
      <c r="K293" s="120" t="str">
        <f>IF($C293=0,"N/A",VLOOKUP(build2_fp,bldg_mid_cost_cl,IF(ss_cat="large",4,5)))</f>
        <v>N/A</v>
      </c>
      <c r="L293" s="324"/>
      <c r="M293" s="27" t="str">
        <f>B275&amp;" - "&amp;B290&amp;" - "&amp;B293</f>
        <v>Building Structures and HVAC - Building 2 - Medium Quality</v>
      </c>
      <c r="N293" s="5" t="str">
        <f t="shared" si="212"/>
        <v/>
      </c>
      <c r="O293" s="5">
        <f t="shared" si="213"/>
        <v>0</v>
      </c>
      <c r="P293" s="5" t="str">
        <f t="shared" si="214"/>
        <v/>
      </c>
      <c r="Q293" s="5" t="str">
        <f t="shared" si="215"/>
        <v/>
      </c>
      <c r="R293" s="5">
        <f t="shared" si="216"/>
        <v>0</v>
      </c>
      <c r="S293" s="5" t="str">
        <f t="shared" si="217"/>
        <v/>
      </c>
      <c r="T293" s="5" t="str">
        <f t="shared" si="218"/>
        <v/>
      </c>
      <c r="U293" s="5">
        <f t="shared" si="219"/>
        <v>0</v>
      </c>
      <c r="V293" s="5" t="str">
        <f t="shared" si="220"/>
        <v/>
      </c>
      <c r="W293" s="445">
        <v>0</v>
      </c>
      <c r="Y293" s="414">
        <f>include_buildings</f>
        <v>0</v>
      </c>
      <c r="AB293" s="414">
        <f>include_buildings</f>
        <v>0</v>
      </c>
      <c r="AC293" s="932"/>
      <c r="AD293" s="932"/>
      <c r="AE293" s="414">
        <f>include_buildings</f>
        <v>0</v>
      </c>
      <c r="AG293">
        <f t="shared" si="198"/>
        <v>0</v>
      </c>
      <c r="AH293">
        <f t="shared" si="199"/>
        <v>0</v>
      </c>
      <c r="AJ293">
        <f>IF(AG293,K293,0)</f>
        <v>0</v>
      </c>
    </row>
    <row r="294" spans="1:36">
      <c r="A294" s="329" t="s">
        <v>2408</v>
      </c>
      <c r="B294" s="481" t="s">
        <v>1223</v>
      </c>
      <c r="C294" s="482">
        <f>IF(build2_fp&gt;=500,1,0)</f>
        <v>0</v>
      </c>
      <c r="D294" s="483" t="s">
        <v>2222</v>
      </c>
      <c r="E294" s="519">
        <f>build2_fp</f>
        <v>0</v>
      </c>
      <c r="F294" s="483" t="s">
        <v>2856</v>
      </c>
      <c r="G294" s="519">
        <f>build2_fp</f>
        <v>0</v>
      </c>
      <c r="H294" s="483" t="s">
        <v>2856</v>
      </c>
      <c r="I294" s="484" t="str">
        <f>IF(C294=0,"NA",IF(curve=1,bldg_hi_eq_2,VLOOKUP(build2_fp, bldg_hi_cost_cl,3)))</f>
        <v>NA</v>
      </c>
      <c r="J294" s="485" t="str">
        <f>IF(OR(I294="NA",I294="contact vendor"),"--",G294*I294)</f>
        <v>--</v>
      </c>
      <c r="K294" s="120" t="str">
        <f>IF($C294=0,"N/A",VLOOKUP(build2_fp,bldg_hi_cost_cl,IF(ss_cat="large",4,5)))</f>
        <v>N/A</v>
      </c>
      <c r="L294" s="324"/>
      <c r="M294" s="27" t="str">
        <f>B275&amp;" - "&amp;B290&amp;" - "&amp;B294</f>
        <v>Building Structures and HVAC - Building 2 - High Quality</v>
      </c>
      <c r="N294" s="5" t="str">
        <f t="shared" si="212"/>
        <v/>
      </c>
      <c r="O294" s="5" t="str">
        <f t="shared" si="213"/>
        <v/>
      </c>
      <c r="P294" s="5">
        <f t="shared" si="214"/>
        <v>0</v>
      </c>
      <c r="Q294" s="5" t="str">
        <f t="shared" si="215"/>
        <v/>
      </c>
      <c r="R294" s="5" t="str">
        <f t="shared" si="216"/>
        <v/>
      </c>
      <c r="S294" s="5">
        <f t="shared" si="217"/>
        <v>0</v>
      </c>
      <c r="T294" s="5" t="str">
        <f t="shared" si="218"/>
        <v/>
      </c>
      <c r="U294" s="5" t="str">
        <f t="shared" si="219"/>
        <v/>
      </c>
      <c r="V294" s="5">
        <f t="shared" si="220"/>
        <v>0</v>
      </c>
      <c r="W294" s="445">
        <v>0</v>
      </c>
      <c r="Z294" s="414">
        <f>include_buildings</f>
        <v>0</v>
      </c>
      <c r="AC294" s="414">
        <f>include_buildings</f>
        <v>0</v>
      </c>
      <c r="AD294" s="932"/>
      <c r="AE294" s="932"/>
      <c r="AF294" s="414">
        <f>include_buildings</f>
        <v>0</v>
      </c>
      <c r="AG294">
        <f t="shared" si="198"/>
        <v>0</v>
      </c>
      <c r="AH294">
        <f t="shared" si="199"/>
        <v>0</v>
      </c>
      <c r="AJ294">
        <f>IF(AG294,K294,0)</f>
        <v>0</v>
      </c>
    </row>
    <row r="295" spans="1:36">
      <c r="A295" s="197" t="s">
        <v>2409</v>
      </c>
      <c r="B295" s="668" t="str">
        <f>"Heating System"&amp;IF(build2_heat="heat pump"," (included with cooling system)","")</f>
        <v>Heating System</v>
      </c>
      <c r="C295" s="234"/>
      <c r="D295" s="671"/>
      <c r="E295" s="234"/>
      <c r="F295" s="671"/>
      <c r="G295" s="234"/>
      <c r="H295" s="671"/>
      <c r="I295" s="234"/>
      <c r="J295" s="234"/>
      <c r="K295" s="234"/>
      <c r="L295" s="200"/>
      <c r="N295" s="5"/>
      <c r="O295" s="5"/>
      <c r="P295" s="5"/>
      <c r="Q295" s="5"/>
      <c r="R295" s="5"/>
      <c r="S295" s="5"/>
      <c r="T295" s="5"/>
      <c r="U295" s="5"/>
      <c r="V295" s="5"/>
      <c r="W295" s="445"/>
      <c r="AG295">
        <f t="shared" si="198"/>
        <v>0</v>
      </c>
      <c r="AH295">
        <f t="shared" si="199"/>
        <v>0</v>
      </c>
    </row>
    <row r="296" spans="1:36">
      <c r="A296" s="329" t="s">
        <v>2410</v>
      </c>
      <c r="B296" s="481" t="s">
        <v>1662</v>
      </c>
      <c r="C296" s="482" t="str">
        <f>IF(build2_heat="heat pump","NA",IF(build2_need_heat,build2_zones,"NA"))</f>
        <v>NA</v>
      </c>
      <c r="D296" s="483" t="str">
        <f>IF(C296="NA","","zones")</f>
        <v/>
      </c>
      <c r="E296" s="330" t="str">
        <f>IF(C296="NA","NA",build2_heat_mbh)</f>
        <v>NA</v>
      </c>
      <c r="F296" s="483" t="str">
        <f>IF(C296="NA","","MBH")</f>
        <v/>
      </c>
      <c r="G296" s="330" t="str">
        <f>IF(C296="NA","NA",IF(curve=1,build2_heat_mbh,VLOOKUP(build2_heat_mbh,hvac_elec_cost_cl,2)))</f>
        <v>NA</v>
      </c>
      <c r="H296" s="483" t="str">
        <f>IF(C296="NA","","MBH")</f>
        <v/>
      </c>
      <c r="I296" s="486" t="str">
        <f>IF(C296="NA","NA",IF(curve=1,hvac_elec_eq_2,VLOOKUP(build2_heat_mbh,hvac_elec_cost_cl,3)))</f>
        <v>NA</v>
      </c>
      <c r="J296" s="485" t="str">
        <f>IF(OR(I296="NA",I296="contact vendor"),"--",C296*I296)</f>
        <v>--</v>
      </c>
      <c r="K296" s="120" t="str">
        <f>IF(C296="NA","NA",VLOOKUP(build2_heat_mbh,hvac_elec_cost_cl,IF(ss_cat="large",4,5)))</f>
        <v>NA</v>
      </c>
      <c r="L296" s="324"/>
      <c r="M296" s="27" t="str">
        <f>B275&amp;" - "&amp;B290&amp;" - "&amp;B295&amp;" - "&amp;B296</f>
        <v>Building Structures and HVAC - Building 2 - Heating System - Electric resistance</v>
      </c>
      <c r="N296" s="5">
        <f t="shared" ref="N296:V300" si="227">IF(include_HVAC=0,0,IF(retrofit=1,$W296*X296,IF(ISBLANK(X296),"",X296)))</f>
        <v>0</v>
      </c>
      <c r="O296" s="5">
        <f t="shared" si="227"/>
        <v>0</v>
      </c>
      <c r="P296" s="5">
        <f t="shared" si="227"/>
        <v>0</v>
      </c>
      <c r="Q296" s="5">
        <f t="shared" si="227"/>
        <v>0</v>
      </c>
      <c r="R296" s="5">
        <f t="shared" si="227"/>
        <v>0</v>
      </c>
      <c r="S296" s="5">
        <f t="shared" si="227"/>
        <v>0</v>
      </c>
      <c r="T296" s="5">
        <f t="shared" si="227"/>
        <v>0</v>
      </c>
      <c r="U296" s="5">
        <f t="shared" si="227"/>
        <v>0</v>
      </c>
      <c r="V296" s="5">
        <f t="shared" si="227"/>
        <v>0</v>
      </c>
      <c r="W296" s="445">
        <v>0</v>
      </c>
      <c r="X296" s="414">
        <f t="shared" ref="X296:AF300" si="228">IF(build2_heat=$B296,1,0)</f>
        <v>0</v>
      </c>
      <c r="Y296" s="414">
        <f t="shared" si="228"/>
        <v>0</v>
      </c>
      <c r="Z296" s="414">
        <f t="shared" si="228"/>
        <v>0</v>
      </c>
      <c r="AA296" s="414">
        <f t="shared" si="228"/>
        <v>0</v>
      </c>
      <c r="AB296" s="414">
        <f t="shared" si="228"/>
        <v>0</v>
      </c>
      <c r="AC296" s="414">
        <f t="shared" si="228"/>
        <v>0</v>
      </c>
      <c r="AD296" s="414">
        <f t="shared" si="228"/>
        <v>0</v>
      </c>
      <c r="AE296" s="414">
        <f t="shared" si="228"/>
        <v>0</v>
      </c>
      <c r="AF296" s="414">
        <f t="shared" si="228"/>
        <v>0</v>
      </c>
      <c r="AG296">
        <f t="shared" si="198"/>
        <v>0</v>
      </c>
      <c r="AH296">
        <f t="shared" si="199"/>
        <v>0</v>
      </c>
    </row>
    <row r="297" spans="1:36">
      <c r="A297" s="329" t="s">
        <v>2410</v>
      </c>
      <c r="B297" s="481" t="s">
        <v>725</v>
      </c>
      <c r="C297" s="482" t="str">
        <f>IF(build2_heat="heat pump","NA",IF(build2_need_heat,build2_zones,"NA"))</f>
        <v>NA</v>
      </c>
      <c r="D297" s="483" t="str">
        <f>IF(C297="NA","","zones")</f>
        <v/>
      </c>
      <c r="E297" s="330" t="str">
        <f>IF(C297="NA","NA",build2_heat_mbh)</f>
        <v>NA</v>
      </c>
      <c r="F297" s="483" t="str">
        <f>IF(C297="NA","","MBH")</f>
        <v/>
      </c>
      <c r="G297" s="330" t="str">
        <f>IF(C297="NA","NA",IF(curve=1,build2_heat_mbh,VLOOKUP(build2_heat_mbh,hvac_gas_non_cost_cl,2)))</f>
        <v>NA</v>
      </c>
      <c r="H297" s="483" t="str">
        <f>IF(C297="NA","","MBH")</f>
        <v/>
      </c>
      <c r="I297" s="486" t="str">
        <f>IF(C297="NA","NA",IF(curve=1,hvac_gas_non_eq_2,VLOOKUP(build2_heat_mbh,hvac_gas_non_cost_cl,3)))</f>
        <v>NA</v>
      </c>
      <c r="J297" s="485" t="str">
        <f>IF(OR(I297="NA",I297="contact vendor"),"--",C297*I297)</f>
        <v>--</v>
      </c>
      <c r="K297" s="120" t="str">
        <f>IF(C297="NA","NA",VLOOKUP(build2_heat_mbh,hvac_gas_non_cost_cl,IF(ss_cat="large",4,5)))</f>
        <v>NA</v>
      </c>
      <c r="L297" s="324"/>
      <c r="M297" s="27" t="str">
        <f>B275&amp;" - "&amp;B290&amp;" - "&amp;B295&amp;" - "&amp;B297</f>
        <v>Building Structures and HVAC - Building 2 - Heating System - Natural gas non-condensing furnace</v>
      </c>
      <c r="N297" s="5">
        <f t="shared" si="227"/>
        <v>0</v>
      </c>
      <c r="O297" s="5">
        <f t="shared" si="227"/>
        <v>0</v>
      </c>
      <c r="P297" s="5">
        <f t="shared" si="227"/>
        <v>0</v>
      </c>
      <c r="Q297" s="5">
        <f t="shared" si="227"/>
        <v>0</v>
      </c>
      <c r="R297" s="5">
        <f t="shared" si="227"/>
        <v>0</v>
      </c>
      <c r="S297" s="5">
        <f t="shared" si="227"/>
        <v>0</v>
      </c>
      <c r="T297" s="5">
        <f t="shared" si="227"/>
        <v>0</v>
      </c>
      <c r="U297" s="5">
        <f t="shared" si="227"/>
        <v>0</v>
      </c>
      <c r="V297" s="5">
        <f t="shared" si="227"/>
        <v>0</v>
      </c>
      <c r="W297" s="445">
        <v>0</v>
      </c>
      <c r="X297" s="414">
        <f t="shared" si="228"/>
        <v>0</v>
      </c>
      <c r="Y297" s="414">
        <f t="shared" si="228"/>
        <v>0</v>
      </c>
      <c r="Z297" s="414">
        <f t="shared" si="228"/>
        <v>0</v>
      </c>
      <c r="AA297" s="414">
        <f t="shared" si="228"/>
        <v>0</v>
      </c>
      <c r="AB297" s="414">
        <f t="shared" si="228"/>
        <v>0</v>
      </c>
      <c r="AC297" s="414">
        <f t="shared" si="228"/>
        <v>0</v>
      </c>
      <c r="AD297" s="414">
        <f t="shared" si="228"/>
        <v>0</v>
      </c>
      <c r="AE297" s="414">
        <f t="shared" si="228"/>
        <v>0</v>
      </c>
      <c r="AF297" s="414">
        <f t="shared" si="228"/>
        <v>0</v>
      </c>
      <c r="AG297">
        <f t="shared" si="198"/>
        <v>0</v>
      </c>
      <c r="AH297">
        <f t="shared" si="199"/>
        <v>0</v>
      </c>
    </row>
    <row r="298" spans="1:36">
      <c r="A298" s="329" t="s">
        <v>2410</v>
      </c>
      <c r="B298" s="481" t="s">
        <v>726</v>
      </c>
      <c r="C298" s="482" t="str">
        <f>IF(build2_heat="heat pump","NA",IF(build2_need_heat,build2_zones,"NA"))</f>
        <v>NA</v>
      </c>
      <c r="D298" s="483" t="str">
        <f>IF(C298="NA","","zones")</f>
        <v/>
      </c>
      <c r="E298" s="330" t="str">
        <f>IF(C298="NA","NA",build2_heat_mbh)</f>
        <v>NA</v>
      </c>
      <c r="F298" s="483" t="str">
        <f>IF(C298="NA","","MBH")</f>
        <v/>
      </c>
      <c r="G298" s="330" t="str">
        <f>IF(C298="NA","NA",IF(curve=1,build2_heat_mbh,VLOOKUP(build2_heat_mbh,hvac_gas_cost_cl,2)))</f>
        <v>NA</v>
      </c>
      <c r="H298" s="483" t="str">
        <f>IF(C298="NA","","MBH")</f>
        <v/>
      </c>
      <c r="I298" s="486" t="str">
        <f>IF(C298="NA","NA",IF(curve=1,hvac_gas_eq_2,VLOOKUP(build2_heat_mbh,hvac_gas_cost_cl,3)))</f>
        <v>NA</v>
      </c>
      <c r="J298" s="485" t="str">
        <f>IF(OR(I298="NA",I298="contact vendor"),"--",C298*I298)</f>
        <v>--</v>
      </c>
      <c r="K298" s="120" t="str">
        <f>IF(C298="NA","NA",VLOOKUP(build2_heat_mbh,hvac_gas_cost_cl,IF(ss_cat="large",4,5)))</f>
        <v>NA</v>
      </c>
      <c r="L298" s="324"/>
      <c r="M298" s="27" t="str">
        <f>B275&amp;" - "&amp;B290&amp;" - "&amp;B295&amp;" - "&amp;B298</f>
        <v>Building Structures and HVAC - Building 2 - Heating System - Natural gas condensing furnace</v>
      </c>
      <c r="N298" s="5">
        <f t="shared" si="227"/>
        <v>0</v>
      </c>
      <c r="O298" s="5">
        <f t="shared" si="227"/>
        <v>0</v>
      </c>
      <c r="P298" s="5">
        <f t="shared" si="227"/>
        <v>0</v>
      </c>
      <c r="Q298" s="5">
        <f t="shared" si="227"/>
        <v>0</v>
      </c>
      <c r="R298" s="5">
        <f t="shared" si="227"/>
        <v>0</v>
      </c>
      <c r="S298" s="5">
        <f t="shared" si="227"/>
        <v>0</v>
      </c>
      <c r="T298" s="5">
        <f t="shared" si="227"/>
        <v>0</v>
      </c>
      <c r="U298" s="5">
        <f t="shared" si="227"/>
        <v>0</v>
      </c>
      <c r="V298" s="5">
        <f t="shared" si="227"/>
        <v>0</v>
      </c>
      <c r="W298" s="445">
        <v>0</v>
      </c>
      <c r="X298" s="414">
        <f t="shared" si="228"/>
        <v>0</v>
      </c>
      <c r="Y298" s="414">
        <f t="shared" si="228"/>
        <v>0</v>
      </c>
      <c r="Z298" s="414">
        <f t="shared" si="228"/>
        <v>0</v>
      </c>
      <c r="AA298" s="414">
        <f t="shared" si="228"/>
        <v>0</v>
      </c>
      <c r="AB298" s="414">
        <f t="shared" si="228"/>
        <v>0</v>
      </c>
      <c r="AC298" s="414">
        <f t="shared" si="228"/>
        <v>0</v>
      </c>
      <c r="AD298" s="414">
        <f t="shared" si="228"/>
        <v>0</v>
      </c>
      <c r="AE298" s="414">
        <f t="shared" si="228"/>
        <v>0</v>
      </c>
      <c r="AF298" s="414">
        <f t="shared" si="228"/>
        <v>0</v>
      </c>
      <c r="AG298">
        <f t="shared" si="198"/>
        <v>0</v>
      </c>
      <c r="AH298">
        <f t="shared" si="199"/>
        <v>0</v>
      </c>
    </row>
    <row r="299" spans="1:36">
      <c r="A299" s="329" t="s">
        <v>2410</v>
      </c>
      <c r="B299" s="481" t="s">
        <v>1297</v>
      </c>
      <c r="C299" s="482" t="str">
        <f>IF(build2_heat="heat pump","NA",IF(build2_need_heat,build2_zones,"NA"))</f>
        <v>NA</v>
      </c>
      <c r="D299" s="483" t="str">
        <f>IF(C299="NA","","zones")</f>
        <v/>
      </c>
      <c r="E299" s="330" t="str">
        <f>IF(C299="NA","NA",build2_heat_mbh)</f>
        <v>NA</v>
      </c>
      <c r="F299" s="483" t="str">
        <f>IF(C299="NA","","MBH")</f>
        <v/>
      </c>
      <c r="G299" s="330" t="str">
        <f>IF(C299="NA","NA",IF(curve=1,build2_heat_mbh,VLOOKUP(E299,hvac_oil_std_cost_cl,2)))</f>
        <v>NA</v>
      </c>
      <c r="H299" s="483" t="str">
        <f>IF(C299="NA","","MBH")</f>
        <v/>
      </c>
      <c r="I299" s="486" t="str">
        <f>IF(C299="NA","NA",IF(curve=1,hvac_oil_std_eq_2,VLOOKUP(build2_heat_mbh,hvac_oil_std_cost_cl,3)))</f>
        <v>NA</v>
      </c>
      <c r="J299" s="485" t="str">
        <f>IF(OR(I299="NA",I299="contact vendor"),"--",C299*I299)</f>
        <v>--</v>
      </c>
      <c r="K299" s="120" t="str">
        <f>IF(C299="NA","NA",VLOOKUP(build2_heat_mbh,hvac_oil_std_cost_cl,IF(ss_cat="large",4,5)))</f>
        <v>NA</v>
      </c>
      <c r="L299" s="324"/>
      <c r="M299" s="27" t="str">
        <f>B275&amp;" - "&amp;B290&amp;" - "&amp;B295&amp;" - "&amp;B299</f>
        <v>Building Structures and HVAC - Building 2 - Heating System - Standard efficiency oil furnace</v>
      </c>
      <c r="N299" s="5">
        <f t="shared" si="227"/>
        <v>0</v>
      </c>
      <c r="O299" s="5">
        <f t="shared" si="227"/>
        <v>0</v>
      </c>
      <c r="P299" s="5">
        <f t="shared" si="227"/>
        <v>0</v>
      </c>
      <c r="Q299" s="5">
        <f t="shared" si="227"/>
        <v>0</v>
      </c>
      <c r="R299" s="5">
        <f t="shared" si="227"/>
        <v>0</v>
      </c>
      <c r="S299" s="5">
        <f t="shared" si="227"/>
        <v>0</v>
      </c>
      <c r="T299" s="5">
        <f t="shared" si="227"/>
        <v>0</v>
      </c>
      <c r="U299" s="5">
        <f t="shared" si="227"/>
        <v>0</v>
      </c>
      <c r="V299" s="5">
        <f t="shared" si="227"/>
        <v>0</v>
      </c>
      <c r="W299" s="445">
        <v>0</v>
      </c>
      <c r="X299" s="414">
        <f t="shared" si="228"/>
        <v>0</v>
      </c>
      <c r="Y299" s="414">
        <f t="shared" si="228"/>
        <v>0</v>
      </c>
      <c r="Z299" s="414">
        <f t="shared" si="228"/>
        <v>0</v>
      </c>
      <c r="AA299" s="414">
        <f t="shared" si="228"/>
        <v>0</v>
      </c>
      <c r="AB299" s="414">
        <f t="shared" si="228"/>
        <v>0</v>
      </c>
      <c r="AC299" s="414">
        <f t="shared" si="228"/>
        <v>0</v>
      </c>
      <c r="AD299" s="414">
        <f t="shared" si="228"/>
        <v>0</v>
      </c>
      <c r="AE299" s="414">
        <f t="shared" si="228"/>
        <v>0</v>
      </c>
      <c r="AF299" s="414">
        <f t="shared" si="228"/>
        <v>0</v>
      </c>
      <c r="AG299">
        <f t="shared" si="198"/>
        <v>0</v>
      </c>
      <c r="AH299">
        <f t="shared" si="199"/>
        <v>0</v>
      </c>
    </row>
    <row r="300" spans="1:36">
      <c r="A300" s="329" t="s">
        <v>2410</v>
      </c>
      <c r="B300" s="481" t="s">
        <v>1298</v>
      </c>
      <c r="C300" s="482" t="str">
        <f>IF(build2_heat="heat pump","NA",IF(build2_need_heat,build2_zones,"NA"))</f>
        <v>NA</v>
      </c>
      <c r="D300" s="483" t="str">
        <f>IF(C300="NA","","zones")</f>
        <v/>
      </c>
      <c r="E300" s="330" t="str">
        <f>IF(C300="NA","NA",build2_heat_mbh)</f>
        <v>NA</v>
      </c>
      <c r="F300" s="483" t="str">
        <f>IF(C300="NA","","MBH")</f>
        <v/>
      </c>
      <c r="G300" s="330" t="str">
        <f>IF(C300="NA","NA",IF(curve=1,build2_heat_mbh,VLOOKUP(build2_heat_mbh,hvac_oil_mid_cost_cl,2)))</f>
        <v>NA</v>
      </c>
      <c r="H300" s="483" t="str">
        <f>IF(C300="NA","","MBH")</f>
        <v/>
      </c>
      <c r="I300" s="486" t="str">
        <f>IF(C300="NA","NA",IF(curve=1,hvac_oil_mid_eq_2,VLOOKUP(build2_heat_mbh,hvac_oil_mid_cost_cl,3)))</f>
        <v>NA</v>
      </c>
      <c r="J300" s="485" t="str">
        <f>IF(OR(I300="NA",I300="contact vendor"),"--",C300*I300)</f>
        <v>--</v>
      </c>
      <c r="K300" s="120" t="str">
        <f>IF(C300="NA","NA",VLOOKUP(build2_heat_mbh,hvac_oil_mid_cost_cl,IF(ss_cat="large",4,5)))</f>
        <v>NA</v>
      </c>
      <c r="L300" s="324"/>
      <c r="M300" s="27" t="str">
        <f>B275&amp;" - "&amp;B290&amp;" - "&amp;B295&amp;" - "&amp;B300</f>
        <v>Building Structures and HVAC - Building 2 - Heating System - Mid-efficiency oil furnace</v>
      </c>
      <c r="N300" s="5">
        <f t="shared" si="227"/>
        <v>0</v>
      </c>
      <c r="O300" s="5">
        <f t="shared" si="227"/>
        <v>0</v>
      </c>
      <c r="P300" s="5">
        <f t="shared" si="227"/>
        <v>0</v>
      </c>
      <c r="Q300" s="5">
        <f t="shared" si="227"/>
        <v>0</v>
      </c>
      <c r="R300" s="5">
        <f t="shared" si="227"/>
        <v>0</v>
      </c>
      <c r="S300" s="5">
        <f t="shared" si="227"/>
        <v>0</v>
      </c>
      <c r="T300" s="5">
        <f t="shared" si="227"/>
        <v>0</v>
      </c>
      <c r="U300" s="5">
        <f t="shared" si="227"/>
        <v>0</v>
      </c>
      <c r="V300" s="5">
        <f t="shared" si="227"/>
        <v>0</v>
      </c>
      <c r="W300" s="445">
        <v>0</v>
      </c>
      <c r="X300" s="414">
        <f t="shared" si="228"/>
        <v>0</v>
      </c>
      <c r="Y300" s="414">
        <f t="shared" si="228"/>
        <v>0</v>
      </c>
      <c r="Z300" s="414">
        <f t="shared" si="228"/>
        <v>0</v>
      </c>
      <c r="AA300" s="414">
        <f t="shared" si="228"/>
        <v>0</v>
      </c>
      <c r="AB300" s="414">
        <f t="shared" si="228"/>
        <v>0</v>
      </c>
      <c r="AC300" s="414">
        <f t="shared" si="228"/>
        <v>0</v>
      </c>
      <c r="AD300" s="414">
        <f t="shared" si="228"/>
        <v>0</v>
      </c>
      <c r="AE300" s="414">
        <f t="shared" si="228"/>
        <v>0</v>
      </c>
      <c r="AF300" s="414">
        <f t="shared" si="228"/>
        <v>0</v>
      </c>
      <c r="AG300">
        <f t="shared" si="198"/>
        <v>0</v>
      </c>
      <c r="AH300">
        <f t="shared" si="199"/>
        <v>0</v>
      </c>
    </row>
    <row r="301" spans="1:36">
      <c r="A301" s="197" t="s">
        <v>2411</v>
      </c>
      <c r="B301" s="668" t="str">
        <f>IF(build2_heat="heat pump","Heating and ","")&amp;"Cooling System"</f>
        <v>Cooling System</v>
      </c>
      <c r="C301" s="234"/>
      <c r="D301" s="671"/>
      <c r="E301" s="234"/>
      <c r="F301" s="671"/>
      <c r="G301" s="234"/>
      <c r="H301" s="671"/>
      <c r="I301" s="234"/>
      <c r="J301" s="234"/>
      <c r="K301" s="234"/>
      <c r="L301" s="200"/>
      <c r="N301" s="5"/>
      <c r="O301" s="5"/>
      <c r="P301" s="5"/>
      <c r="Q301" s="5"/>
      <c r="R301" s="5"/>
      <c r="S301" s="5"/>
      <c r="T301" s="5"/>
      <c r="U301" s="5"/>
      <c r="V301" s="5"/>
      <c r="W301" s="445"/>
      <c r="AG301">
        <f t="shared" si="198"/>
        <v>0</v>
      </c>
      <c r="AH301">
        <f t="shared" si="199"/>
        <v>0</v>
      </c>
    </row>
    <row r="302" spans="1:36">
      <c r="A302" s="329" t="s">
        <v>2412</v>
      </c>
      <c r="B302" s="481" t="s">
        <v>1144</v>
      </c>
      <c r="C302" s="482" t="str">
        <f>IF(build2_need_cool,build2_zones,"NA")</f>
        <v>NA</v>
      </c>
      <c r="D302" s="483" t="str">
        <f>IF(C302="NA","","zones")</f>
        <v/>
      </c>
      <c r="E302" s="487" t="str">
        <f>IF(C302="NA","NA",build2_cooling_tons)</f>
        <v>NA</v>
      </c>
      <c r="F302" s="483" t="str">
        <f>IF(C302="NA","","tons")</f>
        <v/>
      </c>
      <c r="G302" s="487" t="str">
        <f>IF(C302="NA","NA",IF(curve=1,build2_cooling_tons,VLOOKUP(build2_cooling_tons,hvac_ac_cost_cl,2)))</f>
        <v>NA</v>
      </c>
      <c r="H302" s="483" t="str">
        <f>IF(C302="NA","","tons")</f>
        <v/>
      </c>
      <c r="I302" s="486" t="str">
        <f>IF(C302="NA","NA",IF(curve=1,hvac_ac_eq_2,VLOOKUP(build2_cooling_tons,hvac_ac_cost_cl,3)))</f>
        <v>NA</v>
      </c>
      <c r="J302" s="485" t="str">
        <f>IF(OR(I302="NA",I302="contact vendor"),"--",C302*I302)</f>
        <v>--</v>
      </c>
      <c r="K302" s="120" t="str">
        <f>IF(C302="NA","NA",VLOOKUP(build2_cooling_tons,hvac_ac_cost_cl,IF(ss_cat="large",4,5)))</f>
        <v>NA</v>
      </c>
      <c r="L302" s="324"/>
      <c r="M302" s="27" t="str">
        <f>B275&amp;" - "&amp;B290&amp;" - "&amp;B301&amp;" - "&amp;B302</f>
        <v>Building Structures and HVAC - Building 2 - Cooling System - Air conditioner</v>
      </c>
      <c r="N302" s="5">
        <f t="shared" ref="N302:V303" si="229">IF(include_HVAC=0,0,IF(retrofit=1,$W302*X302,IF(ISBLANK(X302),"",X302)))</f>
        <v>0</v>
      </c>
      <c r="O302" s="5">
        <f t="shared" si="229"/>
        <v>0</v>
      </c>
      <c r="P302" s="5">
        <f t="shared" si="229"/>
        <v>0</v>
      </c>
      <c r="Q302" s="5">
        <f t="shared" si="229"/>
        <v>0</v>
      </c>
      <c r="R302" s="5">
        <f t="shared" si="229"/>
        <v>0</v>
      </c>
      <c r="S302" s="5">
        <f t="shared" si="229"/>
        <v>0</v>
      </c>
      <c r="T302" s="5">
        <f t="shared" si="229"/>
        <v>0</v>
      </c>
      <c r="U302" s="5">
        <f t="shared" si="229"/>
        <v>0</v>
      </c>
      <c r="V302" s="5">
        <f t="shared" si="229"/>
        <v>0</v>
      </c>
      <c r="W302" s="445">
        <v>0</v>
      </c>
      <c r="X302" s="414">
        <f t="shared" ref="X302:AF303" si="230">IF(build2_cool=$B302,1,0)</f>
        <v>0</v>
      </c>
      <c r="Y302" s="414">
        <f t="shared" si="230"/>
        <v>0</v>
      </c>
      <c r="Z302" s="414">
        <f t="shared" si="230"/>
        <v>0</v>
      </c>
      <c r="AA302" s="414">
        <f t="shared" si="230"/>
        <v>0</v>
      </c>
      <c r="AB302" s="414">
        <f t="shared" si="230"/>
        <v>0</v>
      </c>
      <c r="AC302" s="414">
        <f t="shared" si="230"/>
        <v>0</v>
      </c>
      <c r="AD302" s="414">
        <f t="shared" si="230"/>
        <v>0</v>
      </c>
      <c r="AE302" s="414">
        <f t="shared" si="230"/>
        <v>0</v>
      </c>
      <c r="AF302" s="414">
        <f t="shared" si="230"/>
        <v>0</v>
      </c>
      <c r="AG302">
        <f t="shared" si="198"/>
        <v>0</v>
      </c>
      <c r="AH302">
        <f t="shared" si="199"/>
        <v>0</v>
      </c>
    </row>
    <row r="303" spans="1:36">
      <c r="A303" s="329" t="s">
        <v>2412</v>
      </c>
      <c r="B303" s="481" t="s">
        <v>611</v>
      </c>
      <c r="C303" s="482" t="str">
        <f>IF(AND(hp_ok_2,build2_need_cool),build2_zones,"NA")</f>
        <v>NA</v>
      </c>
      <c r="D303" s="483" t="str">
        <f>IF(C303="NA","","zones")</f>
        <v/>
      </c>
      <c r="E303" s="487" t="str">
        <f>IF(C303="NA","NA",build2_cooling_tons)</f>
        <v>NA</v>
      </c>
      <c r="F303" s="483" t="str">
        <f>IF(C303="NA","","tons")</f>
        <v/>
      </c>
      <c r="G303" s="487" t="str">
        <f>IF(C303="NA","NA",IF(curve=1,build2_cooling_tons,VLOOKUP(build2_cooling_tons,hvac_hp_cost_cl,2)))</f>
        <v>NA</v>
      </c>
      <c r="H303" s="483" t="str">
        <f>IF(C303="NA","","tons")</f>
        <v/>
      </c>
      <c r="I303" s="486" t="str">
        <f>IF(C303="NA","NA",IF(curve=1,hvac_hp_eq_2,VLOOKUP(build2_cooling_tons,hvac_hp_cost_cl,3)))</f>
        <v>NA</v>
      </c>
      <c r="J303" s="485" t="str">
        <f>IF(OR(I303="NA",I303="contact vendor"),"--",C303*I303)</f>
        <v>--</v>
      </c>
      <c r="K303" s="120" t="str">
        <f>IF(C303="NA","NA",VLOOKUP(build2_cooling_tons,hvac_hp_cost_cl,IF(ss_cat="large",4,5)))</f>
        <v>NA</v>
      </c>
      <c r="L303" s="324"/>
      <c r="M303" s="27" t="str">
        <f>B275&amp;" - "&amp;B290&amp;" - "&amp;B301&amp;" - "&amp;B303</f>
        <v>Building Structures and HVAC - Building 2 - Cooling System - Heat pump</v>
      </c>
      <c r="N303" s="5">
        <f t="shared" si="229"/>
        <v>0</v>
      </c>
      <c r="O303" s="5">
        <f t="shared" si="229"/>
        <v>0</v>
      </c>
      <c r="P303" s="5">
        <f t="shared" si="229"/>
        <v>0</v>
      </c>
      <c r="Q303" s="5">
        <f t="shared" si="229"/>
        <v>0</v>
      </c>
      <c r="R303" s="5">
        <f t="shared" si="229"/>
        <v>0</v>
      </c>
      <c r="S303" s="5">
        <f t="shared" si="229"/>
        <v>0</v>
      </c>
      <c r="T303" s="5">
        <f t="shared" si="229"/>
        <v>0</v>
      </c>
      <c r="U303" s="5">
        <f t="shared" si="229"/>
        <v>0</v>
      </c>
      <c r="V303" s="5">
        <f t="shared" si="229"/>
        <v>0</v>
      </c>
      <c r="W303" s="445">
        <v>0</v>
      </c>
      <c r="X303" s="414">
        <f t="shared" si="230"/>
        <v>0</v>
      </c>
      <c r="Y303" s="414">
        <f t="shared" si="230"/>
        <v>0</v>
      </c>
      <c r="Z303" s="414">
        <f t="shared" si="230"/>
        <v>0</v>
      </c>
      <c r="AA303" s="414">
        <f t="shared" si="230"/>
        <v>0</v>
      </c>
      <c r="AB303" s="414">
        <f t="shared" si="230"/>
        <v>0</v>
      </c>
      <c r="AC303" s="414">
        <f t="shared" si="230"/>
        <v>0</v>
      </c>
      <c r="AD303" s="414">
        <f t="shared" si="230"/>
        <v>0</v>
      </c>
      <c r="AE303" s="414">
        <f t="shared" si="230"/>
        <v>0</v>
      </c>
      <c r="AF303" s="414">
        <f t="shared" si="230"/>
        <v>0</v>
      </c>
      <c r="AG303">
        <f t="shared" si="198"/>
        <v>0</v>
      </c>
      <c r="AH303">
        <f t="shared" si="199"/>
        <v>0</v>
      </c>
    </row>
    <row r="304" spans="1:36">
      <c r="A304" s="197" t="s">
        <v>2413</v>
      </c>
      <c r="B304" s="480" t="s">
        <v>175</v>
      </c>
      <c r="C304" s="195"/>
      <c r="D304" s="669"/>
      <c r="E304" s="195"/>
      <c r="F304" s="669"/>
      <c r="G304" s="195"/>
      <c r="H304" s="669"/>
      <c r="I304" s="195"/>
      <c r="J304" s="195"/>
      <c r="K304" s="195"/>
      <c r="L304" s="200"/>
      <c r="AG304" s="414">
        <f t="shared" si="198"/>
        <v>0</v>
      </c>
      <c r="AH304" s="414">
        <f t="shared" si="199"/>
        <v>0</v>
      </c>
    </row>
    <row r="305" spans="1:36">
      <c r="A305" s="329" t="s">
        <v>172</v>
      </c>
      <c r="B305" s="481" t="s">
        <v>1220</v>
      </c>
      <c r="C305" s="482">
        <f>IF(AND(r_new_furnace=1,r_inc_build1_fp&gt;0,build1_fp&lt;500),1,0)</f>
        <v>0</v>
      </c>
      <c r="D305" s="483" t="s">
        <v>2222</v>
      </c>
      <c r="E305" s="518">
        <f>IF($C305=0,0,r_inc_build1_fp)</f>
        <v>0</v>
      </c>
      <c r="F305" s="483" t="s">
        <v>2856</v>
      </c>
      <c r="G305" s="518">
        <f>IF($C305=0,0,r_inc_build1_fp)</f>
        <v>0</v>
      </c>
      <c r="H305" s="483" t="s">
        <v>2856</v>
      </c>
      <c r="I305" s="484" t="str">
        <f>IF(C305=0,"NA",VLOOKUP(r_inc_build1_fp,bldg_shed_cost_cl,3))</f>
        <v>NA</v>
      </c>
      <c r="J305" s="485" t="str">
        <f>IF(OR(I305="NA",I305="contact vendor"),"--",G305*I305)</f>
        <v>--</v>
      </c>
      <c r="K305" s="120" t="str">
        <f>IF($C305=0,"N/A",VLOOKUP(r_inc_build1_fp,bldg_shed_cost_cl,IF(ss_cat="large",4,5)))</f>
        <v>N/A</v>
      </c>
      <c r="L305" s="324"/>
      <c r="M305" s="27" t="str">
        <f>$B$275&amp;" - "&amp;$B$304&amp;" - "&amp;B305</f>
        <v>Building Structures and HVAC - Building 1 Addition/Incremental Useage (Retrofit) - Small Low Cost Shed</v>
      </c>
      <c r="N305" s="5">
        <f t="shared" ref="N305:V308" si="231">IF(retrofit=1,$W305*X305,IF(ISBLANK(X305),"",X305))</f>
        <v>0</v>
      </c>
      <c r="O305" s="5">
        <f t="shared" si="231"/>
        <v>0</v>
      </c>
      <c r="P305" s="5">
        <f t="shared" si="231"/>
        <v>0</v>
      </c>
      <c r="Q305" s="5">
        <f t="shared" si="231"/>
        <v>0</v>
      </c>
      <c r="R305" s="5">
        <f t="shared" si="231"/>
        <v>0</v>
      </c>
      <c r="S305" s="5">
        <f t="shared" si="231"/>
        <v>0</v>
      </c>
      <c r="T305" s="5">
        <f t="shared" si="231"/>
        <v>0</v>
      </c>
      <c r="U305" s="5">
        <f t="shared" si="231"/>
        <v>0</v>
      </c>
      <c r="V305" s="5">
        <f t="shared" si="231"/>
        <v>0</v>
      </c>
      <c r="W305" s="445">
        <v>1</v>
      </c>
      <c r="X305" s="414">
        <f t="shared" ref="X305:AF305" si="232">IF(include_buildings=1,2,0)</f>
        <v>0</v>
      </c>
      <c r="Y305" s="414">
        <f t="shared" si="232"/>
        <v>0</v>
      </c>
      <c r="Z305" s="414">
        <f t="shared" si="232"/>
        <v>0</v>
      </c>
      <c r="AA305" s="414">
        <f t="shared" si="232"/>
        <v>0</v>
      </c>
      <c r="AB305" s="414">
        <f t="shared" si="232"/>
        <v>0</v>
      </c>
      <c r="AC305" s="414">
        <f t="shared" si="232"/>
        <v>0</v>
      </c>
      <c r="AD305" s="414">
        <f t="shared" si="232"/>
        <v>0</v>
      </c>
      <c r="AE305" s="414">
        <f t="shared" si="232"/>
        <v>0</v>
      </c>
      <c r="AF305" s="414">
        <f t="shared" si="232"/>
        <v>0</v>
      </c>
      <c r="AG305" s="414">
        <f t="shared" si="198"/>
        <v>0</v>
      </c>
      <c r="AH305" s="414">
        <f t="shared" si="199"/>
        <v>0</v>
      </c>
      <c r="AJ305">
        <f>IF(AG305,K305,0)</f>
        <v>0</v>
      </c>
    </row>
    <row r="306" spans="1:36">
      <c r="A306" s="329" t="s">
        <v>172</v>
      </c>
      <c r="B306" s="481" t="s">
        <v>1221</v>
      </c>
      <c r="C306" s="482">
        <f>IF(AND(r_new_furnace=1,r_inc_build1_fp&gt;0,build1_fp&gt;=500),1,0)</f>
        <v>0</v>
      </c>
      <c r="D306" s="483" t="s">
        <v>2222</v>
      </c>
      <c r="E306" s="518">
        <f>IF($C306=0,0,r_inc_build1_fp)</f>
        <v>0</v>
      </c>
      <c r="F306" s="483" t="s">
        <v>2856</v>
      </c>
      <c r="G306" s="518">
        <f>IF($C306=0,0,r_inc_build1_fp)</f>
        <v>0</v>
      </c>
      <c r="H306" s="483" t="s">
        <v>2856</v>
      </c>
      <c r="I306" s="484" t="str">
        <f>IF(C306=0,"NA",IF(curve=1,bldg_lo_eq_1_r,VLOOKUP(r_inc_build1_fp, bldg_lo_cost_cl,3)))</f>
        <v>NA</v>
      </c>
      <c r="J306" s="485" t="str">
        <f>IF(OR(I306="NA",I306="contact vendor"),"--",G306*I306)</f>
        <v>--</v>
      </c>
      <c r="K306" s="120" t="str">
        <f>IF($C306=0,"N/A",VLOOKUP(r_inc_build1_fp,bldg_lo_cost_cl,IF(ss_cat="large",4,5)))</f>
        <v>N/A</v>
      </c>
      <c r="L306" s="324"/>
      <c r="M306" s="27" t="str">
        <f>$B$275&amp;" - "&amp;$B$304&amp;" - "&amp;B306</f>
        <v>Building Structures and HVAC - Building 1 Addition/Incremental Useage (Retrofit) - Low Quality</v>
      </c>
      <c r="N306" s="5">
        <f t="shared" si="231"/>
        <v>0</v>
      </c>
      <c r="O306" s="5" t="str">
        <f t="shared" si="231"/>
        <v/>
      </c>
      <c r="P306" s="5" t="str">
        <f t="shared" si="231"/>
        <v/>
      </c>
      <c r="Q306" s="5">
        <f t="shared" si="231"/>
        <v>0</v>
      </c>
      <c r="R306" s="5" t="str">
        <f t="shared" si="231"/>
        <v/>
      </c>
      <c r="S306" s="5" t="str">
        <f t="shared" si="231"/>
        <v/>
      </c>
      <c r="T306" s="5">
        <f t="shared" si="231"/>
        <v>0</v>
      </c>
      <c r="U306" s="5" t="str">
        <f t="shared" si="231"/>
        <v/>
      </c>
      <c r="V306" s="5" t="str">
        <f t="shared" si="231"/>
        <v/>
      </c>
      <c r="W306" s="445">
        <v>1</v>
      </c>
      <c r="X306" s="414">
        <f>include_buildings</f>
        <v>0</v>
      </c>
      <c r="AA306" s="414">
        <f>include_buildings</f>
        <v>0</v>
      </c>
      <c r="AC306" s="932"/>
      <c r="AD306" s="414">
        <f>include_buildings</f>
        <v>0</v>
      </c>
      <c r="AE306" s="932"/>
      <c r="AG306">
        <f t="shared" si="198"/>
        <v>0</v>
      </c>
      <c r="AH306">
        <f t="shared" si="199"/>
        <v>0</v>
      </c>
      <c r="AJ306">
        <f>IF(AG306,K306,0)</f>
        <v>0</v>
      </c>
    </row>
    <row r="307" spans="1:36">
      <c r="A307" s="329" t="s">
        <v>172</v>
      </c>
      <c r="B307" s="481" t="s">
        <v>1222</v>
      </c>
      <c r="C307" s="482">
        <f>IF(AND(r_new_furnace=1,r_inc_build1_fp&gt;0,build1_fp&gt;=500),1,0)</f>
        <v>0</v>
      </c>
      <c r="D307" s="483" t="s">
        <v>2222</v>
      </c>
      <c r="E307" s="518">
        <f>IF($C307=0,0,r_inc_build1_fp)</f>
        <v>0</v>
      </c>
      <c r="F307" s="483" t="s">
        <v>2856</v>
      </c>
      <c r="G307" s="518">
        <f>IF($C307=0,0,r_inc_build1_fp)</f>
        <v>0</v>
      </c>
      <c r="H307" s="483" t="s">
        <v>2856</v>
      </c>
      <c r="I307" s="484" t="str">
        <f>IF(C307=0,"NA",IF(curve=1,bldg_mid_eq_1_r,VLOOKUP(r_inc_build1_fp, bldg_mid_cost_cl,3)))</f>
        <v>NA</v>
      </c>
      <c r="J307" s="485" t="str">
        <f>IF(OR(I307="NA",I307="contact vendor"),"--",G307*I307)</f>
        <v>--</v>
      </c>
      <c r="K307" s="120" t="str">
        <f>IF($C307=0,"N/A",VLOOKUP(r_inc_build1_fp,bldg_mid_cost_cl,IF(ss_cat="large",4,5)))</f>
        <v>N/A</v>
      </c>
      <c r="L307" s="324"/>
      <c r="M307" s="27" t="str">
        <f>$B$275&amp;" - "&amp;$B$304&amp;" - "&amp;B307</f>
        <v>Building Structures and HVAC - Building 1 Addition/Incremental Useage (Retrofit) - Medium Quality</v>
      </c>
      <c r="N307" s="5" t="str">
        <f t="shared" si="231"/>
        <v/>
      </c>
      <c r="O307" s="5">
        <f t="shared" si="231"/>
        <v>0</v>
      </c>
      <c r="P307" s="5" t="str">
        <f t="shared" si="231"/>
        <v/>
      </c>
      <c r="Q307" s="5" t="str">
        <f t="shared" si="231"/>
        <v/>
      </c>
      <c r="R307" s="5">
        <f t="shared" si="231"/>
        <v>0</v>
      </c>
      <c r="S307" s="5" t="str">
        <f t="shared" si="231"/>
        <v/>
      </c>
      <c r="T307" s="5" t="str">
        <f t="shared" si="231"/>
        <v/>
      </c>
      <c r="U307" s="5">
        <f t="shared" si="231"/>
        <v>0</v>
      </c>
      <c r="V307" s="5" t="str">
        <f t="shared" si="231"/>
        <v/>
      </c>
      <c r="W307" s="445">
        <v>1</v>
      </c>
      <c r="Y307" s="414">
        <f>include_buildings</f>
        <v>0</v>
      </c>
      <c r="AB307" s="414">
        <f>include_buildings</f>
        <v>0</v>
      </c>
      <c r="AC307" s="932"/>
      <c r="AD307" s="932"/>
      <c r="AE307" s="414">
        <f>include_buildings</f>
        <v>0</v>
      </c>
      <c r="AG307">
        <f t="shared" si="198"/>
        <v>0</v>
      </c>
      <c r="AH307">
        <f t="shared" si="199"/>
        <v>0</v>
      </c>
      <c r="AJ307">
        <f>IF(AG307,K307,0)</f>
        <v>0</v>
      </c>
    </row>
    <row r="308" spans="1:36">
      <c r="A308" s="329" t="s">
        <v>172</v>
      </c>
      <c r="B308" s="481" t="s">
        <v>1223</v>
      </c>
      <c r="C308" s="482">
        <f>IF(AND(r_new_furnace=1,r_inc_build1_fp&gt;0,build1_fp&gt;=500),1,0)</f>
        <v>0</v>
      </c>
      <c r="D308" s="483" t="s">
        <v>2222</v>
      </c>
      <c r="E308" s="518">
        <f>IF($C308=0,0,r_inc_build1_fp)</f>
        <v>0</v>
      </c>
      <c r="F308" s="483" t="s">
        <v>2856</v>
      </c>
      <c r="G308" s="518">
        <f>IF($C308=0,0,r_inc_build1_fp)</f>
        <v>0</v>
      </c>
      <c r="H308" s="483" t="s">
        <v>2856</v>
      </c>
      <c r="I308" s="484" t="str">
        <f>IF(C308=0,"NA",IF(curve=1,bldg_hi_eq_1_r,VLOOKUP(r_inc_build1_fp, bldg_hi_cost_cl,3)))</f>
        <v>NA</v>
      </c>
      <c r="J308" s="485" t="str">
        <f>IF(OR(I308="NA",I308="contact vendor"),"--",G308*I308)</f>
        <v>--</v>
      </c>
      <c r="K308" s="120" t="str">
        <f>IF($C308=0,"N/A",VLOOKUP(r_inc_build1_fp,bldg_hi_cost_cl,IF(ss_cat="large",4,5)))</f>
        <v>N/A</v>
      </c>
      <c r="L308" s="324"/>
      <c r="M308" s="27" t="str">
        <f>$B$275&amp;" - "&amp;$B$304&amp;" - "&amp;B308</f>
        <v>Building Structures and HVAC - Building 1 Addition/Incremental Useage (Retrofit) - High Quality</v>
      </c>
      <c r="N308" s="5" t="str">
        <f t="shared" si="231"/>
        <v/>
      </c>
      <c r="O308" s="5" t="str">
        <f t="shared" si="231"/>
        <v/>
      </c>
      <c r="P308" s="5">
        <f t="shared" si="231"/>
        <v>0</v>
      </c>
      <c r="Q308" s="5" t="str">
        <f t="shared" si="231"/>
        <v/>
      </c>
      <c r="R308" s="5" t="str">
        <f t="shared" si="231"/>
        <v/>
      </c>
      <c r="S308" s="5">
        <f t="shared" si="231"/>
        <v>0</v>
      </c>
      <c r="T308" s="5" t="str">
        <f t="shared" si="231"/>
        <v/>
      </c>
      <c r="U308" s="5" t="str">
        <f t="shared" si="231"/>
        <v/>
      </c>
      <c r="V308" s="5">
        <f t="shared" si="231"/>
        <v>0</v>
      </c>
      <c r="W308" s="445">
        <v>1</v>
      </c>
      <c r="Z308" s="414">
        <f>include_buildings</f>
        <v>0</v>
      </c>
      <c r="AC308" s="414">
        <f>include_buildings</f>
        <v>0</v>
      </c>
      <c r="AD308" s="932"/>
      <c r="AE308" s="932"/>
      <c r="AF308" s="414">
        <f>include_buildings</f>
        <v>0</v>
      </c>
      <c r="AG308">
        <f t="shared" si="198"/>
        <v>0</v>
      </c>
      <c r="AH308">
        <f t="shared" si="199"/>
        <v>0</v>
      </c>
      <c r="AJ308">
        <f>IF(AG308,K308,0)</f>
        <v>0</v>
      </c>
    </row>
    <row r="309" spans="1:36">
      <c r="A309" s="197" t="s">
        <v>171</v>
      </c>
      <c r="B309" s="480" t="s">
        <v>176</v>
      </c>
      <c r="C309" s="234"/>
      <c r="D309" s="671"/>
      <c r="E309" s="234"/>
      <c r="F309" s="671"/>
      <c r="G309" s="234"/>
      <c r="H309" s="671"/>
      <c r="I309" s="234"/>
      <c r="J309" s="234"/>
      <c r="K309" s="234"/>
      <c r="L309" s="200"/>
      <c r="N309" s="5"/>
      <c r="O309" s="5"/>
      <c r="P309" s="5"/>
      <c r="Q309" s="5"/>
      <c r="R309" s="5"/>
      <c r="S309" s="5"/>
      <c r="T309" s="5"/>
      <c r="U309" s="5"/>
      <c r="V309" s="5"/>
      <c r="W309" s="445"/>
      <c r="AG309">
        <f t="shared" si="198"/>
        <v>0</v>
      </c>
      <c r="AH309">
        <f t="shared" si="199"/>
        <v>0</v>
      </c>
    </row>
    <row r="310" spans="1:36">
      <c r="A310" s="329" t="s">
        <v>173</v>
      </c>
      <c r="B310" s="481" t="s">
        <v>1220</v>
      </c>
      <c r="C310" s="482">
        <f>IF(AND(r_new_furnace=1,r_inc_build2_fp&gt;0,build2_fp&lt;500),1,0)</f>
        <v>0</v>
      </c>
      <c r="D310" s="483" t="s">
        <v>2222</v>
      </c>
      <c r="E310" s="518">
        <f>IF($C310=0,0,r_inc_build2_fp)</f>
        <v>0</v>
      </c>
      <c r="F310" s="483" t="s">
        <v>2856</v>
      </c>
      <c r="G310" s="518">
        <f>IF($C310=0,0,r_inc_build2_fp)</f>
        <v>0</v>
      </c>
      <c r="H310" s="483" t="s">
        <v>2856</v>
      </c>
      <c r="I310" s="484" t="str">
        <f>IF(C310=0,"NA",VLOOKUP(r_inc_build2_fp,bldg_shed_cost_cl,3))</f>
        <v>NA</v>
      </c>
      <c r="J310" s="485" t="str">
        <f>IF(OR(I310="NA",I310="contact vendor"),"--",G310*I310)</f>
        <v>--</v>
      </c>
      <c r="K310" s="120" t="str">
        <f>IF($C310=0,"N/A",VLOOKUP(r_inc_build2_fp,bldg_shed_cost_cl,IF(ss_cat="large",4,5)))</f>
        <v>N/A</v>
      </c>
      <c r="L310" s="324"/>
      <c r="M310" s="27" t="str">
        <f>$B$275&amp;" - "&amp;$B$309&amp;" - "&amp;B310</f>
        <v>Building Structures and HVAC - Building 2 Addition/Incremental Useage (Retrofit) - Small Low Cost Shed</v>
      </c>
      <c r="N310" s="5">
        <f t="shared" ref="N310:V313" si="233">IF(retrofit=1,$W310*X310,IF(ISBLANK(X310),"",X310))</f>
        <v>0</v>
      </c>
      <c r="O310" s="5">
        <f t="shared" si="233"/>
        <v>0</v>
      </c>
      <c r="P310" s="5">
        <f t="shared" si="233"/>
        <v>0</v>
      </c>
      <c r="Q310" s="5">
        <f t="shared" si="233"/>
        <v>0</v>
      </c>
      <c r="R310" s="5">
        <f t="shared" si="233"/>
        <v>0</v>
      </c>
      <c r="S310" s="5">
        <f t="shared" si="233"/>
        <v>0</v>
      </c>
      <c r="T310" s="5">
        <f t="shared" si="233"/>
        <v>0</v>
      </c>
      <c r="U310" s="5">
        <f t="shared" si="233"/>
        <v>0</v>
      </c>
      <c r="V310" s="5">
        <f t="shared" si="233"/>
        <v>0</v>
      </c>
      <c r="W310" s="445">
        <v>1</v>
      </c>
      <c r="X310" s="414">
        <f t="shared" ref="X310:AF310" si="234">IF(include_buildings=1,2,0)</f>
        <v>0</v>
      </c>
      <c r="Y310" s="414">
        <f t="shared" si="234"/>
        <v>0</v>
      </c>
      <c r="Z310" s="414">
        <f t="shared" si="234"/>
        <v>0</v>
      </c>
      <c r="AA310" s="414">
        <f t="shared" si="234"/>
        <v>0</v>
      </c>
      <c r="AB310" s="414">
        <f t="shared" si="234"/>
        <v>0</v>
      </c>
      <c r="AC310" s="414">
        <f t="shared" si="234"/>
        <v>0</v>
      </c>
      <c r="AD310" s="414">
        <f t="shared" si="234"/>
        <v>0</v>
      </c>
      <c r="AE310" s="414">
        <f t="shared" si="234"/>
        <v>0</v>
      </c>
      <c r="AF310" s="414">
        <f t="shared" si="234"/>
        <v>0</v>
      </c>
      <c r="AG310">
        <f t="shared" si="198"/>
        <v>0</v>
      </c>
      <c r="AH310">
        <f t="shared" si="199"/>
        <v>0</v>
      </c>
      <c r="AJ310">
        <f>IF(AG310,K310,0)</f>
        <v>0</v>
      </c>
    </row>
    <row r="311" spans="1:36">
      <c r="A311" s="329" t="s">
        <v>173</v>
      </c>
      <c r="B311" s="481" t="s">
        <v>1221</v>
      </c>
      <c r="C311" s="482">
        <f>IF(AND(r_new_furnace=1,r_inc_build2_fp&gt;0,build2_fp&gt;=500),1,0)</f>
        <v>0</v>
      </c>
      <c r="D311" s="483" t="s">
        <v>2222</v>
      </c>
      <c r="E311" s="518">
        <f>IF($C311=0,0,r_inc_build2_fp)</f>
        <v>0</v>
      </c>
      <c r="F311" s="483" t="s">
        <v>2856</v>
      </c>
      <c r="G311" s="518">
        <f>IF($C311=0,0,r_inc_build2_fp)</f>
        <v>0</v>
      </c>
      <c r="H311" s="483" t="s">
        <v>2856</v>
      </c>
      <c r="I311" s="484" t="str">
        <f>IF(C311=0,"NA",IF(curve=1,bldg_lo_eq_2_r,VLOOKUP(r_inc_build2_fp, bldg_lo_cost_cl,3)))</f>
        <v>NA</v>
      </c>
      <c r="J311" s="485" t="str">
        <f>IF(OR(I311="NA",I311="contact vendor"),"--",G311*I311)</f>
        <v>--</v>
      </c>
      <c r="K311" s="120" t="str">
        <f>IF($C311=0,"N/A",VLOOKUP(r_inc_build2_fp,bldg_lo_cost_cl,IF(ss_cat="large",4,5)))</f>
        <v>N/A</v>
      </c>
      <c r="L311" s="324"/>
      <c r="M311" s="27" t="str">
        <f>$B$275&amp;" - "&amp;$B$309&amp;" - "&amp;B311</f>
        <v>Building Structures and HVAC - Building 2 Addition/Incremental Useage (Retrofit) - Low Quality</v>
      </c>
      <c r="N311" s="5">
        <f t="shared" si="233"/>
        <v>0</v>
      </c>
      <c r="O311" s="5" t="str">
        <f t="shared" si="233"/>
        <v/>
      </c>
      <c r="P311" s="5" t="str">
        <f t="shared" si="233"/>
        <v/>
      </c>
      <c r="Q311" s="5">
        <f t="shared" si="233"/>
        <v>0</v>
      </c>
      <c r="R311" s="5" t="str">
        <f t="shared" si="233"/>
        <v/>
      </c>
      <c r="S311" s="5" t="str">
        <f t="shared" si="233"/>
        <v/>
      </c>
      <c r="T311" s="5">
        <f t="shared" si="233"/>
        <v>0</v>
      </c>
      <c r="U311" s="5" t="str">
        <f t="shared" si="233"/>
        <v/>
      </c>
      <c r="V311" s="5" t="str">
        <f t="shared" si="233"/>
        <v/>
      </c>
      <c r="W311" s="445">
        <v>1</v>
      </c>
      <c r="X311" s="414">
        <f>include_buildings</f>
        <v>0</v>
      </c>
      <c r="AA311" s="414">
        <f>include_buildings</f>
        <v>0</v>
      </c>
      <c r="AC311" s="932"/>
      <c r="AD311" s="414">
        <f>include_buildings</f>
        <v>0</v>
      </c>
      <c r="AE311" s="932"/>
      <c r="AG311">
        <f t="shared" si="198"/>
        <v>0</v>
      </c>
      <c r="AH311">
        <f t="shared" si="199"/>
        <v>0</v>
      </c>
      <c r="AJ311">
        <f>IF(AG311,K311,0)</f>
        <v>0</v>
      </c>
    </row>
    <row r="312" spans="1:36">
      <c r="A312" s="329" t="s">
        <v>173</v>
      </c>
      <c r="B312" s="481" t="s">
        <v>1222</v>
      </c>
      <c r="C312" s="482">
        <f>IF(AND(r_new_furnace=1,r_inc_build2_fp&gt;0,build2_fp&gt;=500),1,0)</f>
        <v>0</v>
      </c>
      <c r="D312" s="483" t="s">
        <v>2222</v>
      </c>
      <c r="E312" s="518">
        <f>IF($C312=0,0,r_inc_build2_fp)</f>
        <v>0</v>
      </c>
      <c r="F312" s="483" t="s">
        <v>2856</v>
      </c>
      <c r="G312" s="518">
        <f>IF($C312=0,0,r_inc_build2_fp)</f>
        <v>0</v>
      </c>
      <c r="H312" s="483" t="s">
        <v>2856</v>
      </c>
      <c r="I312" s="484" t="str">
        <f>IF(C312=0,"NA",IF(curve=1,bldg_mid_eq_2_r,VLOOKUP(r_inc_build2_fp, bldg_mid_cost_cl,3)))</f>
        <v>NA</v>
      </c>
      <c r="J312" s="485" t="str">
        <f>IF(OR(I312="NA",I312="contact vendor"),"--",G312*I312)</f>
        <v>--</v>
      </c>
      <c r="K312" s="120" t="str">
        <f>IF($C312=0,"N/A",VLOOKUP(r_inc_build2_fp,bldg_mid_cost_cl,IF(ss_cat="large",4,5)))</f>
        <v>N/A</v>
      </c>
      <c r="L312" s="324"/>
      <c r="M312" s="27" t="str">
        <f>$B$275&amp;" - "&amp;$B$309&amp;" - "&amp;B312</f>
        <v>Building Structures and HVAC - Building 2 Addition/Incremental Useage (Retrofit) - Medium Quality</v>
      </c>
      <c r="N312" s="5" t="str">
        <f t="shared" si="233"/>
        <v/>
      </c>
      <c r="O312" s="5">
        <f t="shared" si="233"/>
        <v>0</v>
      </c>
      <c r="P312" s="5" t="str">
        <f t="shared" si="233"/>
        <v/>
      </c>
      <c r="Q312" s="5" t="str">
        <f t="shared" si="233"/>
        <v/>
      </c>
      <c r="R312" s="5">
        <f t="shared" si="233"/>
        <v>0</v>
      </c>
      <c r="S312" s="5" t="str">
        <f t="shared" si="233"/>
        <v/>
      </c>
      <c r="T312" s="5" t="str">
        <f t="shared" si="233"/>
        <v/>
      </c>
      <c r="U312" s="5">
        <f t="shared" si="233"/>
        <v>0</v>
      </c>
      <c r="V312" s="5" t="str">
        <f t="shared" si="233"/>
        <v/>
      </c>
      <c r="W312" s="445">
        <v>1</v>
      </c>
      <c r="Y312" s="414">
        <f>include_buildings</f>
        <v>0</v>
      </c>
      <c r="AB312" s="414">
        <f>include_buildings</f>
        <v>0</v>
      </c>
      <c r="AC312" s="932"/>
      <c r="AD312" s="932"/>
      <c r="AE312" s="414">
        <f>include_buildings</f>
        <v>0</v>
      </c>
      <c r="AG312">
        <f t="shared" si="198"/>
        <v>0</v>
      </c>
      <c r="AH312">
        <f t="shared" ref="AH312:AH314" si="235">IF(AG312,J312/K312,0)</f>
        <v>0</v>
      </c>
      <c r="AJ312">
        <f>IF(AG312,K312,0)</f>
        <v>0</v>
      </c>
    </row>
    <row r="313" spans="1:36">
      <c r="A313" s="329" t="s">
        <v>173</v>
      </c>
      <c r="B313" s="481" t="s">
        <v>1223</v>
      </c>
      <c r="C313" s="482">
        <f>IF(AND(r_new_furnace=1,r_inc_build2_fp&gt;0,build2_fp&gt;=500),1,0)</f>
        <v>0</v>
      </c>
      <c r="D313" s="483" t="s">
        <v>2222</v>
      </c>
      <c r="E313" s="518">
        <f>IF($C313=0,0,r_inc_build2_fp)</f>
        <v>0</v>
      </c>
      <c r="F313" s="483" t="s">
        <v>2856</v>
      </c>
      <c r="G313" s="518">
        <f>IF($C313=0,0,r_inc_build2_fp)</f>
        <v>0</v>
      </c>
      <c r="H313" s="483" t="s">
        <v>2856</v>
      </c>
      <c r="I313" s="484" t="str">
        <f>IF(C313=0,"NA",IF(curve=1,bldg_hi_eq_2_r,VLOOKUP(r_inc_build2_fp, bldg_hi_cost_cl,3)))</f>
        <v>NA</v>
      </c>
      <c r="J313" s="485" t="str">
        <f>IF(OR(I313="NA",I313="contact vendor"),"--",G313*I313)</f>
        <v>--</v>
      </c>
      <c r="K313" s="120" t="str">
        <f>IF($C313=0,"N/A",VLOOKUP(r_inc_build2_fp,bldg_hi_cost_cl,IF(ss_cat="large",4,5)))</f>
        <v>N/A</v>
      </c>
      <c r="L313" s="324"/>
      <c r="M313" s="27" t="str">
        <f>$B$275&amp;" - "&amp;$B$309&amp;" - "&amp;B313</f>
        <v>Building Structures and HVAC - Building 2 Addition/Incremental Useage (Retrofit) - High Quality</v>
      </c>
      <c r="N313" s="5" t="str">
        <f t="shared" si="233"/>
        <v/>
      </c>
      <c r="O313" s="5" t="str">
        <f t="shared" si="233"/>
        <v/>
      </c>
      <c r="P313" s="5">
        <f t="shared" si="233"/>
        <v>0</v>
      </c>
      <c r="Q313" s="5" t="str">
        <f t="shared" si="233"/>
        <v/>
      </c>
      <c r="R313" s="5" t="str">
        <f t="shared" si="233"/>
        <v/>
      </c>
      <c r="S313" s="5">
        <f t="shared" si="233"/>
        <v>0</v>
      </c>
      <c r="T313" s="5" t="str">
        <f t="shared" si="233"/>
        <v/>
      </c>
      <c r="U313" s="5" t="str">
        <f t="shared" si="233"/>
        <v/>
      </c>
      <c r="V313" s="5">
        <f t="shared" si="233"/>
        <v>0</v>
      </c>
      <c r="W313" s="445">
        <v>1</v>
      </c>
      <c r="Z313" s="414">
        <f>include_buildings</f>
        <v>0</v>
      </c>
      <c r="AC313" s="414">
        <f>include_buildings</f>
        <v>0</v>
      </c>
      <c r="AD313" s="932"/>
      <c r="AE313" s="932"/>
      <c r="AF313" s="414">
        <f>include_buildings</f>
        <v>0</v>
      </c>
      <c r="AG313">
        <f t="shared" si="198"/>
        <v>0</v>
      </c>
      <c r="AH313">
        <f t="shared" si="235"/>
        <v>0</v>
      </c>
      <c r="AJ313">
        <f>IF(AG313,K313,0)</f>
        <v>0</v>
      </c>
    </row>
    <row r="314" spans="1:36">
      <c r="A314" s="392" t="s">
        <v>174</v>
      </c>
      <c r="B314" s="345" t="str">
        <f>"Concrete Pad"&amp;IF(retrofit=1," (for retrofit)","")</f>
        <v>Concrete Pad</v>
      </c>
      <c r="C314" s="346">
        <f>IF(retrofit=0,1,r_new_furnace)</f>
        <v>1</v>
      </c>
      <c r="D314" s="346" t="s">
        <v>2222</v>
      </c>
      <c r="E314" s="457">
        <f>IF($C314=0,"NA",IF(retrofit=0,concrete,r_concrete))</f>
        <v>67</v>
      </c>
      <c r="F314" s="456" t="str">
        <f>IF($C314=0,"","cy")</f>
        <v>cy</v>
      </c>
      <c r="G314" s="457">
        <f>IF($C314=0,"NA",IF(retrofit=0,concrete,r_concrete))</f>
        <v>67</v>
      </c>
      <c r="H314" s="456" t="str">
        <f>IF($C314=0,"","cy")</f>
        <v>cy</v>
      </c>
      <c r="I314" s="458">
        <f>IF(C314=0,"NA",VLOOKUP(0,conc_pad_cost_cl,3))</f>
        <v>492.74999999999994</v>
      </c>
      <c r="J314" s="459">
        <f>IF(C314=0,"--",IF(I314="contact vendor","--",E314*I314))</f>
        <v>33014.249999999993</v>
      </c>
      <c r="K314" s="460">
        <f>IF(C314=0,"N/A",VLOOKUP(0,conc_pad_cost_cl,IF(ss_cat="large",4,5)))</f>
        <v>40</v>
      </c>
      <c r="L314" s="490">
        <v>1</v>
      </c>
      <c r="M314" s="27" t="str">
        <f>B275&amp;" - "&amp;B314</f>
        <v>Building Structures and HVAC - Concrete Pad</v>
      </c>
      <c r="N314" s="5">
        <f t="shared" ref="N314:U314" si="236">IF(retrofit=1,$W314*X314,IF(ISBLANK(X314),"",X314))</f>
        <v>1</v>
      </c>
      <c r="O314" s="5">
        <f t="shared" si="236"/>
        <v>1</v>
      </c>
      <c r="P314" s="5">
        <f t="shared" si="236"/>
        <v>1</v>
      </c>
      <c r="Q314" s="5">
        <f>IF(retrofit=1,$W314*AA314,IF(ISBLANK(AA314),"",AA314))</f>
        <v>1</v>
      </c>
      <c r="R314" s="5">
        <f t="shared" si="236"/>
        <v>1</v>
      </c>
      <c r="S314" s="5">
        <f t="shared" si="236"/>
        <v>1</v>
      </c>
      <c r="T314" s="5">
        <f t="shared" si="236"/>
        <v>1</v>
      </c>
      <c r="U314" s="5">
        <f t="shared" si="236"/>
        <v>1</v>
      </c>
      <c r="V314" s="5">
        <f>IF(retrofit=1,$W314*AF314,IF(ISBLANK(AF314),"",AF314))</f>
        <v>1</v>
      </c>
      <c r="W314" s="445">
        <v>1</v>
      </c>
      <c r="X314" s="414">
        <f t="shared" ref="X314:AF314" si="237">include_pad</f>
        <v>1</v>
      </c>
      <c r="Y314" s="414">
        <f t="shared" si="237"/>
        <v>1</v>
      </c>
      <c r="Z314" s="414">
        <f t="shared" si="237"/>
        <v>1</v>
      </c>
      <c r="AA314" s="414">
        <f t="shared" si="237"/>
        <v>1</v>
      </c>
      <c r="AB314" s="414">
        <f t="shared" si="237"/>
        <v>1</v>
      </c>
      <c r="AC314" s="414">
        <f t="shared" si="237"/>
        <v>1</v>
      </c>
      <c r="AD314" s="414">
        <f t="shared" si="237"/>
        <v>1</v>
      </c>
      <c r="AE314" s="414">
        <f t="shared" si="237"/>
        <v>1</v>
      </c>
      <c r="AF314" s="414">
        <f t="shared" si="237"/>
        <v>1</v>
      </c>
      <c r="AG314" s="414">
        <f t="shared" si="198"/>
        <v>1</v>
      </c>
      <c r="AH314" s="414">
        <f t="shared" si="235"/>
        <v>825.35624999999982</v>
      </c>
    </row>
    <row r="315" spans="1:36" s="18" customFormat="1" ht="6" customHeight="1">
      <c r="A315" s="89"/>
      <c r="B315" s="147"/>
      <c r="C315" s="187"/>
      <c r="D315" s="210"/>
      <c r="E315" s="211"/>
      <c r="G315" s="211"/>
      <c r="H315" s="421"/>
      <c r="I315" s="212"/>
      <c r="J315" s="213"/>
      <c r="K315" s="187"/>
      <c r="L315" s="214"/>
      <c r="M315" s="187"/>
      <c r="N315" s="421"/>
      <c r="O315" s="421"/>
      <c r="P315" s="421"/>
      <c r="Q315" s="421"/>
      <c r="R315" s="421"/>
      <c r="S315" s="421"/>
      <c r="T315" s="421"/>
      <c r="U315" s="421"/>
      <c r="V315" s="421"/>
      <c r="X315" s="421"/>
      <c r="Y315" s="421"/>
      <c r="Z315" s="421"/>
      <c r="AA315" s="421"/>
      <c r="AB315" s="421"/>
      <c r="AC315" s="421"/>
      <c r="AD315" s="421"/>
      <c r="AE315" s="421"/>
      <c r="AF315" s="421"/>
    </row>
    <row r="316" spans="1:36" s="18" customFormat="1">
      <c r="A316" s="663" t="s">
        <v>3279</v>
      </c>
      <c r="B316" s="147"/>
      <c r="C316" s="187"/>
      <c r="D316" s="210"/>
      <c r="E316" s="211"/>
      <c r="G316" s="211"/>
      <c r="H316" s="421"/>
      <c r="I316" s="212"/>
      <c r="J316" s="213"/>
      <c r="K316" s="187"/>
      <c r="L316" s="214"/>
      <c r="M316" s="703"/>
      <c r="N316" s="651"/>
      <c r="O316" s="651"/>
      <c r="P316" s="651"/>
      <c r="Q316" s="651"/>
      <c r="R316" s="651"/>
      <c r="S316" s="651"/>
      <c r="T316" s="651"/>
      <c r="U316" s="651"/>
      <c r="V316" s="651"/>
      <c r="W316" s="639"/>
      <c r="X316" s="651"/>
      <c r="Y316" s="651"/>
      <c r="Z316" s="651"/>
      <c r="AA316" s="651"/>
      <c r="AB316" s="651"/>
      <c r="AC316" s="651"/>
      <c r="AD316" s="651"/>
      <c r="AE316" s="651"/>
      <c r="AF316" s="651"/>
      <c r="AG316" s="414" t="s">
        <v>3040</v>
      </c>
      <c r="AH316" s="414" t="s">
        <v>3041</v>
      </c>
      <c r="AJ316" s="414" t="s">
        <v>3042</v>
      </c>
    </row>
    <row r="317" spans="1:36" s="18" customFormat="1">
      <c r="A317" s="663"/>
      <c r="B317" s="153" t="s">
        <v>3280</v>
      </c>
      <c r="C317" s="664" t="s">
        <v>414</v>
      </c>
      <c r="D317" s="87" t="s">
        <v>1372</v>
      </c>
      <c r="E317" s="211"/>
      <c r="G317" s="211"/>
      <c r="H317" s="421"/>
      <c r="I317" s="212"/>
      <c r="J317" s="213"/>
      <c r="K317" s="187"/>
      <c r="L317" s="214"/>
      <c r="M317" s="703"/>
      <c r="N317" s="651"/>
      <c r="O317" s="651"/>
      <c r="P317" s="651"/>
      <c r="Q317" s="651"/>
      <c r="R317" s="651"/>
      <c r="S317" s="651"/>
      <c r="T317" s="651"/>
      <c r="U317" s="651"/>
      <c r="V317" s="651"/>
      <c r="W317" s="639"/>
      <c r="X317" s="651"/>
      <c r="Y317" s="651"/>
      <c r="Z317" s="651"/>
      <c r="AA317" s="651"/>
      <c r="AB317" s="651"/>
      <c r="AC317" s="651"/>
      <c r="AD317" s="651"/>
      <c r="AE317" s="651"/>
      <c r="AF317" s="651"/>
      <c r="AG317" s="414">
        <f>SUMPRODUCT(AG40:AG314,J40:J314)</f>
        <v>751104.84037729143</v>
      </c>
      <c r="AH317" s="414">
        <f>SUM(AH40:AH314)</f>
        <v>27321.49209639326</v>
      </c>
      <c r="AI317"/>
      <c r="AJ317" s="414">
        <f>MAX(AJ277:AJ280,AJ291:AJ294,AJ305:AJ308,AJ310:AJ313)</f>
        <v>0</v>
      </c>
    </row>
    <row r="318" spans="1:36" s="639" customFormat="1">
      <c r="A318" s="89"/>
      <c r="B318" s="181" t="s">
        <v>1930</v>
      </c>
      <c r="C318" s="299">
        <f>SUMPRODUCT(J40:J274,L40:L274)</f>
        <v>760651.05249722581</v>
      </c>
      <c r="D318" s="677" t="s">
        <v>3285</v>
      </c>
      <c r="E318" s="211"/>
      <c r="F318" s="18"/>
      <c r="G318" s="211"/>
      <c r="H318" s="421"/>
      <c r="I318" s="212"/>
      <c r="J318" s="213"/>
      <c r="K318" s="187"/>
      <c r="L318" s="214"/>
      <c r="M318" s="703"/>
      <c r="N318" s="651"/>
      <c r="O318" s="651"/>
      <c r="P318" s="651"/>
      <c r="Q318" s="651"/>
      <c r="R318" s="651"/>
      <c r="S318" s="651"/>
      <c r="T318" s="651"/>
      <c r="U318" s="651"/>
      <c r="V318" s="651"/>
      <c r="X318" s="651"/>
      <c r="Y318" s="651"/>
      <c r="Z318" s="651"/>
      <c r="AA318" s="651"/>
      <c r="AB318" s="651"/>
      <c r="AC318" s="651"/>
      <c r="AD318" s="651"/>
      <c r="AE318" s="651"/>
      <c r="AF318" s="651"/>
    </row>
    <row r="319" spans="1:36" s="639" customFormat="1">
      <c r="A319" s="18"/>
      <c r="B319" s="300" t="s">
        <v>1931</v>
      </c>
      <c r="C319" s="301">
        <f>SUMPRODUCT(J277:J314,L277:L314)</f>
        <v>61328.118145051245</v>
      </c>
      <c r="D319" s="667" t="s">
        <v>3515</v>
      </c>
      <c r="E319" s="211"/>
      <c r="F319" s="18"/>
      <c r="G319" s="211"/>
      <c r="H319" s="421"/>
      <c r="I319" s="212"/>
      <c r="J319" s="213"/>
      <c r="K319" s="187"/>
      <c r="L319" s="214"/>
      <c r="M319" s="703"/>
      <c r="N319" s="651"/>
      <c r="O319" s="651"/>
      <c r="P319" s="651"/>
      <c r="Q319" s="651"/>
      <c r="R319" s="651"/>
      <c r="S319" s="651"/>
      <c r="T319" s="651"/>
      <c r="U319" s="651"/>
      <c r="V319" s="651"/>
      <c r="X319" s="651"/>
      <c r="Y319" s="651"/>
      <c r="Z319" s="651"/>
      <c r="AA319" s="651"/>
      <c r="AB319" s="651"/>
      <c r="AC319" s="651"/>
      <c r="AD319" s="651"/>
      <c r="AE319" s="651"/>
      <c r="AF319" s="651"/>
    </row>
    <row r="320" spans="1:36" s="639" customFormat="1" ht="16">
      <c r="A320" s="672"/>
      <c r="B320" s="713" t="str">
        <f>"Total direct costs"&amp;IF(retrofit=1," for retrofit","")</f>
        <v>Total direct costs</v>
      </c>
      <c r="C320" s="461">
        <f>process_cost+building_cost</f>
        <v>821979.17064227711</v>
      </c>
      <c r="D320" s="184" t="s">
        <v>3015</v>
      </c>
      <c r="E320" s="221"/>
      <c r="F320" s="111"/>
      <c r="G320" s="222"/>
      <c r="H320" s="672"/>
      <c r="I320" s="111"/>
      <c r="J320" s="222"/>
      <c r="K320" s="111"/>
      <c r="L320" s="112"/>
      <c r="X320" s="651"/>
      <c r="Y320" s="651"/>
      <c r="Z320" s="651"/>
      <c r="AA320" s="651"/>
      <c r="AB320" s="651"/>
      <c r="AC320" s="651"/>
      <c r="AD320" s="651"/>
      <c r="AE320" s="651"/>
      <c r="AF320" s="651"/>
    </row>
    <row r="321" spans="1:32" s="651" customFormat="1">
      <c r="A321" s="421"/>
      <c r="B321" s="421"/>
      <c r="C321" s="688"/>
      <c r="D321" s="421"/>
      <c r="E321" s="688"/>
      <c r="F321" s="421"/>
      <c r="G321" s="688"/>
      <c r="H321" s="421"/>
      <c r="I321" s="688"/>
      <c r="J321" s="688"/>
      <c r="K321" s="421"/>
      <c r="L321" s="421"/>
    </row>
    <row r="322" spans="1:32" s="639" customFormat="1" ht="16">
      <c r="A322" s="297" t="s">
        <v>3282</v>
      </c>
      <c r="B322" s="226"/>
      <c r="C322" s="216"/>
      <c r="D322" s="151"/>
      <c r="E322" s="216"/>
      <c r="F322" s="150"/>
      <c r="G322" s="216"/>
      <c r="H322" s="633"/>
      <c r="I322" s="216"/>
      <c r="J322" s="150"/>
      <c r="K322" s="150"/>
      <c r="L322" s="220"/>
      <c r="X322" s="651"/>
      <c r="Y322" s="651"/>
      <c r="Z322" s="651"/>
      <c r="AA322" s="651"/>
      <c r="AB322" s="651"/>
      <c r="AC322" s="651"/>
      <c r="AD322" s="651"/>
      <c r="AE322" s="651"/>
      <c r="AF322" s="651"/>
    </row>
    <row r="323" spans="1:32" s="639" customFormat="1" ht="16">
      <c r="A323" s="659"/>
      <c r="B323" s="153" t="s">
        <v>3281</v>
      </c>
      <c r="C323" s="665" t="s">
        <v>414</v>
      </c>
      <c r="D323" s="153" t="s">
        <v>1372</v>
      </c>
      <c r="E323" s="149"/>
      <c r="F323" s="18"/>
      <c r="G323" s="149"/>
      <c r="H323" s="421"/>
      <c r="I323" s="149"/>
      <c r="J323" s="18"/>
      <c r="K323" s="18"/>
      <c r="L323" s="90"/>
      <c r="X323" s="651"/>
      <c r="Y323" s="651"/>
      <c r="Z323" s="651"/>
      <c r="AA323" s="651"/>
      <c r="AB323" s="651"/>
      <c r="AC323" s="651"/>
      <c r="AD323" s="651"/>
      <c r="AE323" s="651"/>
      <c r="AF323" s="651"/>
    </row>
    <row r="324" spans="1:32" s="639" customFormat="1">
      <c r="A324" s="89"/>
      <c r="B324" s="450" t="s">
        <v>2740</v>
      </c>
      <c r="C324" s="451">
        <f>include_permits*IF(retrofit=0,permit_cost,r_permit_cost)</f>
        <v>691.44</v>
      </c>
      <c r="D324" s="667"/>
      <c r="E324" s="149"/>
      <c r="F324" s="18"/>
      <c r="G324" s="149"/>
      <c r="H324" s="421"/>
      <c r="I324" s="149"/>
      <c r="J324" s="18"/>
      <c r="K324" s="18"/>
      <c r="L324" s="90"/>
      <c r="X324" s="651"/>
      <c r="Y324" s="651"/>
      <c r="Z324" s="651"/>
      <c r="AA324" s="651"/>
      <c r="AB324" s="651"/>
      <c r="AC324" s="651"/>
      <c r="AD324" s="651"/>
      <c r="AE324" s="651"/>
      <c r="AF324" s="651"/>
    </row>
    <row r="325" spans="1:32" s="639" customFormat="1">
      <c r="A325" s="89"/>
      <c r="B325" s="450" t="s">
        <v>2653</v>
      </c>
      <c r="C325" s="451">
        <f>IF(add_on=1,include_pilot_addon,include_pilot)*VLOOKUP(tech_name,CHOOSE(ss_cat2,pilot_cost_small_cl,pilot_cost_medium_cl,pilot_cost_large_cl),2,FALSE)</f>
        <v>70415.236495493649</v>
      </c>
      <c r="D325" s="134"/>
      <c r="E325" s="149"/>
      <c r="F325" s="18"/>
      <c r="G325" s="149"/>
      <c r="H325" s="421"/>
      <c r="I325" s="149"/>
      <c r="J325" s="18"/>
      <c r="K325" s="18"/>
      <c r="L325" s="90"/>
      <c r="X325" s="651"/>
      <c r="Y325" s="651"/>
      <c r="Z325" s="651"/>
      <c r="AA325" s="651"/>
      <c r="AB325" s="651"/>
      <c r="AC325" s="651"/>
      <c r="AD325" s="651"/>
      <c r="AE325" s="651"/>
      <c r="AF325" s="651"/>
    </row>
    <row r="326" spans="1:32" s="639" customFormat="1">
      <c r="A326" s="420"/>
      <c r="B326" s="454" t="s">
        <v>27</v>
      </c>
      <c r="C326" s="455">
        <f>include_land*IF(retrofit=0,land_required,IF(r_new_furnace=1,r_land_required,0))*land_cost</f>
        <v>0</v>
      </c>
      <c r="D326" s="158" t="str">
        <f>IF(retrofit=0,"For "&amp;TEXT(land_required,"#0.00")&amp;" acres",IF(r_new_furnace=1,"For use of "&amp;TEXT(r_land_required,"#0.00")&amp;" additional acres","Not required for retrofit"))</f>
        <v>For 0.27 acres</v>
      </c>
      <c r="E326" s="18"/>
      <c r="F326" s="18"/>
      <c r="G326" s="18"/>
      <c r="H326" s="421"/>
      <c r="I326" s="18"/>
      <c r="J326" s="18"/>
      <c r="K326" s="18"/>
      <c r="L326" s="90"/>
      <c r="X326" s="651"/>
      <c r="Y326" s="651"/>
      <c r="Z326" s="651"/>
      <c r="AA326" s="651"/>
      <c r="AB326" s="651"/>
      <c r="AC326" s="651"/>
      <c r="AD326" s="651"/>
      <c r="AE326" s="651"/>
      <c r="AF326" s="651"/>
    </row>
    <row r="327" spans="1:32" s="639" customFormat="1" ht="16">
      <c r="A327" s="933"/>
      <c r="B327" s="452" t="str">
        <f>"Total add-on costs"&amp;IF(retrofit=1," for retrofit","")</f>
        <v>Total add-on costs</v>
      </c>
      <c r="C327" s="453">
        <f>SUM(C324:C326)</f>
        <v>71106.676495493652</v>
      </c>
      <c r="D327" s="184"/>
      <c r="E327" s="217"/>
      <c r="F327" s="217"/>
      <c r="G327" s="217"/>
      <c r="H327" s="673"/>
      <c r="I327" s="217"/>
      <c r="J327" s="217"/>
      <c r="K327" s="217"/>
      <c r="L327" s="218"/>
      <c r="M327" s="704"/>
      <c r="X327" s="651"/>
      <c r="Y327" s="651"/>
      <c r="Z327" s="651"/>
      <c r="AA327" s="651"/>
      <c r="AB327" s="651"/>
      <c r="AC327" s="651"/>
      <c r="AD327" s="651"/>
      <c r="AE327" s="651"/>
      <c r="AF327" s="651"/>
    </row>
    <row r="328" spans="1:32" s="651" customFormat="1">
      <c r="A328" s="153"/>
      <c r="B328" s="421"/>
      <c r="C328" s="421"/>
      <c r="D328" s="421"/>
      <c r="E328" s="687"/>
      <c r="F328" s="421"/>
      <c r="G328" s="421"/>
      <c r="H328" s="421"/>
      <c r="I328" s="421"/>
      <c r="J328" s="421"/>
      <c r="K328" s="421"/>
      <c r="L328" s="421"/>
    </row>
    <row r="329" spans="1:32" s="639" customFormat="1" ht="16">
      <c r="A329" s="297" t="s">
        <v>3290</v>
      </c>
      <c r="B329" s="302"/>
      <c r="C329" s="150"/>
      <c r="D329" s="230"/>
      <c r="E329" s="182"/>
      <c r="F329" s="150"/>
      <c r="G329" s="150"/>
      <c r="H329" s="633"/>
      <c r="I329" s="150"/>
      <c r="J329" s="150"/>
      <c r="K329" s="150"/>
      <c r="L329" s="220"/>
      <c r="X329" s="651"/>
      <c r="Y329" s="651"/>
      <c r="Z329" s="651"/>
      <c r="AA329" s="651"/>
      <c r="AB329" s="651"/>
      <c r="AC329" s="651"/>
      <c r="AD329" s="651"/>
      <c r="AE329" s="651"/>
      <c r="AF329" s="651"/>
    </row>
    <row r="330" spans="1:32" s="639" customFormat="1" ht="16">
      <c r="A330" s="666"/>
      <c r="B330" s="153" t="s">
        <v>3283</v>
      </c>
      <c r="C330" s="665" t="s">
        <v>414</v>
      </c>
      <c r="D330" s="665" t="s">
        <v>3284</v>
      </c>
      <c r="E330" s="674" t="s">
        <v>1372</v>
      </c>
      <c r="F330" s="18"/>
      <c r="G330" s="18"/>
      <c r="H330" s="421"/>
      <c r="I330" s="18"/>
      <c r="J330" s="18"/>
      <c r="K330" s="18"/>
      <c r="L330" s="90"/>
      <c r="X330" s="651"/>
      <c r="Y330" s="651"/>
      <c r="Z330" s="651"/>
      <c r="AA330" s="651"/>
      <c r="AB330" s="651"/>
      <c r="AC330" s="651"/>
      <c r="AD330" s="651"/>
      <c r="AE330" s="651"/>
      <c r="AF330" s="651"/>
    </row>
    <row r="331" spans="1:32" s="639" customFormat="1">
      <c r="A331" s="89"/>
      <c r="B331" s="764" t="s">
        <v>231</v>
      </c>
      <c r="C331" s="765">
        <f>(direct_cost+C333+C334+C335+C336+C337+C338+C339+C342)*D331</f>
        <v>43907.726004199132</v>
      </c>
      <c r="D331" s="772">
        <f>IF(AND(design_type=1,ss_cat2=1),mob_pct_pre,CHOOSE(ss_cat2,mob_pct_small,mob_pct_medium,mob_pct_large))</f>
        <v>0.04</v>
      </c>
      <c r="E331" s="667" t="s">
        <v>916</v>
      </c>
      <c r="F331" s="18"/>
      <c r="G331" s="18"/>
      <c r="H331" s="421"/>
      <c r="I331" s="18"/>
      <c r="J331" s="18"/>
      <c r="K331" s="18"/>
      <c r="L331" s="90"/>
      <c r="X331" s="651"/>
      <c r="Y331" s="651"/>
      <c r="Z331" s="651"/>
      <c r="AA331" s="651"/>
      <c r="AB331" s="651"/>
      <c r="AC331" s="651"/>
      <c r="AD331" s="651"/>
      <c r="AE331" s="651"/>
      <c r="AF331" s="651"/>
    </row>
    <row r="332" spans="1:32" s="639" customFormat="1">
      <c r="A332" s="89"/>
      <c r="B332" s="764" t="s">
        <v>232</v>
      </c>
      <c r="C332" s="765">
        <f>IF(ss_cat2=1,include_arch_small,include_arch)*building_cost*D332</f>
        <v>5519.5306330546118</v>
      </c>
      <c r="D332" s="773">
        <f>VLOOKUP(building_cost,architectural_table_cl,3)</f>
        <v>0.09</v>
      </c>
      <c r="E332" s="158" t="s">
        <v>202</v>
      </c>
      <c r="F332" s="18"/>
      <c r="G332" s="18"/>
      <c r="H332" s="421"/>
      <c r="I332" s="18"/>
      <c r="J332" s="18"/>
      <c r="K332" s="18"/>
      <c r="L332" s="90"/>
      <c r="X332" s="651"/>
      <c r="Y332" s="651"/>
      <c r="Z332" s="651"/>
      <c r="AA332" s="651"/>
      <c r="AB332" s="651"/>
      <c r="AC332" s="651"/>
      <c r="AD332" s="651"/>
      <c r="AE332" s="651"/>
      <c r="AF332" s="651"/>
    </row>
    <row r="333" spans="1:32" s="639" customFormat="1">
      <c r="A333" s="89"/>
      <c r="B333" s="822" t="s">
        <v>3475</v>
      </c>
      <c r="C333" s="765">
        <f>direct_cost*D333</f>
        <v>0</v>
      </c>
      <c r="D333" s="774">
        <f>inst_pct</f>
        <v>0</v>
      </c>
      <c r="E333" s="158"/>
      <c r="F333" s="18"/>
      <c r="G333" s="18"/>
      <c r="H333" s="421"/>
      <c r="I333" s="18"/>
      <c r="J333" s="18"/>
      <c r="K333" s="18"/>
      <c r="L333" s="90"/>
      <c r="X333" s="651"/>
      <c r="Y333" s="651"/>
      <c r="Z333" s="651"/>
      <c r="AA333" s="651"/>
      <c r="AB333" s="651"/>
      <c r="AC333" s="651"/>
      <c r="AD333" s="651"/>
      <c r="AE333" s="651"/>
      <c r="AF333" s="651"/>
    </row>
    <row r="334" spans="1:32" s="639" customFormat="1">
      <c r="A334" s="89"/>
      <c r="B334" s="764" t="s">
        <v>1576</v>
      </c>
      <c r="C334" s="766">
        <f>include_sitework*IF(retrofit=0,sitework_cost,IF(r_new_furnace=1,r_sitework_cost,0))</f>
        <v>95704.615384615376</v>
      </c>
      <c r="D334" s="760"/>
      <c r="E334" s="158" t="str">
        <f>IF(AND(retrofit=1,r_new_furnace=0),"Not required for this retrofit","Calculated based on system requirements")</f>
        <v>Calculated based on system requirements</v>
      </c>
      <c r="F334" s="18"/>
      <c r="G334" s="18"/>
      <c r="H334" s="421"/>
      <c r="I334" s="18"/>
      <c r="J334" s="18"/>
      <c r="K334" s="18"/>
      <c r="L334" s="90"/>
      <c r="X334" s="651"/>
      <c r="Y334" s="651"/>
      <c r="Z334" s="651"/>
      <c r="AA334" s="651"/>
      <c r="AB334" s="651"/>
      <c r="AC334" s="651"/>
      <c r="AD334" s="651"/>
      <c r="AE334" s="651"/>
      <c r="AF334" s="651"/>
    </row>
    <row r="335" spans="1:32" s="639" customFormat="1">
      <c r="A335" s="89"/>
      <c r="B335" s="764" t="s">
        <v>2037</v>
      </c>
      <c r="C335" s="766">
        <f>IF(OR(AND(add_on=1,include_yardpipe_addon=0),retrofit=1),0,include_yardpipe*yard_cost)</f>
        <v>9536.3417641355063</v>
      </c>
      <c r="D335" s="761"/>
      <c r="E335" s="158" t="str">
        <f>IF(AND(add_on=1,include_yardpipe_addon=0),"Not required for add-on",IF(retrofit=1,"Not required for retrofit","Calculated based on system requirements."))</f>
        <v>Calculated based on system requirements.</v>
      </c>
      <c r="F335" s="18"/>
      <c r="G335" s="18"/>
      <c r="H335" s="18"/>
      <c r="I335" s="18"/>
      <c r="J335" s="18"/>
      <c r="K335" s="18"/>
      <c r="L335" s="90"/>
      <c r="X335" s="651"/>
      <c r="Y335" s="651"/>
      <c r="Z335" s="651"/>
      <c r="AA335" s="651"/>
      <c r="AB335" s="651"/>
      <c r="AC335" s="651"/>
      <c r="AD335" s="651"/>
      <c r="AE335" s="651"/>
      <c r="AF335" s="651"/>
    </row>
    <row r="336" spans="1:32" s="639" customFormat="1">
      <c r="A336" s="89"/>
      <c r="B336" s="764" t="s">
        <v>2038</v>
      </c>
      <c r="C336" s="767">
        <f>IF(OR(AND(add_on=1,design_type=1),retrofit=1),0,IF(OR(L53=1,L58=1,L253=1,L256=1,L259=1,ep_cells&lt;&gt;0,num_sept_tanks&lt;&gt;0),1,IF(design_type=1,IF(component_level="",include_geo_low,IF(component_level=1,include_geo_medium,include_geo_high)),IF(component_level="",include_geo_low_g,IF(component_level=1,include_geo_medium_g,include_geo_high_g))))*geotech_cost)</f>
        <v>0</v>
      </c>
      <c r="D336" s="762"/>
      <c r="E336" s="158" t="str">
        <f>IF(retrofit=1,"Not required for retrofit",IF(add_on=1,IF(design_type=1,"Not required for pressure add-on","Included for gravity add-on because of basin excavation"),"Calculated based on system requirements. Excluded by default for low and mid cost systems, but aways included w/ excavation"))</f>
        <v>Calculated based on system requirements. Excluded by default for low and mid cost systems, but aways included w/ excavation</v>
      </c>
      <c r="F336" s="18"/>
      <c r="G336" s="18"/>
      <c r="H336" s="18"/>
      <c r="I336" s="18"/>
      <c r="J336" s="18"/>
      <c r="K336" s="18"/>
      <c r="L336" s="90"/>
      <c r="X336" s="651"/>
      <c r="Y336" s="651"/>
      <c r="Z336" s="651"/>
      <c r="AA336" s="651"/>
      <c r="AB336" s="651"/>
      <c r="AC336" s="651"/>
      <c r="AD336" s="651"/>
      <c r="AE336" s="651"/>
      <c r="AF336" s="651"/>
    </row>
    <row r="337" spans="1:32" s="639" customFormat="1">
      <c r="A337" s="89"/>
      <c r="B337" s="764" t="s">
        <v>2737</v>
      </c>
      <c r="C337" s="768">
        <f>IF(AND(add_on=1,include_standby_addon=0),0,IF(ss_cat2=1,include_standby_small,include_standby)*IF(retrofit=0,std_power_cost,r_std_power_cost))</f>
        <v>12210</v>
      </c>
      <c r="D337" s="763"/>
      <c r="E337" s="158" t="str">
        <f>IF(AND(add_on=1,include_standby_addon=0),"Not required for add-on","Calculated based on system requirements. Excluded by default for small systems.")</f>
        <v>Calculated based on system requirements. Excluded by default for small systems.</v>
      </c>
      <c r="F337" s="18"/>
      <c r="G337" s="18"/>
      <c r="H337" s="18"/>
      <c r="I337" s="18"/>
      <c r="J337" s="18"/>
      <c r="K337" s="18"/>
      <c r="L337" s="90"/>
      <c r="X337" s="651"/>
      <c r="Y337" s="651"/>
      <c r="Z337" s="651"/>
      <c r="AA337" s="651"/>
      <c r="AB337" s="651"/>
      <c r="AC337" s="651"/>
      <c r="AD337" s="651"/>
      <c r="AE337" s="651"/>
      <c r="AF337" s="651"/>
    </row>
    <row r="338" spans="1:32" s="639" customFormat="1">
      <c r="A338" s="89"/>
      <c r="B338" s="764" t="s">
        <v>2738</v>
      </c>
      <c r="C338" s="765">
        <f>process_cost*D338</f>
        <v>76065.10524972259</v>
      </c>
      <c r="D338" s="775">
        <f>elect_pct</f>
        <v>0.1</v>
      </c>
      <c r="E338" s="158" t="s">
        <v>1906</v>
      </c>
      <c r="F338" s="18"/>
      <c r="G338" s="18"/>
      <c r="H338" s="18"/>
      <c r="I338" s="18"/>
      <c r="J338" s="18"/>
      <c r="K338" s="18"/>
      <c r="L338" s="90"/>
      <c r="X338" s="651"/>
      <c r="Y338" s="651"/>
      <c r="Z338" s="651"/>
      <c r="AA338" s="651"/>
      <c r="AB338" s="651"/>
      <c r="AC338" s="651"/>
      <c r="AD338" s="651"/>
      <c r="AE338" s="651"/>
      <c r="AF338" s="651"/>
    </row>
    <row r="339" spans="1:32" s="639" customFormat="1">
      <c r="A339" s="89"/>
      <c r="B339" s="764" t="s">
        <v>2739</v>
      </c>
      <c r="C339" s="765">
        <f t="shared" ref="C339:C344" si="238">direct_cost*D339</f>
        <v>0</v>
      </c>
      <c r="D339" s="776">
        <f>i_c_pct</f>
        <v>0</v>
      </c>
      <c r="E339" s="421"/>
      <c r="F339" s="18"/>
      <c r="G339" s="18"/>
      <c r="H339" s="18"/>
      <c r="I339" s="18"/>
      <c r="J339" s="18"/>
      <c r="K339" s="18"/>
      <c r="L339" s="90"/>
      <c r="X339" s="651"/>
      <c r="Y339" s="651"/>
      <c r="Z339" s="651"/>
      <c r="AA339" s="651"/>
      <c r="AB339" s="651"/>
      <c r="AC339" s="651"/>
      <c r="AD339" s="651"/>
      <c r="AE339" s="651"/>
      <c r="AF339" s="651"/>
    </row>
    <row r="340" spans="1:32" s="639" customFormat="1">
      <c r="A340" s="89"/>
      <c r="B340" s="769" t="s">
        <v>2654</v>
      </c>
      <c r="C340" s="766">
        <f>IF(component_level="",include_conting_low,IF(component_level=1,include_conting_medium,include_conting_high))*(direct_cost+addon_cost+SUM(C331:C339,C341:C346))*D340</f>
        <v>0</v>
      </c>
      <c r="D340" s="777">
        <f>IF(component_level="",include_conting_low,IF(component_level=1,include_conting_medium,include_conting_high))*VLOOKUP(direct_cost,contingency_table_cl,3)*complexity</f>
        <v>0</v>
      </c>
      <c r="E340" s="158" t="s">
        <v>3289</v>
      </c>
      <c r="F340" s="18"/>
      <c r="G340" s="18"/>
      <c r="H340" s="18"/>
      <c r="I340" s="18"/>
      <c r="J340" s="18"/>
      <c r="K340" s="18"/>
      <c r="L340" s="90"/>
      <c r="X340" s="651"/>
      <c r="Y340" s="651"/>
      <c r="Z340" s="651"/>
      <c r="AA340" s="651"/>
      <c r="AB340" s="651"/>
      <c r="AC340" s="651"/>
      <c r="AD340" s="651"/>
      <c r="AE340" s="651"/>
      <c r="AF340" s="651"/>
    </row>
    <row r="341" spans="1:32" s="639" customFormat="1">
      <c r="A341" s="89"/>
      <c r="B341" s="764" t="s">
        <v>2655</v>
      </c>
      <c r="C341" s="765">
        <f t="shared" si="238"/>
        <v>98637.500477073248</v>
      </c>
      <c r="D341" s="776">
        <f>CHOOSE(ss_cat2,eng_pct_small,eng_pct_medium,eng_pct_large)</f>
        <v>0.12</v>
      </c>
      <c r="E341" s="158"/>
      <c r="F341" s="18"/>
      <c r="G341" s="18"/>
      <c r="H341" s="18"/>
      <c r="I341" s="18"/>
      <c r="J341" s="18"/>
      <c r="K341" s="18"/>
      <c r="L341" s="90"/>
      <c r="X341" s="651"/>
      <c r="Y341" s="651"/>
      <c r="Z341" s="651"/>
      <c r="AA341" s="651"/>
      <c r="AB341" s="651"/>
      <c r="AC341" s="651"/>
      <c r="AD341" s="651"/>
      <c r="AE341" s="651"/>
      <c r="AF341" s="651"/>
    </row>
    <row r="342" spans="1:32" s="639" customFormat="1">
      <c r="A342" s="89"/>
      <c r="B342" s="764" t="s">
        <v>1081</v>
      </c>
      <c r="C342" s="765">
        <f t="shared" si="238"/>
        <v>82197.917064227717</v>
      </c>
      <c r="D342" s="776">
        <f>misc_pct</f>
        <v>0.1</v>
      </c>
      <c r="E342" s="158"/>
      <c r="F342" s="18"/>
      <c r="G342" s="18"/>
      <c r="H342" s="18"/>
      <c r="I342" s="18"/>
      <c r="J342" s="18"/>
      <c r="K342" s="18"/>
      <c r="L342" s="90"/>
      <c r="X342" s="651"/>
      <c r="Y342" s="651"/>
      <c r="Z342" s="651"/>
      <c r="AA342" s="651"/>
      <c r="AB342" s="651"/>
      <c r="AC342" s="651"/>
      <c r="AD342" s="651"/>
      <c r="AE342" s="651"/>
      <c r="AF342" s="651"/>
    </row>
    <row r="343" spans="1:32" s="639" customFormat="1">
      <c r="A343" s="89"/>
      <c r="B343" s="764" t="s">
        <v>2656</v>
      </c>
      <c r="C343" s="765">
        <f t="shared" si="238"/>
        <v>16439.583412845543</v>
      </c>
      <c r="D343" s="776">
        <f>legal_pct</f>
        <v>0.02</v>
      </c>
      <c r="E343" s="158"/>
      <c r="F343" s="18"/>
      <c r="G343" s="18"/>
      <c r="H343" s="18"/>
      <c r="I343" s="18"/>
      <c r="J343" s="18"/>
      <c r="K343" s="18"/>
      <c r="L343" s="90"/>
      <c r="X343" s="651"/>
      <c r="Y343" s="651"/>
      <c r="Z343" s="651"/>
      <c r="AA343" s="651"/>
      <c r="AB343" s="651"/>
      <c r="AC343" s="651"/>
      <c r="AD343" s="651"/>
      <c r="AE343" s="651"/>
      <c r="AF343" s="651"/>
    </row>
    <row r="344" spans="1:32" s="639" customFormat="1">
      <c r="A344" s="89"/>
      <c r="B344" s="764" t="s">
        <v>2657</v>
      </c>
      <c r="C344" s="765">
        <f t="shared" si="238"/>
        <v>0</v>
      </c>
      <c r="D344" s="776">
        <f>tax_pct</f>
        <v>0</v>
      </c>
      <c r="E344" s="158"/>
      <c r="F344" s="18"/>
      <c r="G344" s="18"/>
      <c r="H344" s="18"/>
      <c r="I344" s="18"/>
      <c r="J344" s="18"/>
      <c r="K344" s="18"/>
      <c r="L344" s="90"/>
      <c r="X344" s="651"/>
      <c r="Y344" s="651"/>
      <c r="Z344" s="651"/>
      <c r="AA344" s="651"/>
      <c r="AB344" s="651"/>
      <c r="AC344" s="651"/>
      <c r="AD344" s="651"/>
      <c r="AE344" s="651"/>
      <c r="AF344" s="651"/>
    </row>
    <row r="345" spans="1:32" s="639" customFormat="1">
      <c r="A345" s="89"/>
      <c r="B345" s="764" t="s">
        <v>1636</v>
      </c>
      <c r="C345" s="765">
        <f>direct_cost*D345</f>
        <v>41098.958532113858</v>
      </c>
      <c r="D345" s="776">
        <f>IF(ss_cat2=1,finance_pct_small,finance_pct)</f>
        <v>0.05</v>
      </c>
      <c r="E345" s="158"/>
      <c r="F345" s="18"/>
      <c r="G345" s="18"/>
      <c r="H345" s="18"/>
      <c r="I345" s="18"/>
      <c r="J345" s="18"/>
      <c r="K345" s="18"/>
      <c r="L345" s="90"/>
      <c r="X345" s="651"/>
      <c r="Y345" s="651"/>
      <c r="Z345" s="651"/>
      <c r="AA345" s="651"/>
      <c r="AB345" s="651"/>
      <c r="AC345" s="651"/>
      <c r="AD345" s="651"/>
      <c r="AE345" s="651"/>
      <c r="AF345" s="651"/>
    </row>
    <row r="346" spans="1:32" s="639" customFormat="1">
      <c r="A346" s="89"/>
      <c r="B346" s="770" t="s">
        <v>1905</v>
      </c>
      <c r="C346" s="771">
        <f>cm_cost</f>
        <v>63833.271125143139</v>
      </c>
      <c r="D346" s="774"/>
      <c r="E346" s="158"/>
      <c r="F346" s="18"/>
      <c r="G346" s="18"/>
      <c r="H346" s="18"/>
      <c r="I346" s="18"/>
      <c r="J346" s="18"/>
      <c r="K346" s="18"/>
      <c r="L346" s="90"/>
      <c r="X346" s="651"/>
      <c r="Y346" s="651"/>
      <c r="Z346" s="651"/>
      <c r="AA346" s="651"/>
      <c r="AB346" s="651"/>
      <c r="AC346" s="651"/>
      <c r="AD346" s="651"/>
      <c r="AE346" s="651"/>
      <c r="AF346" s="651"/>
    </row>
    <row r="347" spans="1:32" s="639" customFormat="1" ht="16">
      <c r="A347" s="91"/>
      <c r="B347" s="675" t="str">
        <f>"Total indirect capital cost"&amp;IF(retrofit=1," for retrofit","")</f>
        <v>Total indirect capital cost</v>
      </c>
      <c r="C347" s="676">
        <f>indirect_cost_mult*direct_cost+indirect_cost_add</f>
        <v>545150.54964713077</v>
      </c>
      <c r="D347" s="728"/>
      <c r="E347" s="908"/>
      <c r="F347" s="111"/>
      <c r="G347" s="111"/>
      <c r="H347" s="111"/>
      <c r="I347" s="111"/>
      <c r="J347" s="111"/>
      <c r="K347" s="111"/>
      <c r="L347" s="112"/>
      <c r="X347" s="651"/>
      <c r="Y347" s="651"/>
      <c r="Z347" s="651"/>
      <c r="AA347" s="651"/>
      <c r="AB347" s="651"/>
      <c r="AC347" s="651"/>
      <c r="AD347" s="651"/>
      <c r="AE347" s="651"/>
      <c r="AF347" s="651"/>
    </row>
    <row r="348" spans="1:32" s="651" customFormat="1">
      <c r="A348" s="421"/>
      <c r="B348" s="684"/>
      <c r="C348" s="685"/>
      <c r="D348" s="686"/>
      <c r="E348" s="158"/>
      <c r="F348" s="421"/>
      <c r="G348" s="421"/>
      <c r="H348" s="421"/>
      <c r="I348" s="421"/>
      <c r="J348" s="421"/>
      <c r="K348" s="421"/>
      <c r="L348" s="421"/>
    </row>
    <row r="349" spans="1:32" s="639" customFormat="1" ht="16">
      <c r="A349" s="712" t="s">
        <v>1883</v>
      </c>
      <c r="B349" s="226"/>
      <c r="C349" s="680"/>
      <c r="D349" s="224"/>
      <c r="E349" s="225"/>
      <c r="F349" s="150"/>
      <c r="G349" s="150"/>
      <c r="H349" s="150"/>
      <c r="I349" s="150"/>
      <c r="J349" s="150"/>
      <c r="K349" s="150"/>
      <c r="L349" s="220"/>
      <c r="X349" s="651"/>
      <c r="Y349" s="651"/>
      <c r="Z349" s="651"/>
      <c r="AA349" s="651"/>
      <c r="AB349" s="651"/>
      <c r="AC349" s="651"/>
      <c r="AD349" s="651"/>
      <c r="AE349" s="651"/>
      <c r="AF349" s="651"/>
    </row>
    <row r="350" spans="1:32" s="639" customFormat="1" ht="16">
      <c r="A350" s="678"/>
      <c r="B350" s="665" t="s">
        <v>1368</v>
      </c>
      <c r="C350" s="682" t="s">
        <v>1370</v>
      </c>
      <c r="D350" s="679" t="s">
        <v>1372</v>
      </c>
      <c r="E350" s="215"/>
      <c r="F350" s="18"/>
      <c r="G350" s="18"/>
      <c r="H350" s="18"/>
      <c r="I350" s="18"/>
      <c r="J350" s="18"/>
      <c r="K350" s="18"/>
      <c r="L350" s="90"/>
      <c r="M350" s="647"/>
      <c r="N350" s="705"/>
      <c r="X350" s="651"/>
      <c r="Y350" s="651"/>
      <c r="Z350" s="651"/>
      <c r="AA350" s="651"/>
      <c r="AB350" s="651"/>
      <c r="AC350" s="651"/>
      <c r="AD350" s="651"/>
      <c r="AE350" s="651"/>
      <c r="AF350" s="651"/>
    </row>
    <row r="351" spans="1:32" s="639" customFormat="1">
      <c r="A351" s="89"/>
      <c r="B351" s="914" t="s">
        <v>3786</v>
      </c>
      <c r="C351" s="223">
        <v>1</v>
      </c>
      <c r="D351" s="158" t="s">
        <v>3287</v>
      </c>
      <c r="E351" s="18"/>
      <c r="F351" s="18"/>
      <c r="G351" s="18"/>
      <c r="H351" s="18"/>
      <c r="I351" s="18"/>
      <c r="J351" s="18"/>
      <c r="K351" s="18"/>
      <c r="L351" s="90"/>
      <c r="M351" s="647"/>
      <c r="N351" s="705"/>
      <c r="X351" s="651"/>
      <c r="Y351" s="651"/>
      <c r="Z351" s="651"/>
      <c r="AA351" s="651"/>
      <c r="AB351" s="651"/>
      <c r="AC351" s="651"/>
      <c r="AD351" s="651"/>
      <c r="AE351" s="651"/>
      <c r="AF351" s="651"/>
    </row>
    <row r="352" spans="1:32" s="639" customFormat="1">
      <c r="A352" s="637"/>
      <c r="B352" s="227"/>
      <c r="C352" s="683"/>
      <c r="D352" s="185"/>
      <c r="E352" s="18"/>
      <c r="F352" s="18"/>
      <c r="G352" s="18"/>
      <c r="H352" s="18"/>
      <c r="I352" s="18"/>
      <c r="J352" s="18"/>
      <c r="K352" s="18"/>
      <c r="L352" s="90"/>
      <c r="M352" s="647"/>
      <c r="N352" s="705"/>
      <c r="X352" s="651"/>
      <c r="Y352" s="651"/>
      <c r="Z352" s="651"/>
      <c r="AA352" s="651"/>
      <c r="AB352" s="651"/>
      <c r="AC352" s="651"/>
      <c r="AD352" s="651"/>
      <c r="AE352" s="651"/>
      <c r="AF352" s="651"/>
    </row>
    <row r="353" spans="1:32" s="639" customFormat="1">
      <c r="A353" s="89"/>
      <c r="B353" s="153" t="s">
        <v>3286</v>
      </c>
      <c r="C353" s="681" t="s">
        <v>414</v>
      </c>
      <c r="D353" s="215"/>
      <c r="E353" s="18"/>
      <c r="F353" s="18"/>
      <c r="G353" s="18"/>
      <c r="H353" s="18"/>
      <c r="I353" s="18"/>
      <c r="J353" s="18"/>
      <c r="K353" s="18"/>
      <c r="L353" s="90"/>
      <c r="X353" s="651"/>
      <c r="Y353" s="651"/>
      <c r="Z353" s="651"/>
      <c r="AA353" s="651"/>
      <c r="AB353" s="651"/>
      <c r="AC353" s="651"/>
      <c r="AD353" s="651"/>
      <c r="AE353" s="651"/>
      <c r="AF353" s="651"/>
    </row>
    <row r="354" spans="1:32" s="639" customFormat="1">
      <c r="A354" s="89"/>
      <c r="B354" s="778" t="s">
        <v>1880</v>
      </c>
      <c r="C354" s="779">
        <f>direct_cost</f>
        <v>821979.17064227711</v>
      </c>
      <c r="D354" s="215"/>
      <c r="E354" s="18"/>
      <c r="F354" s="18"/>
      <c r="G354" s="18"/>
      <c r="H354" s="18"/>
      <c r="I354" s="18"/>
      <c r="J354" s="18"/>
      <c r="K354" s="18"/>
      <c r="L354" s="90"/>
      <c r="X354" s="651"/>
      <c r="Y354" s="651"/>
      <c r="Z354" s="651"/>
      <c r="AA354" s="651"/>
      <c r="AB354" s="651"/>
      <c r="AC354" s="651"/>
      <c r="AD354" s="651"/>
      <c r="AE354" s="651"/>
      <c r="AF354" s="651"/>
    </row>
    <row r="355" spans="1:32" s="639" customFormat="1">
      <c r="A355" s="89"/>
      <c r="B355" s="778" t="s">
        <v>1881</v>
      </c>
      <c r="C355" s="779">
        <f>addon_cost</f>
        <v>71106.676495493652</v>
      </c>
      <c r="D355" s="148"/>
      <c r="E355" s="18"/>
      <c r="F355" s="18"/>
      <c r="G355" s="18"/>
      <c r="H355" s="18"/>
      <c r="I355" s="18"/>
      <c r="J355" s="18"/>
      <c r="K355" s="18"/>
      <c r="L355" s="90"/>
      <c r="X355" s="651"/>
      <c r="Y355" s="651"/>
      <c r="Z355" s="651"/>
      <c r="AA355" s="651"/>
      <c r="AB355" s="651"/>
      <c r="AC355" s="651"/>
      <c r="AD355" s="651"/>
      <c r="AE355" s="651"/>
      <c r="AF355" s="651"/>
    </row>
    <row r="356" spans="1:32" s="639" customFormat="1" ht="14" thickBot="1">
      <c r="A356" s="420"/>
      <c r="B356" s="780" t="s">
        <v>1882</v>
      </c>
      <c r="C356" s="781">
        <f>C347</f>
        <v>545150.54964713077</v>
      </c>
      <c r="D356" s="148"/>
      <c r="E356" s="18"/>
      <c r="F356" s="18"/>
      <c r="G356" s="18"/>
      <c r="H356" s="18"/>
      <c r="I356" s="18"/>
      <c r="J356" s="18"/>
      <c r="K356" s="18"/>
      <c r="L356" s="90"/>
      <c r="X356" s="651"/>
      <c r="Y356" s="651"/>
      <c r="Z356" s="651"/>
      <c r="AA356" s="651"/>
      <c r="AB356" s="651"/>
      <c r="AC356" s="651"/>
      <c r="AD356" s="651"/>
      <c r="AE356" s="651"/>
      <c r="AF356" s="651"/>
    </row>
    <row r="357" spans="1:32" s="639" customFormat="1" ht="17" thickTop="1">
      <c r="A357" s="933"/>
      <c r="B357" s="446" t="s">
        <v>3288</v>
      </c>
      <c r="C357" s="447">
        <f>(direct_cost*(1+SUM(cul_indir_mult_table))+SUM(cul_indir_add_table))*City_Index</f>
        <v>1438236.3967849016</v>
      </c>
      <c r="D357" s="183"/>
      <c r="E357" s="111"/>
      <c r="F357" s="111"/>
      <c r="G357" s="111"/>
      <c r="H357" s="111"/>
      <c r="I357" s="111"/>
      <c r="J357" s="111"/>
      <c r="K357" s="111"/>
      <c r="L357" s="112"/>
      <c r="X357" s="651"/>
      <c r="Y357" s="651"/>
      <c r="Z357" s="651"/>
      <c r="AA357" s="651"/>
      <c r="AB357" s="651"/>
      <c r="AC357" s="651"/>
      <c r="AD357" s="651"/>
      <c r="AE357" s="651"/>
      <c r="AF357" s="651"/>
    </row>
    <row r="358" spans="1:32" s="639" customFormat="1">
      <c r="A358" s="18"/>
      <c r="B358" s="227"/>
      <c r="C358" s="228"/>
      <c r="D358" s="148"/>
      <c r="E358" s="18"/>
      <c r="F358" s="18"/>
      <c r="G358" s="18"/>
      <c r="H358" s="18"/>
      <c r="I358" s="18"/>
      <c r="J358" s="18"/>
      <c r="K358" s="18"/>
      <c r="L358" s="18"/>
      <c r="X358" s="651"/>
      <c r="Y358" s="651"/>
      <c r="Z358" s="651"/>
      <c r="AA358" s="651"/>
      <c r="AB358" s="651"/>
      <c r="AC358" s="651"/>
      <c r="AD358" s="651"/>
      <c r="AE358" s="651"/>
      <c r="AF358" s="651"/>
    </row>
    <row r="359" spans="1:32" s="639" customFormat="1" ht="16">
      <c r="A359" s="448" t="s">
        <v>3291</v>
      </c>
      <c r="B359" s="226"/>
      <c r="C359" s="150"/>
      <c r="D359" s="151"/>
      <c r="E359" s="150"/>
      <c r="F359" s="150"/>
      <c r="G359" s="150"/>
      <c r="H359" s="150"/>
      <c r="I359" s="150"/>
      <c r="J359" s="150"/>
      <c r="K359" s="150"/>
      <c r="L359" s="220"/>
      <c r="X359" s="651"/>
      <c r="Y359" s="651"/>
      <c r="Z359" s="651"/>
      <c r="AA359" s="651"/>
      <c r="AB359" s="651"/>
      <c r="AC359" s="651"/>
      <c r="AD359" s="651"/>
      <c r="AE359" s="651"/>
      <c r="AF359" s="651"/>
    </row>
    <row r="360" spans="1:32" s="639" customFormat="1" ht="16">
      <c r="A360" s="913"/>
      <c r="B360" s="665" t="s">
        <v>1368</v>
      </c>
      <c r="C360" s="682" t="s">
        <v>1370</v>
      </c>
      <c r="D360" s="679" t="s">
        <v>1372</v>
      </c>
      <c r="E360" s="18"/>
      <c r="F360" s="18"/>
      <c r="G360" s="18"/>
      <c r="H360" s="18"/>
      <c r="I360" s="18"/>
      <c r="J360" s="18"/>
      <c r="K360" s="18"/>
      <c r="L360" s="90"/>
      <c r="X360" s="651"/>
      <c r="Y360" s="651"/>
      <c r="Z360" s="651"/>
      <c r="AA360" s="651"/>
      <c r="AB360" s="651"/>
      <c r="AC360" s="651"/>
      <c r="AD360" s="651"/>
      <c r="AE360" s="651"/>
      <c r="AF360" s="651"/>
    </row>
    <row r="361" spans="1:32" s="639" customFormat="1">
      <c r="A361" s="915"/>
      <c r="B361" s="914" t="s">
        <v>3787</v>
      </c>
      <c r="C361" s="223">
        <v>1</v>
      </c>
      <c r="D361" s="158" t="s">
        <v>3287</v>
      </c>
      <c r="E361" s="18"/>
      <c r="F361" s="18"/>
      <c r="G361" s="18"/>
      <c r="H361" s="18"/>
      <c r="I361" s="18"/>
      <c r="J361" s="18"/>
      <c r="K361" s="18"/>
      <c r="L361" s="90"/>
      <c r="X361" s="651"/>
      <c r="Y361" s="651"/>
      <c r="Z361" s="651"/>
      <c r="AA361" s="651"/>
      <c r="AB361" s="651"/>
      <c r="AC361" s="651"/>
      <c r="AD361" s="651"/>
      <c r="AE361" s="651"/>
      <c r="AF361" s="651"/>
    </row>
    <row r="362" spans="1:32" s="639" customFormat="1">
      <c r="A362" s="915"/>
      <c r="B362" s="147"/>
      <c r="C362" s="18"/>
      <c r="D362" s="148"/>
      <c r="E362" s="18"/>
      <c r="F362" s="18"/>
      <c r="G362" s="18"/>
      <c r="H362" s="18"/>
      <c r="I362" s="18"/>
      <c r="J362" s="18"/>
      <c r="K362" s="18"/>
      <c r="L362" s="90"/>
      <c r="X362" s="651"/>
      <c r="Y362" s="651"/>
      <c r="Z362" s="651"/>
      <c r="AA362" s="651"/>
      <c r="AB362" s="651"/>
      <c r="AC362" s="651"/>
      <c r="AD362" s="651"/>
      <c r="AE362" s="651"/>
      <c r="AF362" s="651"/>
    </row>
    <row r="363" spans="1:32" s="639" customFormat="1">
      <c r="A363" s="729"/>
      <c r="B363" s="303" t="s">
        <v>10</v>
      </c>
      <c r="C363" s="1055" t="s">
        <v>11</v>
      </c>
      <c r="D363" s="1055"/>
      <c r="E363" s="1039" t="s">
        <v>13</v>
      </c>
      <c r="F363" s="1039"/>
      <c r="G363" s="725" t="s">
        <v>1884</v>
      </c>
      <c r="H363" s="304" t="s">
        <v>117</v>
      </c>
      <c r="I363" s="153" t="s">
        <v>1372</v>
      </c>
      <c r="J363" s="421"/>
      <c r="K363" s="421"/>
      <c r="L363" s="422"/>
      <c r="X363" s="651"/>
      <c r="Y363" s="651"/>
      <c r="Z363" s="651"/>
      <c r="AA363" s="651"/>
      <c r="AB363" s="651"/>
      <c r="AC363" s="651"/>
      <c r="AD363" s="651"/>
      <c r="AE363" s="651"/>
      <c r="AF363" s="651"/>
    </row>
    <row r="364" spans="1:32" s="639" customFormat="1">
      <c r="A364" s="306"/>
      <c r="B364" s="1005" t="s">
        <v>2134</v>
      </c>
      <c r="C364" s="1005"/>
      <c r="D364" s="1005"/>
      <c r="E364" s="1005"/>
      <c r="F364" s="1005"/>
      <c r="G364" s="1005"/>
      <c r="H364" s="305"/>
      <c r="I364" s="421"/>
      <c r="J364" s="421"/>
      <c r="K364" s="421"/>
      <c r="L364" s="422"/>
      <c r="X364" s="651"/>
      <c r="Y364" s="651"/>
      <c r="Z364" s="651"/>
      <c r="AA364" s="651"/>
      <c r="AB364" s="651"/>
      <c r="AC364" s="651"/>
      <c r="AD364" s="651"/>
      <c r="AE364" s="651"/>
      <c r="AF364" s="651"/>
    </row>
    <row r="365" spans="1:32" s="639" customFormat="1">
      <c r="A365" s="730"/>
      <c r="B365" s="1006" t="s">
        <v>2155</v>
      </c>
      <c r="C365" s="1007">
        <f>Manager_LOE</f>
        <v>146.63968463894105</v>
      </c>
      <c r="D365" s="1000" t="s">
        <v>2136</v>
      </c>
      <c r="E365" s="1003">
        <f>VLOOKUP(design_flow,labor_table_cl,5)</f>
        <v>9.9834460058009107</v>
      </c>
      <c r="F365" s="1000" t="s">
        <v>2135</v>
      </c>
      <c r="G365" s="1008">
        <f>C365*E365</f>
        <v>1463.9693739005411</v>
      </c>
      <c r="H365" s="353">
        <f>IF(retrofit=1,0,1)</f>
        <v>1</v>
      </c>
      <c r="I365" s="421"/>
      <c r="J365" s="421"/>
      <c r="K365" s="421"/>
      <c r="L365" s="422"/>
      <c r="X365" s="651"/>
      <c r="Y365" s="651"/>
      <c r="Z365" s="651"/>
      <c r="AA365" s="651"/>
      <c r="AB365" s="651"/>
      <c r="AC365" s="651"/>
      <c r="AD365" s="651"/>
      <c r="AE365" s="651"/>
      <c r="AF365" s="651"/>
    </row>
    <row r="366" spans="1:32" s="639" customFormat="1">
      <c r="A366" s="730"/>
      <c r="B366" s="1006" t="s">
        <v>2156</v>
      </c>
      <c r="C366" s="1007">
        <f>Clerical_LOE</f>
        <v>146.63968463894105</v>
      </c>
      <c r="D366" s="1000" t="s">
        <v>2136</v>
      </c>
      <c r="E366" s="1003">
        <f>VLOOKUP(design_flow,labor_table_cl,6)</f>
        <v>5.6699019488776807</v>
      </c>
      <c r="F366" s="1000" t="s">
        <v>2135</v>
      </c>
      <c r="G366" s="1008">
        <f>C366*E366</f>
        <v>831.43263371714033</v>
      </c>
      <c r="H366" s="353">
        <f>IF(retrofit=1,0,1)</f>
        <v>1</v>
      </c>
      <c r="I366" s="421"/>
      <c r="J366" s="421"/>
      <c r="K366" s="421"/>
      <c r="L366" s="422"/>
      <c r="X366" s="651"/>
      <c r="Y366" s="651"/>
      <c r="Z366" s="651"/>
      <c r="AA366" s="651"/>
      <c r="AB366" s="651"/>
      <c r="AC366" s="651"/>
      <c r="AD366" s="651"/>
      <c r="AE366" s="651"/>
      <c r="AF366" s="651"/>
    </row>
    <row r="367" spans="1:32" s="639" customFormat="1" ht="26.25" customHeight="1">
      <c r="A367" s="730"/>
      <c r="B367" s="1009" t="s">
        <v>751</v>
      </c>
      <c r="C367" s="1010">
        <f>IF(retrofit=1,r_inc_Operator_LOE,Operator_LOE)</f>
        <v>1466.3968463894105</v>
      </c>
      <c r="D367" s="1011" t="s">
        <v>2136</v>
      </c>
      <c r="E367" s="1012">
        <f>VLOOKUP(design_flow,labor_table_cl,4)</f>
        <v>6.2783615639600505</v>
      </c>
      <c r="F367" s="1011" t="s">
        <v>2135</v>
      </c>
      <c r="G367" s="1013">
        <f>C367*E367</f>
        <v>9206.5695978835047</v>
      </c>
      <c r="H367" s="350">
        <f>IF(C367=0,0,1)</f>
        <v>1</v>
      </c>
      <c r="I367" s="1052" t="s">
        <v>3149</v>
      </c>
      <c r="J367" s="1053"/>
      <c r="K367" s="1053"/>
      <c r="L367" s="1054"/>
      <c r="X367" s="651"/>
      <c r="Y367" s="651"/>
      <c r="Z367" s="651"/>
      <c r="AA367" s="651"/>
      <c r="AB367" s="651"/>
      <c r="AC367" s="651"/>
      <c r="AD367" s="651"/>
      <c r="AE367" s="651"/>
      <c r="AF367" s="651"/>
    </row>
    <row r="368" spans="1:32" s="639" customFormat="1">
      <c r="A368" s="306"/>
      <c r="B368" s="209" t="s">
        <v>2137</v>
      </c>
      <c r="C368" s="209"/>
      <c r="D368" s="209"/>
      <c r="E368" s="209"/>
      <c r="F368" s="209"/>
      <c r="G368" s="209"/>
      <c r="H368" s="305"/>
      <c r="I368" s="421"/>
      <c r="J368" s="421"/>
      <c r="K368" s="421"/>
      <c r="L368" s="422"/>
      <c r="X368" s="651"/>
      <c r="Y368" s="651"/>
      <c r="Z368" s="651"/>
      <c r="AA368" s="651"/>
      <c r="AB368" s="651"/>
      <c r="AC368" s="651"/>
      <c r="AD368" s="651"/>
      <c r="AE368" s="651"/>
      <c r="AF368" s="651"/>
    </row>
    <row r="369" spans="1:32" s="639" customFormat="1">
      <c r="A369" s="730"/>
      <c r="B369" s="308" t="s">
        <v>2533</v>
      </c>
      <c r="C369" s="351" t="s">
        <v>248</v>
      </c>
      <c r="D369" s="307"/>
      <c r="E369" s="307"/>
      <c r="F369" s="307"/>
      <c r="G369" s="322">
        <f>pump_mtl</f>
        <v>294.19399557293565</v>
      </c>
      <c r="H369" s="349">
        <f>IF(OR(retrofit=1,G369=0),0,1)</f>
        <v>1</v>
      </c>
      <c r="I369" s="421"/>
      <c r="J369" s="421"/>
      <c r="K369" s="421"/>
      <c r="L369" s="422"/>
      <c r="X369" s="651"/>
      <c r="Y369" s="651"/>
      <c r="Z369" s="651"/>
      <c r="AA369" s="651"/>
      <c r="AB369" s="651"/>
      <c r="AC369" s="651"/>
      <c r="AD369" s="651"/>
      <c r="AE369" s="651"/>
      <c r="AF369" s="651"/>
    </row>
    <row r="370" spans="1:32" s="639" customFormat="1">
      <c r="A370" s="730"/>
      <c r="B370" s="307" t="s">
        <v>1014</v>
      </c>
      <c r="C370" s="351" t="s">
        <v>248</v>
      </c>
      <c r="D370" s="307"/>
      <c r="E370" s="307"/>
      <c r="F370" s="307"/>
      <c r="G370" s="322">
        <f>back_pump_mtl</f>
        <v>412.04218082197002</v>
      </c>
      <c r="H370" s="349">
        <f>IF(OR(retrofit=1,G370=0),0,1)</f>
        <v>1</v>
      </c>
      <c r="I370" s="421"/>
      <c r="J370" s="421"/>
      <c r="K370" s="421"/>
      <c r="L370" s="422"/>
      <c r="X370" s="651"/>
      <c r="Y370" s="651"/>
      <c r="Z370" s="651"/>
      <c r="AA370" s="651"/>
      <c r="AB370" s="651"/>
      <c r="AC370" s="651"/>
      <c r="AD370" s="651"/>
      <c r="AE370" s="651"/>
      <c r="AF370" s="651"/>
    </row>
    <row r="371" spans="1:32" s="639" customFormat="1">
      <c r="A371" s="730"/>
      <c r="B371" s="307" t="s">
        <v>836</v>
      </c>
      <c r="C371" s="351" t="s">
        <v>248</v>
      </c>
      <c r="D371" s="307"/>
      <c r="E371" s="307"/>
      <c r="F371" s="307"/>
      <c r="G371" s="322">
        <f>res_pump_mtl</f>
        <v>85.327909343812067</v>
      </c>
      <c r="H371" s="349">
        <f>IF(OR(retrofit=1,G371=0),0,1)</f>
        <v>1</v>
      </c>
      <c r="I371" s="421"/>
      <c r="J371" s="421"/>
      <c r="K371" s="421"/>
      <c r="L371" s="422"/>
      <c r="X371" s="651"/>
      <c r="Y371" s="651"/>
      <c r="Z371" s="651"/>
      <c r="AA371" s="651"/>
      <c r="AB371" s="651"/>
      <c r="AC371" s="651"/>
      <c r="AD371" s="651"/>
      <c r="AE371" s="651"/>
      <c r="AF371" s="651"/>
    </row>
    <row r="372" spans="1:32" s="639" customFormat="1">
      <c r="A372" s="730"/>
      <c r="B372" s="307" t="s">
        <v>3148</v>
      </c>
      <c r="C372" s="351" t="s">
        <v>248</v>
      </c>
      <c r="D372" s="307"/>
      <c r="E372" s="307"/>
      <c r="F372" s="307"/>
      <c r="G372" s="322">
        <f>filter_materials</f>
        <v>3610.0526889710841</v>
      </c>
      <c r="H372" s="349">
        <f>IF(OR(retrofit=1,G372=0),0,1)</f>
        <v>1</v>
      </c>
      <c r="I372" s="421"/>
      <c r="J372" s="421"/>
      <c r="K372" s="421"/>
      <c r="L372" s="422"/>
      <c r="X372" s="651"/>
      <c r="Y372" s="651"/>
      <c r="Z372" s="651"/>
      <c r="AA372" s="651"/>
      <c r="AB372" s="651"/>
      <c r="AC372" s="651"/>
      <c r="AD372" s="651"/>
      <c r="AE372" s="651"/>
      <c r="AF372" s="651"/>
    </row>
    <row r="373" spans="1:32" s="639" customFormat="1">
      <c r="A373" s="730"/>
      <c r="B373" s="307" t="s">
        <v>1015</v>
      </c>
      <c r="C373" s="351" t="s">
        <v>768</v>
      </c>
      <c r="D373" s="307"/>
      <c r="E373" s="307"/>
      <c r="F373" s="307"/>
      <c r="G373" s="326">
        <f>IF(regen_type=1,IF(retrofit=1,r_regen_materials,regen_materials),0)</f>
        <v>0</v>
      </c>
      <c r="H373" s="349">
        <f>IF(regen_type=1,1,0)</f>
        <v>0</v>
      </c>
      <c r="I373" s="421"/>
      <c r="J373" s="421"/>
      <c r="K373" s="421"/>
      <c r="L373" s="422"/>
      <c r="X373" s="651"/>
      <c r="Y373" s="651"/>
      <c r="Z373" s="651"/>
      <c r="AA373" s="651"/>
      <c r="AB373" s="651"/>
      <c r="AC373" s="651"/>
      <c r="AD373" s="651"/>
      <c r="AE373" s="651"/>
      <c r="AF373" s="651"/>
    </row>
    <row r="374" spans="1:32" s="639" customFormat="1">
      <c r="A374" s="730"/>
      <c r="B374" s="307" t="s">
        <v>3511</v>
      </c>
      <c r="C374" s="320">
        <f>IF(retrofit=0,total_fp,IF(r_new_furnace=1,r_inc_total_fp,0))</f>
        <v>3780</v>
      </c>
      <c r="D374" s="65" t="s">
        <v>2856</v>
      </c>
      <c r="E374" s="343">
        <f>IF(C374=0,"NA",G374/C374)</f>
        <v>0.14857538964026834</v>
      </c>
      <c r="F374" s="352" t="s">
        <v>2433</v>
      </c>
      <c r="G374" s="348">
        <f>IF(retrofit=0,bldg_maint_cost,r_bldg_maint_cost)</f>
        <v>561.61497284021436</v>
      </c>
      <c r="H374" s="349">
        <f>IF(retrofit=0,IF(bldg_maint_cost=0,0,1),IF(r_bldg_maint_cost=0,0,1))</f>
        <v>1</v>
      </c>
      <c r="I374" s="421"/>
      <c r="J374" s="688"/>
      <c r="K374" s="421"/>
      <c r="L374" s="422"/>
      <c r="X374" s="651"/>
      <c r="Y374" s="651"/>
      <c r="Z374" s="651"/>
      <c r="AA374" s="651"/>
      <c r="AB374" s="651"/>
      <c r="AC374" s="651"/>
      <c r="AD374" s="651"/>
      <c r="AE374" s="651"/>
      <c r="AF374" s="651"/>
    </row>
    <row r="375" spans="1:32" s="639" customFormat="1">
      <c r="A375" s="306"/>
      <c r="B375" s="14" t="s">
        <v>1608</v>
      </c>
      <c r="C375" s="24"/>
      <c r="D375" s="24"/>
      <c r="E375" s="24"/>
      <c r="F375" s="24"/>
      <c r="G375" s="24"/>
      <c r="H375" s="305"/>
      <c r="I375" s="421"/>
      <c r="J375" s="421"/>
      <c r="K375" s="421"/>
      <c r="L375" s="422"/>
      <c r="X375" s="651"/>
      <c r="Y375" s="651"/>
      <c r="Z375" s="651"/>
      <c r="AA375" s="651"/>
      <c r="AB375" s="651"/>
      <c r="AC375" s="651"/>
      <c r="AD375" s="651"/>
      <c r="AE375" s="651"/>
      <c r="AF375" s="651"/>
    </row>
    <row r="376" spans="1:32" s="639" customFormat="1">
      <c r="A376" s="731"/>
      <c r="B376" s="307" t="str">
        <f>IF(OR(regen_type=3,regen_type=5),"Replacement virgin GAC","Makeup GAC")</f>
        <v>Replacement virgin GAC</v>
      </c>
      <c r="C376" s="320">
        <f>IF(retrofit=1,r_GAC_makeup-GAC_makeup,GAC_makeup)</f>
        <v>256790.55995050157</v>
      </c>
      <c r="D376" s="65" t="s">
        <v>669</v>
      </c>
      <c r="E376" s="332">
        <f>'Cost Data'!D374</f>
        <v>0.94</v>
      </c>
      <c r="F376" s="352" t="s">
        <v>670</v>
      </c>
      <c r="G376" s="348">
        <f>E376*C376</f>
        <v>241383.12635347145</v>
      </c>
      <c r="H376" s="349">
        <v>1</v>
      </c>
      <c r="I376" s="421"/>
      <c r="J376" s="421"/>
      <c r="K376" s="421"/>
      <c r="L376" s="422"/>
      <c r="X376" s="651"/>
      <c r="Y376" s="651"/>
      <c r="Z376" s="651"/>
      <c r="AA376" s="651"/>
      <c r="AB376" s="651"/>
      <c r="AC376" s="651"/>
      <c r="AD376" s="651"/>
      <c r="AE376" s="651"/>
      <c r="AF376" s="651"/>
    </row>
    <row r="377" spans="1:32" s="639" customFormat="1">
      <c r="A377" s="730"/>
      <c r="B377" s="307" t="str">
        <f>IF(OR(regen_type=2,regen_type=4),"Off-site GAC regeneration","")</f>
        <v/>
      </c>
      <c r="C377" s="320">
        <f>IF(OR(regen_type=2,regen_type=4),IF(retrofit=1,r_regen_yr-regen_yr,regen_yr),0)</f>
        <v>0</v>
      </c>
      <c r="D377" s="65" t="str">
        <f>IF(OR(regen_type=2,regen_type=4),"lbs/yr","")</f>
        <v/>
      </c>
      <c r="E377" s="340">
        <f>IF(OR(regen_type=2,regen_type=4),IF(curve=1,IF(retrofit=1,r_off_regen_eq,off_regen_eq),VLOOKUP(IF(retrofit=1,r_regen_yr,regen_yr),off_regen_cost_cl,3)),0)+IF(regen_type=4,IF(retrofit=1,r_haz_regen_transp-haz_regen_transp,haz_regen_transp)/C377,0)</f>
        <v>0</v>
      </c>
      <c r="F377" s="65" t="str">
        <f>IF(OR(regen_type=2,regen_type=4),"/lb","")</f>
        <v/>
      </c>
      <c r="G377" s="348">
        <f>E377*C377</f>
        <v>0</v>
      </c>
      <c r="H377" s="349">
        <f>IF(OR(regen_type=2,regen_type=4),1,0)</f>
        <v>0</v>
      </c>
      <c r="I377" s="421"/>
      <c r="J377" s="421"/>
      <c r="K377" s="421"/>
      <c r="L377" s="422"/>
      <c r="X377" s="651"/>
      <c r="Y377" s="651"/>
      <c r="Z377" s="651"/>
      <c r="AA377" s="651"/>
      <c r="AB377" s="651"/>
      <c r="AC377" s="651"/>
      <c r="AD377" s="651"/>
      <c r="AE377" s="651"/>
      <c r="AF377" s="651"/>
    </row>
    <row r="378" spans="1:32" s="639" customFormat="1">
      <c r="A378" s="730"/>
      <c r="B378" s="307" t="str">
        <f>"Ferric Chloride"&amp;coag_purchase</f>
        <v>Ferric Chloride</v>
      </c>
      <c r="C378" s="320">
        <f>coag_yr</f>
        <v>0</v>
      </c>
      <c r="D378" s="65" t="s">
        <v>669</v>
      </c>
      <c r="E378" s="332">
        <f>VLOOKUP(B378,chem_cost_cl,3,FALSE)</f>
        <v>0.16017416334156323</v>
      </c>
      <c r="F378" s="352" t="s">
        <v>670</v>
      </c>
      <c r="G378" s="348">
        <f>E378*C378</f>
        <v>0</v>
      </c>
      <c r="H378" s="349">
        <f>IF(OR(retrofit=1,G378=0),0,1)</f>
        <v>0</v>
      </c>
      <c r="I378" s="421"/>
      <c r="J378" s="421"/>
      <c r="K378" s="421"/>
      <c r="L378" s="422"/>
      <c r="X378" s="651"/>
      <c r="Y378" s="651"/>
      <c r="Z378" s="651"/>
      <c r="AA378" s="651"/>
      <c r="AB378" s="651"/>
      <c r="AC378" s="651"/>
      <c r="AD378" s="651"/>
      <c r="AE378" s="651"/>
      <c r="AF378" s="651"/>
    </row>
    <row r="379" spans="1:32" s="639" customFormat="1">
      <c r="A379" s="730"/>
      <c r="B379" s="307" t="str">
        <f>"Polymers"&amp;polymer_purchase</f>
        <v>Polymers</v>
      </c>
      <c r="C379" s="320">
        <f>polymer_yr</f>
        <v>0</v>
      </c>
      <c r="D379" s="65" t="s">
        <v>669</v>
      </c>
      <c r="E379" s="332">
        <f>VLOOKUP(B379,chem_cost_cl,3,FALSE)</f>
        <v>0.74137399196238118</v>
      </c>
      <c r="F379" s="352" t="s">
        <v>670</v>
      </c>
      <c r="G379" s="348">
        <f>E379*C379</f>
        <v>0</v>
      </c>
      <c r="H379" s="349">
        <f>IF(OR(retrofit=1,G379=0),0,1)</f>
        <v>0</v>
      </c>
      <c r="I379" s="421"/>
      <c r="J379" s="421"/>
      <c r="K379" s="421"/>
      <c r="L379" s="422"/>
      <c r="X379" s="651"/>
      <c r="Y379" s="651"/>
      <c r="Z379" s="651"/>
      <c r="AA379" s="651"/>
      <c r="AB379" s="651"/>
      <c r="AC379" s="651"/>
      <c r="AD379" s="651"/>
      <c r="AE379" s="651"/>
      <c r="AF379" s="651"/>
    </row>
    <row r="380" spans="1:32" s="639" customFormat="1">
      <c r="A380" s="306"/>
      <c r="B380" s="1006" t="s">
        <v>671</v>
      </c>
      <c r="C380" s="24"/>
      <c r="D380" s="24"/>
      <c r="E380" s="24"/>
      <c r="F380" s="24"/>
      <c r="G380" s="24"/>
      <c r="H380" s="305"/>
      <c r="I380" s="421"/>
      <c r="J380" s="421"/>
      <c r="K380" s="421"/>
      <c r="L380" s="422"/>
      <c r="X380" s="651"/>
      <c r="Y380" s="651"/>
      <c r="Z380" s="651"/>
      <c r="AA380" s="651"/>
      <c r="AB380" s="651"/>
      <c r="AC380" s="651"/>
      <c r="AD380" s="651"/>
      <c r="AE380" s="651"/>
      <c r="AF380" s="651"/>
    </row>
    <row r="381" spans="1:32" s="639" customFormat="1">
      <c r="A381" s="730"/>
      <c r="B381" s="1006" t="s">
        <v>673</v>
      </c>
      <c r="C381" s="320">
        <f>pump_energy</f>
        <v>144.70314170898419</v>
      </c>
      <c r="D381" s="65" t="s">
        <v>674</v>
      </c>
      <c r="E381" s="332">
        <f>energy_cost_cl</f>
        <v>7.3999999999999996E-2</v>
      </c>
      <c r="F381" s="65" t="s">
        <v>675</v>
      </c>
      <c r="G381" s="322">
        <f>E381*C381*1000</f>
        <v>10708.03248646483</v>
      </c>
      <c r="H381" s="349">
        <f>IF(OR(retrofit=1,G381=0),0,1)</f>
        <v>1</v>
      </c>
      <c r="I381" s="421"/>
      <c r="J381" s="421"/>
      <c r="K381" s="421"/>
      <c r="L381" s="422"/>
      <c r="X381" s="651"/>
      <c r="Y381" s="651"/>
      <c r="Z381" s="651"/>
      <c r="AA381" s="651"/>
      <c r="AB381" s="651"/>
      <c r="AC381" s="651"/>
      <c r="AD381" s="651"/>
      <c r="AE381" s="651"/>
      <c r="AF381" s="651"/>
    </row>
    <row r="382" spans="1:32" s="639" customFormat="1">
      <c r="A382" s="730"/>
      <c r="B382" s="1000" t="s">
        <v>1016</v>
      </c>
      <c r="C382" s="320">
        <f>back_pump_energy</f>
        <v>0.33932809883628973</v>
      </c>
      <c r="D382" s="65" t="s">
        <v>674</v>
      </c>
      <c r="E382" s="332">
        <f>energy_cost_cl</f>
        <v>7.3999999999999996E-2</v>
      </c>
      <c r="F382" s="352" t="s">
        <v>1017</v>
      </c>
      <c r="G382" s="348">
        <f>E382*C382*1000</f>
        <v>25.110279313885439</v>
      </c>
      <c r="H382" s="349">
        <f>IF(OR(retrofit=1,G382=0),0,1)</f>
        <v>1</v>
      </c>
      <c r="I382" s="421"/>
      <c r="J382" s="421"/>
      <c r="K382" s="421"/>
      <c r="L382" s="422"/>
      <c r="X382" s="651"/>
      <c r="Y382" s="651"/>
      <c r="Z382" s="651"/>
      <c r="AA382" s="651"/>
      <c r="AB382" s="651"/>
      <c r="AC382" s="651"/>
      <c r="AD382" s="651"/>
      <c r="AE382" s="651"/>
      <c r="AF382" s="651"/>
    </row>
    <row r="383" spans="1:32" s="639" customFormat="1">
      <c r="A383" s="730"/>
      <c r="B383" s="1006" t="s">
        <v>837</v>
      </c>
      <c r="C383" s="320">
        <f>res_pump_energy</f>
        <v>0.59298245500441726</v>
      </c>
      <c r="D383" s="65" t="s">
        <v>674</v>
      </c>
      <c r="E383" s="343">
        <f>IF(C383=0,"NA",energy_cost_cl)</f>
        <v>7.3999999999999996E-2</v>
      </c>
      <c r="F383" s="65" t="str">
        <f>IF(C383=0,"","/kwh")</f>
        <v>/kwh</v>
      </c>
      <c r="G383" s="326">
        <f>IF(C383=0,"--",E383*C383*1000)</f>
        <v>43.880701670326879</v>
      </c>
      <c r="H383" s="349">
        <f>IF(OR(retrofit=1,G383=0),0,1)</f>
        <v>1</v>
      </c>
      <c r="I383" s="421"/>
      <c r="J383" s="421"/>
      <c r="K383" s="421"/>
      <c r="L383" s="422"/>
      <c r="X383" s="651"/>
      <c r="Y383" s="651"/>
      <c r="Z383" s="651"/>
      <c r="AA383" s="651"/>
      <c r="AB383" s="651"/>
      <c r="AC383" s="651"/>
      <c r="AD383" s="651"/>
      <c r="AE383" s="651"/>
      <c r="AF383" s="651"/>
    </row>
    <row r="384" spans="1:32" s="639" customFormat="1">
      <c r="A384" s="730"/>
      <c r="B384" s="1000" t="s">
        <v>1018</v>
      </c>
      <c r="C384" s="320">
        <f>IF(regen_type=1,IF(retrofit=0,regen_energy,r_regen_energy),0)</f>
        <v>0</v>
      </c>
      <c r="D384" s="65" t="s">
        <v>674</v>
      </c>
      <c r="E384" s="343" t="str">
        <f>IF(regen_type=1,energy_cost_cl,"NA")</f>
        <v>NA</v>
      </c>
      <c r="F384" s="65" t="str">
        <f>IF(regen_type=1,"/KWh","")</f>
        <v/>
      </c>
      <c r="G384" s="323" t="str">
        <f>IF(regen_type=1,E384*C384*1000,"--")</f>
        <v>--</v>
      </c>
      <c r="H384" s="353">
        <f>IF(regen_type=1,1,0)</f>
        <v>0</v>
      </c>
      <c r="I384" s="421"/>
      <c r="J384" s="421"/>
      <c r="K384" s="421"/>
      <c r="L384" s="422"/>
      <c r="X384" s="651"/>
      <c r="Y384" s="651"/>
      <c r="Z384" s="651"/>
      <c r="AA384" s="651"/>
      <c r="AB384" s="651"/>
      <c r="AC384" s="651"/>
      <c r="AD384" s="651"/>
      <c r="AE384" s="651"/>
      <c r="AF384" s="651"/>
    </row>
    <row r="385" spans="1:32" s="639" customFormat="1">
      <c r="A385" s="730"/>
      <c r="B385" s="1000" t="s">
        <v>1019</v>
      </c>
      <c r="C385" s="320">
        <f>IF(regen_type=1,IF(retrofit=0,regen_ng,r_regen_ng),0)</f>
        <v>0</v>
      </c>
      <c r="D385" s="65" t="s">
        <v>298</v>
      </c>
      <c r="E385" s="343" t="str">
        <f>IF(regen_type=1,gas_cost_cl,"NA")</f>
        <v>NA</v>
      </c>
      <c r="F385" s="65" t="str">
        <f>IF(regen_type=1,"/therm","")</f>
        <v/>
      </c>
      <c r="G385" s="326" t="str">
        <f>IF(regen_type=1,E385*C385,"--")</f>
        <v>--</v>
      </c>
      <c r="H385" s="353">
        <f>IF(regen_type=1,1,0)</f>
        <v>0</v>
      </c>
      <c r="I385" s="421"/>
      <c r="J385" s="421"/>
      <c r="K385" s="421"/>
      <c r="L385" s="422"/>
      <c r="X385" s="651"/>
      <c r="Y385" s="651"/>
      <c r="Z385" s="651"/>
      <c r="AA385" s="651"/>
      <c r="AB385" s="651"/>
      <c r="AC385" s="651"/>
      <c r="AD385" s="651"/>
      <c r="AE385" s="651"/>
      <c r="AF385" s="651"/>
    </row>
    <row r="386" spans="1:32" s="639" customFormat="1">
      <c r="A386" s="730"/>
      <c r="B386" s="1006" t="s">
        <v>1839</v>
      </c>
      <c r="C386" s="320">
        <f>IF(retrofit=0,lighting,r_lighting)</f>
        <v>0</v>
      </c>
      <c r="D386" s="65" t="s">
        <v>674</v>
      </c>
      <c r="E386" s="332">
        <f>energy_cost_cl</f>
        <v>7.3999999999999996E-2</v>
      </c>
      <c r="F386" s="65" t="s">
        <v>675</v>
      </c>
      <c r="G386" s="322">
        <f>E386*C386*1000</f>
        <v>0</v>
      </c>
      <c r="H386" s="349">
        <f>IF(C386=0,0,1)</f>
        <v>0</v>
      </c>
      <c r="I386" s="421"/>
      <c r="J386" s="421"/>
      <c r="K386" s="421"/>
      <c r="L386" s="422"/>
      <c r="X386" s="651"/>
      <c r="Y386" s="651"/>
      <c r="Z386" s="651"/>
      <c r="AA386" s="651"/>
      <c r="AB386" s="651"/>
      <c r="AC386" s="651"/>
      <c r="AD386" s="651"/>
      <c r="AE386" s="651"/>
      <c r="AF386" s="651"/>
    </row>
    <row r="387" spans="1:32" s="639" customFormat="1">
      <c r="A387" s="730"/>
      <c r="B387" s="1006" t="s">
        <v>1840</v>
      </c>
      <c r="C387" s="320">
        <f>IF(retrofit=0,ventilation,r_ventilation)</f>
        <v>4.9936046400000018</v>
      </c>
      <c r="D387" s="65" t="s">
        <v>674</v>
      </c>
      <c r="E387" s="332">
        <f>energy_cost_cl</f>
        <v>7.3999999999999996E-2</v>
      </c>
      <c r="F387" s="65" t="s">
        <v>675</v>
      </c>
      <c r="G387" s="322">
        <f>E387*C387*1000</f>
        <v>369.52674336000013</v>
      </c>
      <c r="H387" s="488">
        <f>IF(G387=0,0,1)</f>
        <v>1</v>
      </c>
      <c r="I387" s="421"/>
      <c r="J387" s="421"/>
      <c r="K387" s="421"/>
      <c r="L387" s="422"/>
      <c r="X387" s="651"/>
      <c r="Y387" s="651"/>
      <c r="Z387" s="651"/>
      <c r="AA387" s="651"/>
      <c r="AB387" s="651"/>
      <c r="AC387" s="651"/>
      <c r="AD387" s="651"/>
      <c r="AE387" s="651"/>
      <c r="AF387" s="651"/>
    </row>
    <row r="388" spans="1:32" s="639" customFormat="1">
      <c r="A388" s="730"/>
      <c r="B388" s="669" t="s">
        <v>1841</v>
      </c>
      <c r="C388" s="669"/>
      <c r="D388" s="669"/>
      <c r="E388" s="669"/>
      <c r="F388" s="669"/>
      <c r="G388" s="669"/>
      <c r="H388" s="732"/>
      <c r="I388" s="421"/>
      <c r="J388" s="421"/>
      <c r="K388" s="421"/>
      <c r="L388" s="422"/>
      <c r="X388" s="651"/>
      <c r="Y388" s="651"/>
      <c r="Z388" s="651"/>
      <c r="AA388" s="651"/>
      <c r="AB388" s="651"/>
      <c r="AC388" s="651"/>
      <c r="AD388" s="651"/>
      <c r="AE388" s="651"/>
      <c r="AF388" s="651"/>
    </row>
    <row r="389" spans="1:32" s="639" customFormat="1">
      <c r="A389" s="730"/>
      <c r="B389" s="1" t="s">
        <v>610</v>
      </c>
      <c r="C389" s="320">
        <f>IF(retrofit=0,cooling,0)</f>
        <v>0</v>
      </c>
      <c r="D389" s="65" t="s">
        <v>674</v>
      </c>
      <c r="E389" s="332">
        <f>energy_cost_cl</f>
        <v>7.3999999999999996E-2</v>
      </c>
      <c r="F389" s="65" t="s">
        <v>675</v>
      </c>
      <c r="G389" s="322">
        <f>E389*C389*1000</f>
        <v>0</v>
      </c>
      <c r="H389" s="488">
        <f>IF(G389=0,0,1)</f>
        <v>0</v>
      </c>
      <c r="I389" s="421"/>
      <c r="J389" s="421"/>
      <c r="K389" s="421"/>
      <c r="L389" s="422"/>
      <c r="X389" s="651"/>
      <c r="Y389" s="651"/>
      <c r="Z389" s="651"/>
      <c r="AA389" s="651"/>
      <c r="AB389" s="651"/>
      <c r="AC389" s="651"/>
      <c r="AD389" s="651"/>
      <c r="AE389" s="651"/>
      <c r="AF389" s="651"/>
    </row>
    <row r="390" spans="1:32" s="639" customFormat="1">
      <c r="A390" s="730"/>
      <c r="B390" s="1" t="s">
        <v>2710</v>
      </c>
      <c r="C390" s="320">
        <f>IF(retrofit=0,cooling_hp,0)</f>
        <v>0</v>
      </c>
      <c r="D390" s="65" t="s">
        <v>674</v>
      </c>
      <c r="E390" s="332">
        <f>energy_cost_cl</f>
        <v>7.3999999999999996E-2</v>
      </c>
      <c r="F390" s="65" t="s">
        <v>675</v>
      </c>
      <c r="G390" s="322">
        <f>E390*C390*1000</f>
        <v>0</v>
      </c>
      <c r="H390" s="488">
        <f>IF(G390=0,0,1)</f>
        <v>0</v>
      </c>
      <c r="I390" s="421"/>
      <c r="J390" s="421"/>
      <c r="K390" s="421"/>
      <c r="L390" s="422"/>
      <c r="X390" s="651"/>
      <c r="Y390" s="651"/>
      <c r="Z390" s="651"/>
      <c r="AA390" s="651"/>
      <c r="AB390" s="651"/>
      <c r="AC390" s="651"/>
      <c r="AD390" s="651"/>
      <c r="AE390" s="651"/>
      <c r="AF390" s="651"/>
    </row>
    <row r="391" spans="1:32" s="639" customFormat="1">
      <c r="A391" s="730"/>
      <c r="B391" s="669" t="s">
        <v>2844</v>
      </c>
      <c r="C391" s="669"/>
      <c r="D391" s="669"/>
      <c r="E391" s="669"/>
      <c r="F391" s="669"/>
      <c r="G391" s="669"/>
      <c r="H391" s="732"/>
      <c r="I391" s="421"/>
      <c r="J391" s="688"/>
      <c r="K391" s="421"/>
      <c r="L391" s="422"/>
      <c r="X391" s="651"/>
      <c r="Y391" s="651"/>
      <c r="Z391" s="651"/>
      <c r="AA391" s="651"/>
      <c r="AB391" s="651"/>
      <c r="AC391" s="651"/>
      <c r="AD391" s="651"/>
      <c r="AE391" s="651"/>
      <c r="AF391" s="651"/>
    </row>
    <row r="392" spans="1:32" s="639" customFormat="1">
      <c r="A392" s="730"/>
      <c r="B392" s="1" t="s">
        <v>1662</v>
      </c>
      <c r="C392" s="320">
        <f>IF(retrofit=0,heating,0)</f>
        <v>0</v>
      </c>
      <c r="D392" s="65" t="s">
        <v>674</v>
      </c>
      <c r="E392" s="332">
        <f>energy_cost_cl</f>
        <v>7.3999999999999996E-2</v>
      </c>
      <c r="F392" s="352" t="s">
        <v>675</v>
      </c>
      <c r="G392" s="322">
        <f>E392*C392*1000</f>
        <v>0</v>
      </c>
      <c r="H392" s="488">
        <f t="shared" ref="H392:H397" si="239">IF(G392=0,0,1)</f>
        <v>0</v>
      </c>
      <c r="I392" s="421"/>
      <c r="J392" s="688"/>
      <c r="K392" s="421"/>
      <c r="L392" s="422"/>
      <c r="X392" s="651"/>
      <c r="Y392" s="651"/>
      <c r="Z392" s="651"/>
      <c r="AA392" s="651"/>
      <c r="AB392" s="651"/>
      <c r="AC392" s="651"/>
      <c r="AD392" s="651"/>
      <c r="AE392" s="651"/>
      <c r="AF392" s="651"/>
    </row>
    <row r="393" spans="1:32" s="639" customFormat="1">
      <c r="A393" s="730"/>
      <c r="B393" s="1" t="s">
        <v>611</v>
      </c>
      <c r="C393" s="320">
        <f>IF(retrofit=0,heating_hp,0)</f>
        <v>0</v>
      </c>
      <c r="D393" s="65" t="s">
        <v>674</v>
      </c>
      <c r="E393" s="332">
        <f>energy_cost_cl</f>
        <v>7.3999999999999996E-2</v>
      </c>
      <c r="F393" s="352" t="s">
        <v>675</v>
      </c>
      <c r="G393" s="322">
        <f>E393*C393*1000</f>
        <v>0</v>
      </c>
      <c r="H393" s="488">
        <f t="shared" si="239"/>
        <v>0</v>
      </c>
      <c r="I393" s="421"/>
      <c r="J393" s="688"/>
      <c r="K393" s="421"/>
      <c r="L393" s="422"/>
      <c r="X393" s="651"/>
      <c r="Y393" s="651"/>
      <c r="Z393" s="651"/>
      <c r="AA393" s="651"/>
      <c r="AB393" s="651"/>
      <c r="AC393" s="651"/>
      <c r="AD393" s="651"/>
      <c r="AE393" s="651"/>
      <c r="AF393" s="651"/>
    </row>
    <row r="394" spans="1:32" s="639" customFormat="1">
      <c r="A394" s="730"/>
      <c r="B394" s="1" t="s">
        <v>725</v>
      </c>
      <c r="C394" s="320">
        <f>IF(retrofit=0,heating_gas_non,0)</f>
        <v>0</v>
      </c>
      <c r="D394" s="65" t="s">
        <v>298</v>
      </c>
      <c r="E394" s="332">
        <f>gas_cost_cl</f>
        <v>0.17399999999999999</v>
      </c>
      <c r="F394" s="352" t="s">
        <v>2817</v>
      </c>
      <c r="G394" s="322">
        <f>E394*C394</f>
        <v>0</v>
      </c>
      <c r="H394" s="488">
        <f t="shared" si="239"/>
        <v>0</v>
      </c>
      <c r="I394" s="421"/>
      <c r="J394" s="688"/>
      <c r="K394" s="421"/>
      <c r="L394" s="422"/>
      <c r="X394" s="651"/>
      <c r="Y394" s="651"/>
      <c r="Z394" s="651"/>
      <c r="AA394" s="651"/>
      <c r="AB394" s="651"/>
      <c r="AC394" s="651"/>
      <c r="AD394" s="651"/>
      <c r="AE394" s="651"/>
      <c r="AF394" s="651"/>
    </row>
    <row r="395" spans="1:32" s="639" customFormat="1">
      <c r="A395" s="730"/>
      <c r="B395" s="1" t="s">
        <v>726</v>
      </c>
      <c r="C395" s="320">
        <f>IF(retrofit=0,heating_gas,0)</f>
        <v>9855.5177620651466</v>
      </c>
      <c r="D395" s="65" t="s">
        <v>298</v>
      </c>
      <c r="E395" s="332">
        <f>gas_cost_cl</f>
        <v>0.17399999999999999</v>
      </c>
      <c r="F395" s="352" t="s">
        <v>2817</v>
      </c>
      <c r="G395" s="322">
        <f>E395*C395</f>
        <v>1714.8600905993353</v>
      </c>
      <c r="H395" s="488">
        <f t="shared" si="239"/>
        <v>1</v>
      </c>
      <c r="I395" s="421"/>
      <c r="J395" s="688"/>
      <c r="K395" s="421"/>
      <c r="L395" s="422"/>
      <c r="X395" s="651"/>
      <c r="Y395" s="651"/>
      <c r="Z395" s="651"/>
      <c r="AA395" s="651"/>
      <c r="AB395" s="651"/>
      <c r="AC395" s="651"/>
      <c r="AD395" s="651"/>
      <c r="AE395" s="651"/>
      <c r="AF395" s="651"/>
    </row>
    <row r="396" spans="1:32" s="639" customFormat="1">
      <c r="A396" s="730"/>
      <c r="B396" s="65" t="s">
        <v>1297</v>
      </c>
      <c r="C396" s="320">
        <f>IF(retrofit=0,heating_diesel_non,0)</f>
        <v>0</v>
      </c>
      <c r="D396" s="65" t="s">
        <v>608</v>
      </c>
      <c r="E396" s="332">
        <f>diesel_cost_cl</f>
        <v>3.8295007720020586</v>
      </c>
      <c r="F396" s="352" t="s">
        <v>2818</v>
      </c>
      <c r="G396" s="322">
        <f>E396*C396</f>
        <v>0</v>
      </c>
      <c r="H396" s="488">
        <f t="shared" si="239"/>
        <v>0</v>
      </c>
      <c r="I396" s="421"/>
      <c r="J396" s="688"/>
      <c r="K396" s="421"/>
      <c r="L396" s="422"/>
      <c r="X396" s="651"/>
      <c r="Y396" s="651"/>
      <c r="Z396" s="651"/>
      <c r="AA396" s="651"/>
      <c r="AB396" s="651"/>
      <c r="AC396" s="651"/>
      <c r="AD396" s="651"/>
      <c r="AE396" s="651"/>
      <c r="AF396" s="651"/>
    </row>
    <row r="397" spans="1:32" s="639" customFormat="1">
      <c r="A397" s="730"/>
      <c r="B397" s="65" t="s">
        <v>1298</v>
      </c>
      <c r="C397" s="320">
        <f>IF(retrofit=0,heating_diesel,0)</f>
        <v>0</v>
      </c>
      <c r="D397" s="65" t="s">
        <v>608</v>
      </c>
      <c r="E397" s="332">
        <f>diesel_cost_cl</f>
        <v>3.8295007720020586</v>
      </c>
      <c r="F397" s="352" t="s">
        <v>2818</v>
      </c>
      <c r="G397" s="322">
        <f>E397*C397</f>
        <v>0</v>
      </c>
      <c r="H397" s="488">
        <f t="shared" si="239"/>
        <v>0</v>
      </c>
      <c r="I397" s="421"/>
      <c r="J397" s="688"/>
      <c r="K397" s="421"/>
      <c r="L397" s="422"/>
      <c r="X397" s="651"/>
      <c r="Y397" s="651"/>
      <c r="Z397" s="651"/>
      <c r="AA397" s="651"/>
      <c r="AB397" s="651"/>
      <c r="AC397" s="651"/>
      <c r="AD397" s="651"/>
      <c r="AE397" s="651"/>
      <c r="AF397" s="651"/>
    </row>
    <row r="398" spans="1:32" s="639" customFormat="1">
      <c r="A398" s="306"/>
      <c r="B398" s="14" t="s">
        <v>2470</v>
      </c>
      <c r="C398" s="14"/>
      <c r="D398" s="14"/>
      <c r="E398" s="14"/>
      <c r="F398" s="14"/>
      <c r="G398" s="14"/>
      <c r="H398" s="305"/>
      <c r="I398" s="421"/>
      <c r="J398" s="688"/>
      <c r="K398" s="421"/>
      <c r="L398" s="422"/>
      <c r="X398" s="651"/>
      <c r="Y398" s="651"/>
      <c r="Z398" s="651"/>
      <c r="AA398" s="651"/>
      <c r="AB398" s="651"/>
      <c r="AC398" s="651"/>
      <c r="AD398" s="651"/>
      <c r="AE398" s="651"/>
      <c r="AF398" s="651"/>
    </row>
    <row r="399" spans="1:32" s="639" customFormat="1">
      <c r="A399" s="733"/>
      <c r="B399" s="308" t="s">
        <v>838</v>
      </c>
      <c r="C399" s="320">
        <f>IF(res_s2_opt=2,res_flow_annual,0)</f>
        <v>0</v>
      </c>
      <c r="D399" s="65" t="s">
        <v>608</v>
      </c>
      <c r="E399" s="354" t="str">
        <f>IF(res_s2_opt=2,G399/C399,"NA")</f>
        <v>NA</v>
      </c>
      <c r="F399" s="352" t="str">
        <f>IF(res_s2_opt=2,"/gal","")</f>
        <v/>
      </c>
      <c r="G399" s="326" t="str">
        <f>IF(res_s2_opt=2,POTW_fee,"--")</f>
        <v>--</v>
      </c>
      <c r="H399" s="353">
        <f>IF(retrofit=1,0,IF(res_s2_opt=2,1,0))</f>
        <v>0</v>
      </c>
      <c r="I399" s="724"/>
      <c r="J399" s="688"/>
      <c r="K399" s="421"/>
      <c r="L399" s="422"/>
      <c r="X399" s="651"/>
      <c r="Y399" s="651"/>
      <c r="Z399" s="651"/>
      <c r="AA399" s="651"/>
      <c r="AB399" s="651"/>
      <c r="AC399" s="651"/>
      <c r="AD399" s="651"/>
      <c r="AE399" s="651"/>
      <c r="AF399" s="651"/>
    </row>
    <row r="400" spans="1:32" s="639" customFormat="1">
      <c r="A400" s="731"/>
      <c r="B400" s="307" t="s">
        <v>841</v>
      </c>
      <c r="C400" s="516">
        <f>IF(retrofit=1,IF(r_disp_freq=0,0,r_spent_media_yr-spent_media_yr),IF(disp_freq=0,0,spent_media_yr))</f>
        <v>320.98819993812697</v>
      </c>
      <c r="D400" s="65" t="s">
        <v>839</v>
      </c>
      <c r="E400" s="332">
        <f>IF(IF(retrofit=1,r_disp_freq,disp_freq)=0,0,G400/C400)</f>
        <v>872.12019409104562</v>
      </c>
      <c r="F400" s="352" t="s">
        <v>840</v>
      </c>
      <c r="G400" s="348">
        <f>IF(retrofit=1,r_disposal_fee-disposal_fee,disposal_fee)</f>
        <v>279940.29123097466</v>
      </c>
      <c r="H400" s="349">
        <f>IF(C400=0,0,1)</f>
        <v>1</v>
      </c>
      <c r="I400" s="935"/>
      <c r="J400" s="724"/>
      <c r="K400" s="724"/>
      <c r="L400" s="936"/>
      <c r="X400" s="651"/>
      <c r="Y400" s="651"/>
      <c r="Z400" s="651"/>
      <c r="AA400" s="651"/>
      <c r="AB400" s="651"/>
      <c r="AC400" s="651"/>
      <c r="AD400" s="651"/>
      <c r="AE400" s="651"/>
      <c r="AF400" s="651"/>
    </row>
    <row r="401" spans="1:32" s="639" customFormat="1">
      <c r="A401" s="731"/>
      <c r="B401" s="307" t="str">
        <f>IF(res_s2_opt=5,"Evaporation pond solids disposal",IF(htanks&lt;&gt;0,"Holding "&amp;res_holding&amp;" solids disposal",""))</f>
        <v>Holding tanks solids disposal</v>
      </c>
      <c r="C401" s="516">
        <f>IF(B401="","",res_solids*sol_disp_freq)</f>
        <v>1.2289630227738708</v>
      </c>
      <c r="D401" s="65" t="str">
        <f>IF(B401="","","ton/yr")</f>
        <v>ton/yr</v>
      </c>
      <c r="E401" s="332">
        <f>IF(B401="","",G401/C401)</f>
        <v>1301.27745258969</v>
      </c>
      <c r="F401" s="352" t="str">
        <f>IF(B401="","","/ton")</f>
        <v>/ton</v>
      </c>
      <c r="G401" s="348">
        <f>IF(B401="","",sol_disposal_fee)</f>
        <v>1599.221871602108</v>
      </c>
      <c r="H401" s="349">
        <f>IF(B401="","",IF(retrofit=1,0,IF(C401=0,0,1)))</f>
        <v>1</v>
      </c>
      <c r="I401" s="1049" t="str">
        <f>IF(AND(res_solids&lt;&gt;0,solids_haz=1,solids_method=2),"Land application assumed to be zero cost, but labor cost for handling is still included in operator hours","")</f>
        <v/>
      </c>
      <c r="J401" s="1050"/>
      <c r="K401" s="1050"/>
      <c r="L401" s="1051"/>
      <c r="X401" s="651"/>
      <c r="Y401" s="651"/>
      <c r="Z401" s="651"/>
      <c r="AA401" s="651"/>
      <c r="AB401" s="651"/>
      <c r="AC401" s="651"/>
      <c r="AD401" s="651"/>
      <c r="AE401" s="651"/>
      <c r="AF401" s="651"/>
    </row>
    <row r="402" spans="1:32" s="639" customFormat="1">
      <c r="A402" s="731"/>
      <c r="B402" s="307" t="str">
        <f>IF(num_sept_tanks&lt;&gt;0,"Septic tank solids disposal","")</f>
        <v/>
      </c>
      <c r="C402" s="355" t="str">
        <f>IF(B402="","",res_solids*septic_disp_freq)</f>
        <v/>
      </c>
      <c r="D402" s="65" t="str">
        <f>IF(B402="","","ton/yr")</f>
        <v/>
      </c>
      <c r="E402" s="332" t="str">
        <f>IF(B402="","",G402/C402)</f>
        <v/>
      </c>
      <c r="F402" s="352" t="str">
        <f>IF(B402="","","/ton")</f>
        <v/>
      </c>
      <c r="G402" s="426" t="str">
        <f>IF(B402="","",septic_disposal_fee)</f>
        <v/>
      </c>
      <c r="H402" s="349" t="str">
        <f>IF(B402="","",IF(retrofit=1,0,IF(C402=0,0,1)))</f>
        <v/>
      </c>
      <c r="I402" s="724"/>
      <c r="J402" s="421"/>
      <c r="K402" s="421"/>
      <c r="L402" s="422"/>
      <c r="X402" s="651"/>
      <c r="Y402" s="651"/>
      <c r="Z402" s="651"/>
      <c r="AA402" s="651"/>
      <c r="AB402" s="651"/>
      <c r="AC402" s="651"/>
      <c r="AD402" s="651"/>
      <c r="AE402" s="651"/>
      <c r="AF402" s="651"/>
    </row>
    <row r="403" spans="1:32" s="639" customFormat="1">
      <c r="A403" s="425"/>
      <c r="B403" s="693" t="s">
        <v>1081</v>
      </c>
      <c r="C403" s="694">
        <f>misc_pct</f>
        <v>0.1</v>
      </c>
      <c r="D403" s="693"/>
      <c r="E403" s="695"/>
      <c r="F403" s="693"/>
      <c r="G403" s="696">
        <f>SUMPRODUCT(G365:G402,H365:H402)*C403</f>
        <v>55224.925311050778</v>
      </c>
      <c r="H403" s="697">
        <f>IF(C403=0,0,1)</f>
        <v>1</v>
      </c>
      <c r="I403" s="421"/>
      <c r="J403" s="421"/>
      <c r="K403" s="421"/>
      <c r="L403" s="422"/>
      <c r="X403" s="651"/>
      <c r="Y403" s="651"/>
      <c r="Z403" s="651"/>
      <c r="AA403" s="651"/>
      <c r="AB403" s="651"/>
      <c r="AC403" s="651"/>
      <c r="AD403" s="651"/>
      <c r="AE403" s="651"/>
      <c r="AF403" s="651"/>
    </row>
    <row r="404" spans="1:32" s="639" customFormat="1" ht="16">
      <c r="A404" s="91"/>
      <c r="B404" s="692" t="s">
        <v>3788</v>
      </c>
      <c r="C404" s="111"/>
      <c r="D404" s="690"/>
      <c r="E404" s="691"/>
      <c r="F404" s="691"/>
      <c r="G404" s="689">
        <f>SUMPRODUCT(G365:G403,H365:H403)*OM_City_Index</f>
        <v>607474.17842155846</v>
      </c>
      <c r="H404" s="111"/>
      <c r="I404" s="111"/>
      <c r="J404" s="111"/>
      <c r="K404" s="111"/>
      <c r="L404" s="112"/>
      <c r="X404" s="651"/>
      <c r="Y404" s="651"/>
      <c r="Z404" s="651"/>
      <c r="AA404" s="651"/>
      <c r="AB404" s="651"/>
      <c r="AC404" s="651"/>
      <c r="AD404" s="651"/>
      <c r="AE404" s="651"/>
      <c r="AF404" s="651"/>
    </row>
    <row r="405" spans="1:32" s="639" customFormat="1">
      <c r="A405" s="18"/>
      <c r="B405" s="147"/>
      <c r="C405" s="18"/>
      <c r="D405" s="148"/>
      <c r="E405" s="18"/>
      <c r="F405" s="18"/>
      <c r="G405" s="18"/>
      <c r="H405" s="18"/>
      <c r="I405" s="18"/>
      <c r="J405" s="18"/>
      <c r="K405" s="18"/>
      <c r="L405" s="18"/>
      <c r="X405" s="651"/>
      <c r="Y405" s="651"/>
      <c r="Z405" s="651"/>
      <c r="AA405" s="651"/>
      <c r="AB405" s="651"/>
      <c r="AC405" s="651"/>
      <c r="AD405" s="651"/>
      <c r="AE405" s="651"/>
      <c r="AF405" s="651"/>
    </row>
    <row r="406" spans="1:32" s="639" customFormat="1" ht="16">
      <c r="A406" s="186" t="s">
        <v>3043</v>
      </c>
      <c r="B406" s="226"/>
      <c r="C406" s="226"/>
      <c r="D406" s="226"/>
      <c r="E406" s="226"/>
      <c r="F406" s="226"/>
      <c r="G406" s="226"/>
      <c r="H406" s="226"/>
      <c r="I406" s="226"/>
      <c r="J406" s="226"/>
      <c r="K406" s="226"/>
      <c r="L406" s="415"/>
      <c r="X406" s="651"/>
      <c r="Y406" s="651"/>
      <c r="Z406" s="651"/>
      <c r="AA406" s="651"/>
      <c r="AB406" s="651"/>
      <c r="AC406" s="651"/>
      <c r="AD406" s="651"/>
      <c r="AE406" s="651"/>
      <c r="AF406" s="651"/>
    </row>
    <row r="407" spans="1:32" s="639" customFormat="1" ht="16">
      <c r="A407" s="678"/>
      <c r="B407" s="665" t="s">
        <v>1368</v>
      </c>
      <c r="C407" s="682" t="s">
        <v>1370</v>
      </c>
      <c r="D407" s="679" t="s">
        <v>1372</v>
      </c>
      <c r="E407" s="147"/>
      <c r="F407" s="147"/>
      <c r="G407" s="147"/>
      <c r="H407" s="147"/>
      <c r="I407" s="147"/>
      <c r="J407" s="147"/>
      <c r="K407" s="147"/>
      <c r="L407" s="417"/>
      <c r="X407" s="651"/>
      <c r="Y407" s="651"/>
      <c r="Z407" s="651"/>
      <c r="AA407" s="651"/>
      <c r="AB407" s="651"/>
      <c r="AC407" s="651"/>
      <c r="AD407" s="651"/>
      <c r="AE407" s="651"/>
      <c r="AF407" s="651"/>
    </row>
    <row r="408" spans="1:32" s="639" customFormat="1">
      <c r="A408" s="152"/>
      <c r="B408" s="227" t="s">
        <v>3044</v>
      </c>
      <c r="C408" s="416">
        <v>7.0000000000000007E-2</v>
      </c>
      <c r="D408" s="158" t="s">
        <v>3045</v>
      </c>
      <c r="E408" s="147"/>
      <c r="F408" s="147"/>
      <c r="G408" s="147"/>
      <c r="H408" s="147"/>
      <c r="I408" s="147"/>
      <c r="J408" s="147"/>
      <c r="K408" s="147"/>
      <c r="L408" s="417"/>
      <c r="X408" s="651"/>
      <c r="Y408" s="651"/>
      <c r="Z408" s="651"/>
      <c r="AA408" s="651"/>
      <c r="AB408" s="651"/>
      <c r="AC408" s="651"/>
      <c r="AD408" s="651"/>
      <c r="AE408" s="651"/>
      <c r="AF408" s="651"/>
    </row>
    <row r="409" spans="1:32" s="639" customFormat="1">
      <c r="A409" s="152"/>
      <c r="B409" s="227" t="s">
        <v>3046</v>
      </c>
      <c r="C409" s="418" t="s">
        <v>3047</v>
      </c>
      <c r="D409" s="158" t="s">
        <v>3045</v>
      </c>
      <c r="E409" s="147"/>
      <c r="F409" s="147"/>
      <c r="G409" s="147"/>
      <c r="H409" s="147"/>
      <c r="I409" s="147"/>
      <c r="J409" s="147"/>
      <c r="K409" s="147"/>
      <c r="L409" s="417"/>
      <c r="X409" s="651"/>
      <c r="Y409" s="651"/>
      <c r="Z409" s="651"/>
      <c r="AA409" s="651"/>
      <c r="AB409" s="651"/>
      <c r="AC409" s="651"/>
      <c r="AD409" s="651"/>
      <c r="AE409" s="651"/>
      <c r="AF409" s="651"/>
    </row>
    <row r="410" spans="1:32" s="639" customFormat="1">
      <c r="A410" s="152"/>
      <c r="B410" s="227" t="s">
        <v>3048</v>
      </c>
      <c r="C410" s="419">
        <v>2.5299999999999998</v>
      </c>
      <c r="D410" s="158" t="s">
        <v>3045</v>
      </c>
      <c r="E410" s="147"/>
      <c r="F410" s="147"/>
      <c r="G410" s="147"/>
      <c r="H410" s="147"/>
      <c r="I410" s="147"/>
      <c r="J410" s="147"/>
      <c r="K410" s="147"/>
      <c r="L410" s="417"/>
      <c r="X410" s="651"/>
      <c r="Y410" s="651"/>
      <c r="Z410" s="651"/>
      <c r="AA410" s="651"/>
      <c r="AB410" s="651"/>
      <c r="AC410" s="651"/>
      <c r="AD410" s="651"/>
      <c r="AE410" s="651"/>
      <c r="AF410" s="651"/>
    </row>
    <row r="411" spans="1:32" s="639" customFormat="1">
      <c r="A411" s="638"/>
      <c r="B411" s="227"/>
      <c r="C411" s="698"/>
      <c r="D411" s="158"/>
      <c r="E411" s="147"/>
      <c r="F411" s="147"/>
      <c r="G411" s="147"/>
      <c r="H411" s="147"/>
      <c r="I411" s="147"/>
      <c r="J411" s="147"/>
      <c r="K411" s="147"/>
      <c r="L411" s="417"/>
      <c r="X411" s="651"/>
      <c r="Y411" s="651"/>
      <c r="Z411" s="651"/>
      <c r="AA411" s="651"/>
      <c r="AB411" s="651"/>
      <c r="AC411" s="651"/>
      <c r="AD411" s="651"/>
      <c r="AE411" s="651"/>
      <c r="AF411" s="651"/>
    </row>
    <row r="412" spans="1:32" s="639" customFormat="1">
      <c r="A412" s="420"/>
      <c r="B412" s="702" t="s">
        <v>3250</v>
      </c>
      <c r="C412" s="701" t="s">
        <v>1370</v>
      </c>
      <c r="D412" s="153" t="s">
        <v>1371</v>
      </c>
      <c r="E412" s="679"/>
      <c r="F412" s="421"/>
      <c r="G412" s="421"/>
      <c r="H412" s="421"/>
      <c r="I412" s="421"/>
      <c r="J412" s="421"/>
      <c r="K412" s="421"/>
      <c r="L412" s="422"/>
      <c r="X412" s="651"/>
      <c r="Y412" s="651"/>
      <c r="Z412" s="651"/>
      <c r="AA412" s="651"/>
      <c r="AB412" s="651"/>
      <c r="AC412" s="651"/>
      <c r="AD412" s="651"/>
      <c r="AE412" s="651"/>
      <c r="AF412" s="651"/>
    </row>
    <row r="413" spans="1:32" s="639" customFormat="1">
      <c r="A413" s="420"/>
      <c r="B413" s="782" t="s">
        <v>3049</v>
      </c>
      <c r="C413" s="783">
        <f>IF(AND(retrofit=1,direct_cost=0,system_cost&lt;&gt;0),IF(build_UL=0,20,build_UL),IF(system_cost=0,"NA",ROUND((direct_for_UL+IF(build_UL=0,0,addon_cost+indirect_cost))/(total_direct_depreciation+IF(build_UL=0,0,(addon_cost+indirect_cost)/build_UL)),1)))</f>
        <v>27.5</v>
      </c>
      <c r="D413" s="421" t="s">
        <v>3050</v>
      </c>
      <c r="E413" s="421"/>
      <c r="F413" s="421"/>
      <c r="G413" s="421"/>
      <c r="H413" s="421"/>
      <c r="I413" s="421"/>
      <c r="J413" s="421"/>
      <c r="K413" s="421"/>
      <c r="L413" s="422"/>
      <c r="X413" s="651"/>
      <c r="Y413" s="651"/>
      <c r="Z413" s="651"/>
      <c r="AA413" s="651"/>
      <c r="AB413" s="651"/>
      <c r="AC413" s="651"/>
      <c r="AD413" s="651"/>
      <c r="AE413" s="651"/>
      <c r="AF413" s="651"/>
    </row>
    <row r="414" spans="1:32" s="639" customFormat="1">
      <c r="A414" s="420"/>
      <c r="B414" s="782" t="s">
        <v>3051</v>
      </c>
      <c r="C414" s="784">
        <f>IF(source_select="ground water",(average_flow*1000/0.08558)^(1/1.0584),(average_flow*1000/0.14004)^(1/0.99703))/hh_size</f>
        <v>5682.5330979453865</v>
      </c>
      <c r="D414" s="421" t="s">
        <v>3052</v>
      </c>
      <c r="E414" s="421"/>
      <c r="F414" s="421"/>
      <c r="G414" s="421"/>
      <c r="H414" s="421"/>
      <c r="I414" s="421"/>
      <c r="J414" s="421"/>
      <c r="K414" s="421"/>
      <c r="L414" s="422"/>
      <c r="X414" s="651"/>
      <c r="Y414" s="651"/>
      <c r="Z414" s="651"/>
      <c r="AA414" s="651"/>
      <c r="AB414" s="651"/>
      <c r="AC414" s="651"/>
      <c r="AD414" s="651"/>
      <c r="AE414" s="651"/>
      <c r="AF414" s="651"/>
    </row>
    <row r="415" spans="1:32" s="639" customFormat="1">
      <c r="A415" s="827"/>
      <c r="B415" s="828" t="s">
        <v>3487</v>
      </c>
      <c r="C415" s="829">
        <f>-PMT(Discount_rate,useful_life,system_cost)</f>
        <v>119225.29178698656</v>
      </c>
      <c r="D415" s="699" t="s">
        <v>1320</v>
      </c>
      <c r="E415" s="421"/>
      <c r="F415" s="421"/>
      <c r="G415" s="421"/>
      <c r="H415" s="421"/>
      <c r="I415" s="421"/>
      <c r="J415" s="421"/>
      <c r="K415" s="421"/>
      <c r="L415" s="422"/>
      <c r="X415" s="651"/>
      <c r="Y415" s="651"/>
      <c r="Z415" s="651"/>
      <c r="AA415" s="651"/>
      <c r="AB415" s="651"/>
      <c r="AC415" s="651"/>
      <c r="AD415" s="651"/>
      <c r="AE415" s="651"/>
      <c r="AF415" s="651"/>
    </row>
    <row r="416" spans="1:32" s="639" customFormat="1">
      <c r="A416" s="827"/>
      <c r="B416" s="830" t="s">
        <v>254</v>
      </c>
      <c r="C416" s="831">
        <f>OM_cost</f>
        <v>607474.17842155846</v>
      </c>
      <c r="D416" s="699" t="s">
        <v>1320</v>
      </c>
      <c r="E416" s="421"/>
      <c r="F416" s="421"/>
      <c r="G416" s="421"/>
      <c r="H416" s="421"/>
      <c r="I416" s="421"/>
      <c r="J416" s="421"/>
      <c r="K416" s="421"/>
      <c r="L416" s="422"/>
      <c r="X416" s="651"/>
      <c r="Y416" s="651"/>
      <c r="Z416" s="651"/>
      <c r="AA416" s="651"/>
      <c r="AB416" s="651"/>
      <c r="AC416" s="651"/>
      <c r="AD416" s="651"/>
      <c r="AE416" s="651"/>
      <c r="AF416" s="651"/>
    </row>
    <row r="417" spans="1:32" s="639" customFormat="1" ht="16">
      <c r="A417" s="89"/>
      <c r="B417" s="832" t="s">
        <v>3488</v>
      </c>
      <c r="C417" s="833">
        <f>Annualized_Capital_Cost+OM_cost</f>
        <v>726699.47020854498</v>
      </c>
      <c r="D417" s="699" t="s">
        <v>1320</v>
      </c>
      <c r="E417" s="910" t="str">
        <f>IF(ISERROR(OR(TAC_pct_cap,TAC_pct_OM)),"",TEXT(TAC_pct_cap,"0%")&amp;" annualized capital, "&amp;TEXT(TAC_pct_OM,"0%")&amp;" annual O&amp;M")</f>
        <v>16% annualized capital, 84% annual O&amp;M</v>
      </c>
      <c r="F417" s="18"/>
      <c r="G417" s="18"/>
      <c r="H417" s="18"/>
      <c r="I417" s="911"/>
      <c r="J417" s="18"/>
      <c r="K417" s="18"/>
      <c r="L417" s="90"/>
      <c r="X417" s="651"/>
      <c r="Y417" s="651"/>
      <c r="Z417" s="651"/>
      <c r="AA417" s="651"/>
      <c r="AB417" s="651"/>
      <c r="AC417" s="651"/>
      <c r="AD417" s="651"/>
      <c r="AE417" s="651"/>
      <c r="AF417" s="651"/>
    </row>
    <row r="418" spans="1:32" s="639" customFormat="1">
      <c r="A418" s="89"/>
      <c r="B418" s="785" t="s">
        <v>3053</v>
      </c>
      <c r="C418" s="786">
        <f>Annualized_Cost/(average_flow*365*1000)</f>
        <v>0.92516610252144549</v>
      </c>
      <c r="D418" s="699" t="s">
        <v>3054</v>
      </c>
      <c r="E418" s="18"/>
      <c r="F418" s="18"/>
      <c r="G418" s="18"/>
      <c r="H418" s="18"/>
      <c r="I418" s="18"/>
      <c r="J418" s="18"/>
      <c r="K418" s="18"/>
      <c r="L418" s="90"/>
      <c r="X418" s="651"/>
      <c r="Y418" s="651"/>
      <c r="Z418" s="651"/>
      <c r="AA418" s="651"/>
      <c r="AB418" s="651"/>
      <c r="AC418" s="651"/>
      <c r="AD418" s="651"/>
      <c r="AE418" s="651"/>
      <c r="AF418" s="651"/>
    </row>
    <row r="419" spans="1:32" s="639" customFormat="1">
      <c r="A419" s="91"/>
      <c r="B419" s="787" t="s">
        <v>3055</v>
      </c>
      <c r="C419" s="788">
        <f>Annualized_Cost/households</f>
        <v>127.88301584574934</v>
      </c>
      <c r="D419" s="700" t="s">
        <v>3056</v>
      </c>
      <c r="E419" s="111"/>
      <c r="F419" s="111"/>
      <c r="G419" s="111"/>
      <c r="H419" s="111"/>
      <c r="I419" s="111"/>
      <c r="J419" s="111"/>
      <c r="K419" s="111"/>
      <c r="L419" s="112"/>
      <c r="X419" s="651"/>
      <c r="Y419" s="651"/>
      <c r="Z419" s="651"/>
      <c r="AA419" s="651"/>
      <c r="AB419" s="651"/>
      <c r="AC419" s="651"/>
      <c r="AD419" s="651"/>
      <c r="AE419" s="651"/>
      <c r="AF419" s="651"/>
    </row>
    <row r="420" spans="1:32" s="639" customFormat="1">
      <c r="A420" s="18"/>
      <c r="B420" s="147"/>
      <c r="C420" s="18"/>
      <c r="D420" s="148"/>
      <c r="E420" s="18"/>
      <c r="F420" s="18"/>
      <c r="G420" s="18"/>
      <c r="H420" s="18"/>
      <c r="I420" s="18"/>
      <c r="J420" s="18"/>
      <c r="K420" s="18"/>
      <c r="L420" s="18"/>
      <c r="X420" s="651"/>
      <c r="Y420" s="651"/>
      <c r="Z420" s="651"/>
      <c r="AA420" s="651"/>
      <c r="AB420" s="651"/>
      <c r="AC420" s="651"/>
      <c r="AD420" s="651"/>
      <c r="AE420" s="651"/>
      <c r="AF420" s="651"/>
    </row>
    <row r="421" spans="1:32">
      <c r="A421" s="1" t="s">
        <v>3016</v>
      </c>
      <c r="B421" s="1"/>
      <c r="D421"/>
    </row>
    <row r="422" spans="1:32">
      <c r="B422" s="5" t="s">
        <v>231</v>
      </c>
      <c r="C422" s="13">
        <f>C331</f>
        <v>43907.726004199132</v>
      </c>
      <c r="D422"/>
    </row>
    <row r="423" spans="1:32">
      <c r="B423" s="5" t="s">
        <v>232</v>
      </c>
      <c r="C423" s="13">
        <f>C332</f>
        <v>5519.5306330546118</v>
      </c>
      <c r="D423"/>
    </row>
    <row r="424" spans="1:32">
      <c r="B424" s="414" t="s">
        <v>3475</v>
      </c>
      <c r="C424" s="706">
        <f>D333</f>
        <v>0</v>
      </c>
      <c r="D424"/>
    </row>
    <row r="425" spans="1:32">
      <c r="B425" s="5" t="s">
        <v>1576</v>
      </c>
      <c r="C425" s="13">
        <f>C334</f>
        <v>95704.615384615376</v>
      </c>
      <c r="D425"/>
    </row>
    <row r="426" spans="1:32">
      <c r="B426" s="5" t="s">
        <v>2037</v>
      </c>
      <c r="C426" s="13">
        <f>C335</f>
        <v>9536.3417641355063</v>
      </c>
      <c r="D426"/>
    </row>
    <row r="427" spans="1:32">
      <c r="B427" s="5" t="s">
        <v>2038</v>
      </c>
      <c r="C427" s="13">
        <f>C336</f>
        <v>0</v>
      </c>
      <c r="D427"/>
    </row>
    <row r="428" spans="1:32">
      <c r="B428" s="5" t="s">
        <v>2737</v>
      </c>
      <c r="C428" s="13">
        <f>C337</f>
        <v>12210</v>
      </c>
      <c r="D428"/>
    </row>
    <row r="429" spans="1:32">
      <c r="B429" s="5" t="s">
        <v>2738</v>
      </c>
      <c r="C429" s="13">
        <f>C338</f>
        <v>76065.10524972259</v>
      </c>
      <c r="D429"/>
    </row>
    <row r="430" spans="1:32">
      <c r="B430" s="5" t="s">
        <v>2739</v>
      </c>
      <c r="C430" s="706">
        <f t="shared" ref="C430:C436" si="240">D339</f>
        <v>0</v>
      </c>
      <c r="D430"/>
    </row>
    <row r="431" spans="1:32">
      <c r="B431" s="5" t="s">
        <v>2654</v>
      </c>
      <c r="C431" s="13">
        <f>C340</f>
        <v>0</v>
      </c>
      <c r="D431"/>
    </row>
    <row r="432" spans="1:32">
      <c r="B432" s="5" t="s">
        <v>2655</v>
      </c>
      <c r="C432" s="13">
        <f>C341</f>
        <v>98637.500477073248</v>
      </c>
      <c r="D432"/>
    </row>
    <row r="433" spans="2:40">
      <c r="B433" s="5" t="s">
        <v>1081</v>
      </c>
      <c r="C433" s="706">
        <f t="shared" si="240"/>
        <v>0.1</v>
      </c>
      <c r="D433"/>
    </row>
    <row r="434" spans="2:40">
      <c r="B434" s="5" t="s">
        <v>2656</v>
      </c>
      <c r="C434" s="706">
        <f t="shared" si="240"/>
        <v>0.02</v>
      </c>
      <c r="D434"/>
    </row>
    <row r="435" spans="2:40">
      <c r="B435" s="5" t="s">
        <v>2657</v>
      </c>
      <c r="C435" s="706">
        <f t="shared" si="240"/>
        <v>0</v>
      </c>
      <c r="D435"/>
    </row>
    <row r="436" spans="2:40">
      <c r="B436" s="5" t="s">
        <v>1636</v>
      </c>
      <c r="C436" s="706">
        <f t="shared" si="240"/>
        <v>0.05</v>
      </c>
      <c r="D436"/>
    </row>
    <row r="437" spans="2:40">
      <c r="B437" s="5" t="s">
        <v>1905</v>
      </c>
      <c r="C437" s="707">
        <f>C346</f>
        <v>63833.271125143139</v>
      </c>
      <c r="D437"/>
    </row>
    <row r="438" spans="2:40">
      <c r="B438" s="414" t="s">
        <v>3017</v>
      </c>
      <c r="C438" s="706">
        <f>SUM(cul_indir_mult_table)</f>
        <v>0.17</v>
      </c>
      <c r="D438"/>
    </row>
    <row r="439" spans="2:40">
      <c r="B439" s="414" t="s">
        <v>3018</v>
      </c>
      <c r="C439" s="599">
        <f>SUM(cul_indir_add_table)-addon_cost</f>
        <v>405414.09063794371</v>
      </c>
      <c r="D439" s="414"/>
    </row>
    <row r="440" spans="2:40">
      <c r="B440" s="1" t="s">
        <v>3019</v>
      </c>
      <c r="C440" s="13">
        <f>C347+addon_cost</f>
        <v>616257.22614262439</v>
      </c>
      <c r="D440"/>
    </row>
    <row r="442" spans="2:40">
      <c r="B442" s="708" t="s">
        <v>2938</v>
      </c>
      <c r="C442" t="b">
        <f>INPUT!C34</f>
        <v>1</v>
      </c>
      <c r="D442" t="b">
        <f>INPUT!C36</f>
        <v>1</v>
      </c>
      <c r="E442" t="b">
        <f>INPUT!C37</f>
        <v>1</v>
      </c>
      <c r="F442" t="b">
        <f>INPUT!C38</f>
        <v>1</v>
      </c>
      <c r="G442" t="b">
        <f>INPUT!C39</f>
        <v>1</v>
      </c>
      <c r="H442" t="b">
        <f>INPUT!C40</f>
        <v>1</v>
      </c>
      <c r="I442" t="b">
        <f>INPUT!C43</f>
        <v>1</v>
      </c>
      <c r="J442" t="b">
        <f>INPUT!C45</f>
        <v>1</v>
      </c>
      <c r="K442" t="b">
        <f>INPUT!C46</f>
        <v>1</v>
      </c>
      <c r="L442" t="b">
        <f>INPUT!C47</f>
        <v>1</v>
      </c>
      <c r="M442" t="b">
        <f>INPUT!C48</f>
        <v>1</v>
      </c>
      <c r="N442" t="b">
        <f>INPUT!C49</f>
        <v>1</v>
      </c>
      <c r="O442" t="b">
        <f>INPUT!C53</f>
        <v>1</v>
      </c>
      <c r="P442" t="b">
        <f>INPUT!C57</f>
        <v>1</v>
      </c>
      <c r="Q442" t="b">
        <f>INPUT!C58</f>
        <v>1</v>
      </c>
      <c r="R442" t="b">
        <f>INPUT!C59</f>
        <v>1</v>
      </c>
      <c r="S442" t="b">
        <f>INPUT!C60</f>
        <v>1</v>
      </c>
      <c r="T442" t="b">
        <f>INPUT!C65</f>
        <v>1</v>
      </c>
      <c r="U442" t="b">
        <f>INPUT!C66</f>
        <v>1</v>
      </c>
      <c r="V442" t="b">
        <f>INPUT!C67</f>
        <v>1</v>
      </c>
      <c r="W442" t="b">
        <f>INPUT!C68</f>
        <v>1</v>
      </c>
      <c r="X442" s="414" t="b">
        <f>INPUT!C70</f>
        <v>1</v>
      </c>
      <c r="Y442" s="414" t="b">
        <f>INPUT!C75</f>
        <v>1</v>
      </c>
      <c r="Z442" s="414" t="b">
        <f>INPUT!C76</f>
        <v>1</v>
      </c>
      <c r="AA442" s="414" t="b">
        <f>INPUT!C77</f>
        <v>1</v>
      </c>
      <c r="AB442" s="414" t="b">
        <f>INPUT!C78</f>
        <v>1</v>
      </c>
      <c r="AC442" s="414" t="b">
        <f>INPUT!C79</f>
        <v>1</v>
      </c>
      <c r="AD442" s="414" t="b">
        <f>INPUT!C80</f>
        <v>1</v>
      </c>
      <c r="AE442" s="414" t="b">
        <f>INPUT!C81</f>
        <v>1</v>
      </c>
      <c r="AF442" s="414" t="b">
        <f>INPUT!C83</f>
        <v>1</v>
      </c>
      <c r="AG442" t="b">
        <f>INPUT!C84</f>
        <v>1</v>
      </c>
      <c r="AH442" t="b">
        <f>INPUT!C85</f>
        <v>1</v>
      </c>
      <c r="AI442" t="b">
        <f>INPUT!C86</f>
        <v>1</v>
      </c>
      <c r="AJ442" t="b">
        <f>INPUT!C87</f>
        <v>1</v>
      </c>
      <c r="AK442" t="b">
        <f>INPUT!C88</f>
        <v>1</v>
      </c>
      <c r="AL442" t="b">
        <f>INPUT!C89</f>
        <v>1</v>
      </c>
      <c r="AM442" t="b">
        <f>INPUT!C107</f>
        <v>1</v>
      </c>
      <c r="AN442" t="b">
        <f>INPUT!C117</f>
        <v>1</v>
      </c>
    </row>
    <row r="443" spans="2:40">
      <c r="B443" s="2" t="s">
        <v>3014</v>
      </c>
      <c r="C443" t="b">
        <f>IF(COUNTIF(use_column,"x")&gt;0,TRUE,FALSE)</f>
        <v>0</v>
      </c>
      <c r="D443"/>
    </row>
    <row r="444" spans="2:40">
      <c r="B444" s="2" t="s">
        <v>1052</v>
      </c>
      <c r="C444" t="b">
        <f>IF(COUNTIF(use_column,"ec")+COUNTIF(use_column,"ep")&gt;0,TRUE,FALSE)</f>
        <v>0</v>
      </c>
      <c r="D444"/>
    </row>
  </sheetData>
  <mergeCells count="24">
    <mergeCell ref="I401:L401"/>
    <mergeCell ref="I367:L367"/>
    <mergeCell ref="N35:V35"/>
    <mergeCell ref="C363:D363"/>
    <mergeCell ref="A35:A37"/>
    <mergeCell ref="B35:B37"/>
    <mergeCell ref="C35:D37"/>
    <mergeCell ref="E35:F37"/>
    <mergeCell ref="G35:H37"/>
    <mergeCell ref="AA36:AC36"/>
    <mergeCell ref="AD36:AF36"/>
    <mergeCell ref="AG35:AH36"/>
    <mergeCell ref="E363:F363"/>
    <mergeCell ref="X35:AF35"/>
    <mergeCell ref="W35:W37"/>
    <mergeCell ref="I35:I37"/>
    <mergeCell ref="J35:J37"/>
    <mergeCell ref="K35:K37"/>
    <mergeCell ref="L35:L37"/>
    <mergeCell ref="M35:M37"/>
    <mergeCell ref="N36:P36"/>
    <mergeCell ref="Q36:S36"/>
    <mergeCell ref="T36:V36"/>
    <mergeCell ref="X36:Z36"/>
  </mergeCells>
  <phoneticPr fontId="0" type="noConversion"/>
  <conditionalFormatting sqref="A73:K77 A271:K274 A207:K209 B199:K205 A70:K70 A256:K257 A45:L45 J163:K165 A79:K82 A204:A205 A84:K88 H180:H183 J146:K148 A250:K251 A262:K267 F180:F183 A318:A319 A233:K234 A259:K260 A212:K220 H185:H188 A40:K43 A180:A183 A199:A201 A90:K93 A253:K254 A46:K46 F185:F188 A314:A315 A227:K230 A94:A97 J143:J148 A130:K141 A269:B269 A58:K61 A167:K169 I160:K162 B160:H165 A150:K155 B314:C316 D314:K315 L315 E318:L319 A113:K121 A47:L50 C94:K97 C269:K274 A248:K248 A53:K56 A236:K238 C67:K70 A68:B70 C101:K105 A102:A105 A107:K110 A123:K128 A143:K145 A146:H148 B157:K159 A157:A165 C173:K177 A174:B177 A244:K246 A222:K225">
    <cfRule type="expression" dxfId="80" priority="98" stopIfTrue="1">
      <formula>IF(OR($L40=0,NOT(ISNUMBER($L40))),TRUE,FALSE)</formula>
    </cfRule>
  </conditionalFormatting>
  <conditionalFormatting sqref="C369:G373 C389 B399:H402 H369:H374 H367 B365:G367 F389:G390 B369:B374 B389:B390 E389 D389:D390 H381:H386 B381:G387 B392:G397 G403:H403 B376:H379">
    <cfRule type="expression" dxfId="79" priority="99" stopIfTrue="1">
      <formula>IF(OR($H365=0,NOT(ISNUMBER($H365))),TRUE,FALSE)</formula>
    </cfRule>
  </conditionalFormatting>
  <conditionalFormatting sqref="I163:I165">
    <cfRule type="expression" dxfId="78" priority="100" stopIfTrue="1">
      <formula>IF(OR($L146=0,NOT(ISNUMBER($L146))),TRUE,FALSE)</formula>
    </cfRule>
  </conditionalFormatting>
  <conditionalFormatting sqref="I146:I148">
    <cfRule type="expression" dxfId="77" priority="101" stopIfTrue="1">
      <formula>IF(OR($L126=0,NOT(ISNUMBER($L126))),TRUE,FALSE)</formula>
    </cfRule>
  </conditionalFormatting>
  <conditionalFormatting sqref="A190:K193 C101 A185:E188 A195:K198 I185:K188 G185:G188 B180:E183 G180:G183 I180:K183 A288:K289 G101 A277:K280 A291:K294 B94:B97 C173 C67 J123:K125 F143:K145 A123:B125 D173:K177 D123:D125 F123:F125 H123:H125 A143:D145 D101:F105 H101:K105 A302:K303 A305:K308 A310:K313 D67:L70 A282:K286 A296:K300 A68:B70 A102:B105 A174:B177">
    <cfRule type="expression" dxfId="76" priority="102" stopIfTrue="1">
      <formula>IF(OR($L67=0,NOT(ISNUMBER($L67))),TRUE,FALSE)</formula>
    </cfRule>
  </conditionalFormatting>
  <conditionalFormatting sqref="L185:L188 L180:L183 L190:L193 L195:L198">
    <cfRule type="cellIs" dxfId="75" priority="103" stopIfTrue="1" operator="equal">
      <formula>0</formula>
    </cfRule>
    <cfRule type="expression" dxfId="74" priority="104" stopIfTrue="1">
      <formula>OR($L180="x",$L180="ec",$L180="ep")</formula>
    </cfRule>
  </conditionalFormatting>
  <conditionalFormatting sqref="C374:G374 H387 H389:H390 H392:H397">
    <cfRule type="expression" dxfId="73" priority="105" stopIfTrue="1">
      <formula>IF(OR($H374=0,NOT(ISNUMBER($H374))),TRUE,FALSE)</formula>
    </cfRule>
  </conditionalFormatting>
  <conditionalFormatting sqref="H365:H366">
    <cfRule type="expression" dxfId="72" priority="111" stopIfTrue="1">
      <formula>IF(OR(NOT(ISNUMBER($H365)),$H365=0),TRUE,FALSE)</formula>
    </cfRule>
  </conditionalFormatting>
  <conditionalFormatting sqref="L296:L300 L277:L280 L282:L286 L288:L289 L291:L294 L169 L199 L40:L43 L46 L51:L53 L302:L303 L305:L308 L310:L314 L57:L61 L67:L97 L101:L121 L123:L141 L143:L155 L157:L167 L173:L178 L244:L274 L201:L238">
    <cfRule type="cellIs" dxfId="71" priority="106" stopIfTrue="1" operator="equal">
      <formula>0</formula>
    </cfRule>
    <cfRule type="cellIs" dxfId="70" priority="107" stopIfTrue="1" operator="equal">
      <formula>"x"</formula>
    </cfRule>
  </conditionalFormatting>
  <conditionalFormatting sqref="L200 L168 L123:L125 L54:L56 L101:L105 L143:L145 L173:L177 L270:L274 L67:L70">
    <cfRule type="cellIs" dxfId="69" priority="108" stopIfTrue="1" operator="equal">
      <formula>0</formula>
    </cfRule>
    <cfRule type="cellIs" dxfId="68" priority="109" stopIfTrue="1" operator="equal">
      <formula>"x"</formula>
    </cfRule>
  </conditionalFormatting>
  <conditionalFormatting sqref="C24:C27 C29:C32">
    <cfRule type="expression" dxfId="67" priority="110" stopIfTrue="1">
      <formula>NOT(ISNUMBER(C24))</formula>
    </cfRule>
  </conditionalFormatting>
  <conditionalFormatting sqref="C390">
    <cfRule type="expression" dxfId="66" priority="68" stopIfTrue="1">
      <formula>IF(OR($H390=0,NOT(ISNUMBER($H390))),TRUE,FALSE)</formula>
    </cfRule>
  </conditionalFormatting>
  <conditionalFormatting sqref="E390">
    <cfRule type="expression" dxfId="65" priority="67" stopIfTrue="1">
      <formula>IF(OR($H390=0,NOT(ISNUMBER($H390))),TRUE,FALSE)</formula>
    </cfRule>
  </conditionalFormatting>
  <conditionalFormatting sqref="J107:J110">
    <cfRule type="expression" dxfId="64" priority="66" stopIfTrue="1">
      <formula>IF(OR($L107=0,NOT(ISNUMBER($L107))),TRUE,FALSE)</formula>
    </cfRule>
  </conditionalFormatting>
  <conditionalFormatting sqref="J277:J280">
    <cfRule type="expression" dxfId="63" priority="65" stopIfTrue="1">
      <formula>IF(OR($L277=0,NOT(ISNUMBER($L277))),TRUE,FALSE)</formula>
    </cfRule>
  </conditionalFormatting>
  <conditionalFormatting sqref="J291:J294">
    <cfRule type="expression" dxfId="62" priority="64" stopIfTrue="1">
      <formula>IF(OR($L291=0,NOT(ISNUMBER($L291))),TRUE,FALSE)</formula>
    </cfRule>
  </conditionalFormatting>
  <conditionalFormatting sqref="J305:J308">
    <cfRule type="expression" dxfId="61" priority="63" stopIfTrue="1">
      <formula>IF(OR($L305=0,NOT(ISNUMBER($L305))),TRUE,FALSE)</formula>
    </cfRule>
  </conditionalFormatting>
  <conditionalFormatting sqref="J310:J313">
    <cfRule type="expression" dxfId="60" priority="62" stopIfTrue="1">
      <formula>IF(OR($L310=0,NOT(ISNUMBER($L310))),TRUE,FALSE)</formula>
    </cfRule>
  </conditionalFormatting>
  <conditionalFormatting sqref="C28">
    <cfRule type="expression" dxfId="59" priority="60" stopIfTrue="1">
      <formula>NOT(ISNUMBER(C28))</formula>
    </cfRule>
  </conditionalFormatting>
  <conditionalFormatting sqref="A63:B64 C62:K64 A65:A66">
    <cfRule type="expression" dxfId="58" priority="54" stopIfTrue="1">
      <formula>IF(OR($L62=0,NOT(ISNUMBER($L62))),TRUE,FALSE)</formula>
    </cfRule>
  </conditionalFormatting>
  <conditionalFormatting sqref="C62 A63:B64 D62:L64 A65:A66">
    <cfRule type="expression" dxfId="57" priority="55" stopIfTrue="1">
      <formula>IF(OR($L62=0,NOT(ISNUMBER($L62))),TRUE,FALSE)</formula>
    </cfRule>
  </conditionalFormatting>
  <conditionalFormatting sqref="L62:L64">
    <cfRule type="cellIs" dxfId="56" priority="56" stopIfTrue="1" operator="equal">
      <formula>0</formula>
    </cfRule>
    <cfRule type="cellIs" dxfId="55" priority="57" stopIfTrue="1" operator="equal">
      <formula>"x"</formula>
    </cfRule>
  </conditionalFormatting>
  <conditionalFormatting sqref="L62:L64">
    <cfRule type="cellIs" dxfId="54" priority="58" stopIfTrue="1" operator="equal">
      <formula>0</formula>
    </cfRule>
    <cfRule type="cellIs" dxfId="53" priority="59" stopIfTrue="1" operator="equal">
      <formula>"x"</formula>
    </cfRule>
  </conditionalFormatting>
  <conditionalFormatting sqref="A99:A100 C98:K100">
    <cfRule type="expression" dxfId="52" priority="48" stopIfTrue="1">
      <formula>IF(OR($L98=0,NOT(ISNUMBER($L98))),TRUE,FALSE)</formula>
    </cfRule>
  </conditionalFormatting>
  <conditionalFormatting sqref="C98 G98 A99:B100 D98:F100 H98:K100">
    <cfRule type="expression" dxfId="51" priority="49" stopIfTrue="1">
      <formula>IF(OR($L98=0,NOT(ISNUMBER($L98))),TRUE,FALSE)</formula>
    </cfRule>
  </conditionalFormatting>
  <conditionalFormatting sqref="L98:L100">
    <cfRule type="cellIs" dxfId="50" priority="50" stopIfTrue="1" operator="equal">
      <formula>0</formula>
    </cfRule>
    <cfRule type="cellIs" dxfId="49" priority="51" stopIfTrue="1" operator="equal">
      <formula>"x"</formula>
    </cfRule>
  </conditionalFormatting>
  <conditionalFormatting sqref="L98:L100">
    <cfRule type="cellIs" dxfId="48" priority="52" stopIfTrue="1" operator="equal">
      <formula>0</formula>
    </cfRule>
    <cfRule type="cellIs" dxfId="47" priority="53" stopIfTrue="1" operator="equal">
      <formula>"x"</formula>
    </cfRule>
  </conditionalFormatting>
  <conditionalFormatting sqref="A122:K122">
    <cfRule type="expression" dxfId="46" priority="42" stopIfTrue="1">
      <formula>IF(OR($L122=0,NOT(ISNUMBER($L122))),TRUE,FALSE)</formula>
    </cfRule>
  </conditionalFormatting>
  <conditionalFormatting sqref="J122:K122 A122:B122 D122 F122 H122">
    <cfRule type="expression" dxfId="45" priority="43" stopIfTrue="1">
      <formula>IF(OR($L122=0,NOT(ISNUMBER($L122))),TRUE,FALSE)</formula>
    </cfRule>
  </conditionalFormatting>
  <conditionalFormatting sqref="L122">
    <cfRule type="cellIs" dxfId="44" priority="44" stopIfTrue="1" operator="equal">
      <formula>0</formula>
    </cfRule>
    <cfRule type="cellIs" dxfId="43" priority="45" stopIfTrue="1" operator="equal">
      <formula>"x"</formula>
    </cfRule>
  </conditionalFormatting>
  <conditionalFormatting sqref="L122">
    <cfRule type="cellIs" dxfId="42" priority="46" stopIfTrue="1" operator="equal">
      <formula>0</formula>
    </cfRule>
    <cfRule type="cellIs" dxfId="41" priority="47" stopIfTrue="1" operator="equal">
      <formula>"x"</formula>
    </cfRule>
  </conditionalFormatting>
  <conditionalFormatting sqref="A142:K142">
    <cfRule type="expression" dxfId="40" priority="36" stopIfTrue="1">
      <formula>IF(OR($L142=0,NOT(ISNUMBER($L142))),TRUE,FALSE)</formula>
    </cfRule>
  </conditionalFormatting>
  <conditionalFormatting sqref="F142:K142 A142:D142">
    <cfRule type="expression" dxfId="39" priority="37" stopIfTrue="1">
      <formula>IF(OR($L142=0,NOT(ISNUMBER($L142))),TRUE,FALSE)</formula>
    </cfRule>
  </conditionalFormatting>
  <conditionalFormatting sqref="L142">
    <cfRule type="cellIs" dxfId="38" priority="38" stopIfTrue="1" operator="equal">
      <formula>0</formula>
    </cfRule>
    <cfRule type="cellIs" dxfId="37" priority="39" stopIfTrue="1" operator="equal">
      <formula>"x"</formula>
    </cfRule>
  </conditionalFormatting>
  <conditionalFormatting sqref="L142">
    <cfRule type="cellIs" dxfId="36" priority="40" stopIfTrue="1" operator="equal">
      <formula>0</formula>
    </cfRule>
    <cfRule type="cellIs" dxfId="35" priority="41" stopIfTrue="1" operator="equal">
      <formula>"x"</formula>
    </cfRule>
  </conditionalFormatting>
  <conditionalFormatting sqref="A156:K156">
    <cfRule type="expression" dxfId="34" priority="33" stopIfTrue="1">
      <formula>IF(OR($L156=0,NOT(ISNUMBER($L156))),TRUE,FALSE)</formula>
    </cfRule>
  </conditionalFormatting>
  <conditionalFormatting sqref="L156">
    <cfRule type="cellIs" dxfId="33" priority="34" stopIfTrue="1" operator="equal">
      <formula>0</formula>
    </cfRule>
    <cfRule type="cellIs" dxfId="32" priority="35" stopIfTrue="1" operator="equal">
      <formula>"x"</formula>
    </cfRule>
  </conditionalFormatting>
  <conditionalFormatting sqref="A171:B171 C170:K171">
    <cfRule type="expression" dxfId="31" priority="27" stopIfTrue="1">
      <formula>IF(OR($L170=0,NOT(ISNUMBER($L170))),TRUE,FALSE)</formula>
    </cfRule>
  </conditionalFormatting>
  <conditionalFormatting sqref="C170 A171:B171 D170:K171">
    <cfRule type="expression" dxfId="30" priority="28" stopIfTrue="1">
      <formula>IF(OR($L170=0,NOT(ISNUMBER($L170))),TRUE,FALSE)</formula>
    </cfRule>
  </conditionalFormatting>
  <conditionalFormatting sqref="L170:L171">
    <cfRule type="cellIs" dxfId="29" priority="29" stopIfTrue="1" operator="equal">
      <formula>0</formula>
    </cfRule>
    <cfRule type="cellIs" dxfId="28" priority="30" stopIfTrue="1" operator="equal">
      <formula>"x"</formula>
    </cfRule>
  </conditionalFormatting>
  <conditionalFormatting sqref="L170:L171">
    <cfRule type="cellIs" dxfId="27" priority="31" stopIfTrue="1" operator="equal">
      <formula>0</formula>
    </cfRule>
    <cfRule type="cellIs" dxfId="26" priority="32" stopIfTrue="1" operator="equal">
      <formula>"x"</formula>
    </cfRule>
  </conditionalFormatting>
  <conditionalFormatting sqref="A172:K172">
    <cfRule type="expression" dxfId="25" priority="21" stopIfTrue="1">
      <formula>IF(OR($L172=0,NOT(ISNUMBER($L172))),TRUE,FALSE)</formula>
    </cfRule>
  </conditionalFormatting>
  <conditionalFormatting sqref="A172:B172 D172:K172">
    <cfRule type="expression" dxfId="24" priority="22" stopIfTrue="1">
      <formula>IF(OR($L172=0,NOT(ISNUMBER($L172))),TRUE,FALSE)</formula>
    </cfRule>
  </conditionalFormatting>
  <conditionalFormatting sqref="L172">
    <cfRule type="cellIs" dxfId="23" priority="23" stopIfTrue="1" operator="equal">
      <formula>0</formula>
    </cfRule>
    <cfRule type="cellIs" dxfId="22" priority="24" stopIfTrue="1" operator="equal">
      <formula>"x"</formula>
    </cfRule>
  </conditionalFormatting>
  <conditionalFormatting sqref="L172">
    <cfRule type="cellIs" dxfId="21" priority="25" stopIfTrue="1" operator="equal">
      <formula>0</formula>
    </cfRule>
    <cfRule type="cellIs" dxfId="20" priority="26" stopIfTrue="1" operator="equal">
      <formula>"x"</formula>
    </cfRule>
  </conditionalFormatting>
  <conditionalFormatting sqref="L243">
    <cfRule type="cellIs" dxfId="19" priority="19" stopIfTrue="1" operator="equal">
      <formula>0</formula>
    </cfRule>
    <cfRule type="cellIs" dxfId="18" priority="20" stopIfTrue="1" operator="equal">
      <formula>"x"</formula>
    </cfRule>
  </conditionalFormatting>
  <conditionalFormatting sqref="A240:K242">
    <cfRule type="expression" dxfId="17" priority="16" stopIfTrue="1">
      <formula>IF(OR($L240=0,NOT(ISNUMBER($L240))),TRUE,FALSE)</formula>
    </cfRule>
  </conditionalFormatting>
  <conditionalFormatting sqref="L240:L242">
    <cfRule type="cellIs" dxfId="16" priority="17" stopIfTrue="1" operator="equal">
      <formula>0</formula>
    </cfRule>
    <cfRule type="cellIs" dxfId="15" priority="18" stopIfTrue="1" operator="equal">
      <formula>"x"</formula>
    </cfRule>
  </conditionalFormatting>
  <conditionalFormatting sqref="L239">
    <cfRule type="cellIs" dxfId="14" priority="14" stopIfTrue="1" operator="equal">
      <formula>0</formula>
    </cfRule>
    <cfRule type="cellIs" dxfId="13" priority="15" stopIfTrue="1" operator="equal">
      <formula>"x"</formula>
    </cfRule>
  </conditionalFormatting>
  <conditionalFormatting sqref="I66">
    <cfRule type="expression" dxfId="12" priority="7" stopIfTrue="1">
      <formula>IF(OR($L66=0,NOT(ISNUMBER($L66))),TRUE,FALSE)</formula>
    </cfRule>
  </conditionalFormatting>
  <conditionalFormatting sqref="C65 I65">
    <cfRule type="expression" dxfId="11" priority="13" stopIfTrue="1">
      <formula>IF(OR($L65=0,NOT(ISNUMBER($L65))),TRUE,FALSE)</formula>
    </cfRule>
  </conditionalFormatting>
  <conditionalFormatting sqref="B66">
    <cfRule type="expression" dxfId="10" priority="10" stopIfTrue="1">
      <formula>IF(OR($L66=0,NOT(ISNUMBER($L66))),TRUE,FALSE)</formula>
    </cfRule>
  </conditionalFormatting>
  <conditionalFormatting sqref="J65">
    <cfRule type="expression" dxfId="9" priority="3" stopIfTrue="1">
      <formula>IF(OR($L65=0,NOT(ISNUMBER($L65))),TRUE,FALSE)</formula>
    </cfRule>
  </conditionalFormatting>
  <conditionalFormatting sqref="C66">
    <cfRule type="expression" dxfId="8" priority="12" stopIfTrue="1">
      <formula>IF(OR($L66=0,NOT(ISNUMBER($L66))),TRUE,FALSE)</formula>
    </cfRule>
  </conditionalFormatting>
  <conditionalFormatting sqref="B65">
    <cfRule type="expression" dxfId="7" priority="11" stopIfTrue="1">
      <formula>IF(OR($L65=0,NOT(ISNUMBER($L65))),TRUE,FALSE)</formula>
    </cfRule>
  </conditionalFormatting>
  <conditionalFormatting sqref="D65:H65">
    <cfRule type="expression" dxfId="6" priority="9" stopIfTrue="1">
      <formula>IF(OR($L65=0,NOT(ISNUMBER($L65))),TRUE,FALSE)</formula>
    </cfRule>
  </conditionalFormatting>
  <conditionalFormatting sqref="D66:H66">
    <cfRule type="expression" dxfId="5" priority="8" stopIfTrue="1">
      <formula>IF(OR($L66=0,NOT(ISNUMBER($L66))),TRUE,FALSE)</formula>
    </cfRule>
  </conditionalFormatting>
  <conditionalFormatting sqref="L66">
    <cfRule type="cellIs" dxfId="4" priority="6" stopIfTrue="1" operator="equal">
      <formula>"x"</formula>
    </cfRule>
  </conditionalFormatting>
  <conditionalFormatting sqref="J65:K65">
    <cfRule type="expression" dxfId="3" priority="4" stopIfTrue="1">
      <formula>IF(OR($L65=0,NOT(ISNUMBER($L65))),TRUE,FALSE)</formula>
    </cfRule>
  </conditionalFormatting>
  <conditionalFormatting sqref="L65">
    <cfRule type="cellIs" dxfId="2" priority="5" stopIfTrue="1" operator="equal">
      <formula>"x"</formula>
    </cfRule>
  </conditionalFormatting>
  <conditionalFormatting sqref="J66:K66">
    <cfRule type="expression" dxfId="1" priority="2" stopIfTrue="1">
      <formula>IF(OR($L66=0,NOT(ISNUMBER($L66))),TRUE,FALSE)</formula>
    </cfRule>
  </conditionalFormatting>
  <conditionalFormatting sqref="J66">
    <cfRule type="expression" dxfId="0" priority="1" stopIfTrue="1">
      <formula>IF(OR($L66=0,NOT(ISNUMBER($L66))),TRUE,FALSE)</formula>
    </cfRule>
  </conditionalFormatting>
  <dataValidations count="3">
    <dataValidation type="list" allowBlank="1" showInputMessage="1" showErrorMessage="1" sqref="C409" xr:uid="{00000000-0002-0000-0400-000000000000}">
      <formula1>"ground water,surface water"</formula1>
    </dataValidation>
    <dataValidation type="decimal" operator="greaterThanOrEqual" allowBlank="1" showInputMessage="1" showErrorMessage="1" sqref="C408" xr:uid="{00000000-0002-0000-0400-000001000000}">
      <formula1>0</formula1>
    </dataValidation>
    <dataValidation type="decimal" operator="greaterThan" allowBlank="1" showInputMessage="1" showErrorMessage="1" sqref="C414:C416 C410" xr:uid="{00000000-0002-0000-0400-000002000000}">
      <formula1>0</formula1>
    </dataValidation>
  </dataValidations>
  <hyperlinks>
    <hyperlink ref="D24" location="link_dcc" display="Details" xr:uid="{00000000-0004-0000-0400-000000000000}"/>
    <hyperlink ref="D25" location="link_aoc" display="Details" xr:uid="{00000000-0004-0000-0400-000001000000}"/>
    <hyperlink ref="D26" location="link_icc" display="Details" xr:uid="{00000000-0004-0000-0400-000002000000}"/>
    <hyperlink ref="D27" location="link_tcc" display="Details" xr:uid="{00000000-0004-0000-0400-000003000000}"/>
    <hyperlink ref="D29" location="link_omc" display="Details" xr:uid="{00000000-0004-0000-0400-000004000000}"/>
    <hyperlink ref="D30" location="link_annc" display="Details" xr:uid="{00000000-0004-0000-0400-000005000000}"/>
    <hyperlink ref="D28" location="link_annc" display="Details" xr:uid="{00000000-0004-0000-0400-000007000000}"/>
  </hyperlinks>
  <pageMargins left="0.75" right="0.75" top="1" bottom="1" header="0.5" footer="0.5"/>
  <pageSetup orientation="landscape" r:id="rId1"/>
  <headerFooter alignWithMargins="0"/>
  <ignoredErrors>
    <ignoredError sqref="F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152400</xdr:colOff>
                    <xdr:row>0</xdr:row>
                    <xdr:rowOff>139700</xdr:rowOff>
                  </from>
                  <to>
                    <xdr:col>6</xdr:col>
                    <xdr:colOff>1739900</xdr:colOff>
                    <xdr:row>4</xdr:row>
                    <xdr:rowOff>152400</xdr:rowOff>
                  </to>
                </anchor>
              </controlPr>
            </control>
          </mc:Choice>
        </mc:AlternateContent>
        <mc:AlternateContent xmlns:mc="http://schemas.openxmlformats.org/markup-compatibility/2006">
          <mc:Choice Requires="x14">
            <control shapeId="1426" r:id="rId5" name="cmdCompSelect">
              <controlPr defaultSize="0" print="0" autoFill="0" autoPict="0" macro="[0]!Sheet4.cmdCompSelect_Click">
                <anchor moveWithCells="1" sizeWithCells="1">
                  <from>
                    <xdr:col>5</xdr:col>
                    <xdr:colOff>152400</xdr:colOff>
                    <xdr:row>5</xdr:row>
                    <xdr:rowOff>101600</xdr:rowOff>
                  </from>
                  <to>
                    <xdr:col>6</xdr:col>
                    <xdr:colOff>1739900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G307"/>
  <sheetViews>
    <sheetView zoomScaleNormal="100" workbookViewId="0">
      <pane ySplit="4" topLeftCell="A157" activePane="bottomLeft" state="frozen"/>
      <selection activeCell="A122" sqref="A122"/>
      <selection pane="bottomLeft" activeCell="D172" sqref="D172"/>
    </sheetView>
  </sheetViews>
  <sheetFormatPr baseColWidth="10" defaultColWidth="9.1640625" defaultRowHeight="13"/>
  <cols>
    <col min="1" max="1" width="68.83203125" style="414" customWidth="1"/>
    <col min="2" max="2" width="25.83203125" style="414" customWidth="1"/>
    <col min="3" max="3" width="14.6640625" style="414" customWidth="1"/>
    <col min="4" max="4" width="38" style="414" customWidth="1"/>
    <col min="5" max="5" width="13" style="414" customWidth="1"/>
    <col min="6" max="6" width="15.5" style="414" customWidth="1"/>
    <col min="7" max="16384" width="9.1640625" style="414"/>
  </cols>
  <sheetData>
    <row r="1" spans="1:5">
      <c r="A1" s="1" t="s">
        <v>3241</v>
      </c>
    </row>
    <row r="2" spans="1:5">
      <c r="A2" s="570" t="s">
        <v>3242</v>
      </c>
      <c r="C2" s="523"/>
    </row>
    <row r="3" spans="1:5">
      <c r="A3" s="1"/>
      <c r="C3" s="523"/>
    </row>
    <row r="4" spans="1:5">
      <c r="A4" s="168" t="s">
        <v>1368</v>
      </c>
      <c r="B4" s="168" t="s">
        <v>1369</v>
      </c>
      <c r="C4" s="169" t="s">
        <v>1370</v>
      </c>
      <c r="D4" s="168" t="s">
        <v>1371</v>
      </c>
      <c r="E4" s="168" t="s">
        <v>1372</v>
      </c>
    </row>
    <row r="5" spans="1:5" ht="28">
      <c r="A5" s="414" t="s">
        <v>1343</v>
      </c>
      <c r="B5" s="3" t="s">
        <v>2830</v>
      </c>
      <c r="C5" s="524">
        <v>1</v>
      </c>
      <c r="D5" s="556" t="s">
        <v>1344</v>
      </c>
      <c r="E5" s="7" t="s">
        <v>3235</v>
      </c>
    </row>
    <row r="6" spans="1:5">
      <c r="A6" s="414" t="s">
        <v>2982</v>
      </c>
      <c r="B6" s="3" t="s">
        <v>2983</v>
      </c>
      <c r="C6" s="409">
        <v>0.1</v>
      </c>
      <c r="E6" s="7" t="s">
        <v>704</v>
      </c>
    </row>
    <row r="7" spans="1:5">
      <c r="A7" s="1"/>
    </row>
    <row r="8" spans="1:5">
      <c r="A8" s="2" t="s">
        <v>2068</v>
      </c>
    </row>
    <row r="9" spans="1:5">
      <c r="A9" s="414" t="s">
        <v>2625</v>
      </c>
      <c r="B9" s="3" t="s">
        <v>2626</v>
      </c>
      <c r="C9" s="409">
        <v>1</v>
      </c>
      <c r="D9" s="414" t="s">
        <v>2222</v>
      </c>
      <c r="E9" s="7" t="s">
        <v>2627</v>
      </c>
    </row>
    <row r="10" spans="1:5">
      <c r="A10" s="414" t="s">
        <v>2628</v>
      </c>
      <c r="B10" s="3" t="s">
        <v>2629</v>
      </c>
      <c r="C10" s="409">
        <v>0</v>
      </c>
      <c r="D10" s="414" t="s">
        <v>2222</v>
      </c>
      <c r="E10" s="7" t="s">
        <v>2630</v>
      </c>
    </row>
    <row r="11" spans="1:5">
      <c r="A11" s="414" t="s">
        <v>1614</v>
      </c>
      <c r="B11" s="3" t="s">
        <v>2225</v>
      </c>
      <c r="C11" s="525">
        <v>0.5</v>
      </c>
      <c r="E11" s="8" t="s">
        <v>3323</v>
      </c>
    </row>
    <row r="12" spans="1:5">
      <c r="A12" s="414" t="s">
        <v>245</v>
      </c>
      <c r="B12" s="3" t="s">
        <v>3112</v>
      </c>
      <c r="C12" s="526">
        <v>0.5</v>
      </c>
      <c r="D12" s="414" t="s">
        <v>2455</v>
      </c>
      <c r="E12" s="7" t="s">
        <v>1801</v>
      </c>
    </row>
    <row r="13" spans="1:5">
      <c r="A13" s="414" t="s">
        <v>246</v>
      </c>
      <c r="B13" s="3" t="s">
        <v>3113</v>
      </c>
      <c r="C13" s="526">
        <v>10</v>
      </c>
      <c r="D13" s="414" t="s">
        <v>2455</v>
      </c>
      <c r="E13" s="7" t="s">
        <v>2929</v>
      </c>
    </row>
    <row r="14" spans="1:5">
      <c r="A14" s="1"/>
    </row>
    <row r="15" spans="1:5">
      <c r="A15" s="2" t="s">
        <v>1866</v>
      </c>
    </row>
    <row r="16" spans="1:5">
      <c r="A16" s="414" t="s">
        <v>2069</v>
      </c>
      <c r="B16" s="3" t="s">
        <v>2224</v>
      </c>
      <c r="C16" s="409">
        <v>4</v>
      </c>
      <c r="D16" s="414" t="s">
        <v>2220</v>
      </c>
      <c r="E16" s="8" t="s">
        <v>2828</v>
      </c>
    </row>
    <row r="17" spans="1:5">
      <c r="A17" s="414" t="s">
        <v>2773</v>
      </c>
      <c r="B17" s="3" t="s">
        <v>1752</v>
      </c>
      <c r="C17" s="409">
        <v>14</v>
      </c>
      <c r="D17" s="414" t="s">
        <v>2219</v>
      </c>
      <c r="E17" s="7" t="s">
        <v>1291</v>
      </c>
    </row>
    <row r="18" spans="1:5">
      <c r="A18" s="414" t="s">
        <v>2911</v>
      </c>
      <c r="B18" s="3" t="s">
        <v>2546</v>
      </c>
      <c r="C18" s="527"/>
      <c r="D18" s="414" t="s">
        <v>2219</v>
      </c>
      <c r="E18" s="7" t="s">
        <v>2547</v>
      </c>
    </row>
    <row r="19" spans="1:5">
      <c r="A19" s="414" t="s">
        <v>3106</v>
      </c>
      <c r="B19" s="3" t="s">
        <v>1819</v>
      </c>
      <c r="C19" s="409">
        <v>53</v>
      </c>
      <c r="D19" s="414" t="s">
        <v>2219</v>
      </c>
      <c r="E19" s="7" t="s">
        <v>1071</v>
      </c>
    </row>
    <row r="20" spans="1:5">
      <c r="A20" s="414" t="s">
        <v>2082</v>
      </c>
      <c r="B20" s="3" t="s">
        <v>722</v>
      </c>
      <c r="C20" s="409">
        <v>0.5</v>
      </c>
      <c r="D20" s="414" t="s">
        <v>2219</v>
      </c>
    </row>
    <row r="21" spans="1:5">
      <c r="A21" s="414" t="s">
        <v>416</v>
      </c>
      <c r="B21" s="3" t="s">
        <v>417</v>
      </c>
      <c r="C21" s="527">
        <v>1.5</v>
      </c>
      <c r="D21" s="414" t="s">
        <v>2219</v>
      </c>
      <c r="E21" s="7" t="s">
        <v>418</v>
      </c>
    </row>
    <row r="22" spans="1:5">
      <c r="A22" s="414" t="s">
        <v>2686</v>
      </c>
      <c r="B22" s="3" t="s">
        <v>513</v>
      </c>
      <c r="C22" s="528">
        <v>2.5</v>
      </c>
      <c r="D22" s="414" t="s">
        <v>3780</v>
      </c>
      <c r="E22" s="7" t="s">
        <v>1486</v>
      </c>
    </row>
    <row r="23" spans="1:5">
      <c r="A23" s="529" t="s">
        <v>2072</v>
      </c>
      <c r="B23" s="3" t="s">
        <v>3189</v>
      </c>
      <c r="C23" s="527">
        <v>2</v>
      </c>
      <c r="D23" s="438" t="s">
        <v>2219</v>
      </c>
      <c r="E23" s="7" t="s">
        <v>3324</v>
      </c>
    </row>
    <row r="24" spans="1:5">
      <c r="A24" s="529" t="s">
        <v>2073</v>
      </c>
      <c r="B24" s="3" t="s">
        <v>3190</v>
      </c>
      <c r="C24" s="527">
        <v>8.5</v>
      </c>
      <c r="D24" s="438" t="s">
        <v>2219</v>
      </c>
      <c r="E24" s="483"/>
    </row>
    <row r="25" spans="1:5">
      <c r="A25" s="414" t="s">
        <v>2083</v>
      </c>
      <c r="B25" s="3" t="s">
        <v>309</v>
      </c>
      <c r="C25" s="527">
        <v>4</v>
      </c>
      <c r="D25" s="438" t="s">
        <v>2219</v>
      </c>
      <c r="E25" s="7" t="s">
        <v>1804</v>
      </c>
    </row>
    <row r="26" spans="1:5">
      <c r="A26" s="414" t="s">
        <v>2084</v>
      </c>
      <c r="B26" s="3" t="s">
        <v>1484</v>
      </c>
      <c r="C26" s="527">
        <v>7</v>
      </c>
      <c r="D26" s="438" t="s">
        <v>2219</v>
      </c>
      <c r="E26" s="7" t="s">
        <v>1486</v>
      </c>
    </row>
    <row r="27" spans="1:5">
      <c r="A27" s="414" t="s">
        <v>2085</v>
      </c>
      <c r="B27" s="3" t="s">
        <v>1485</v>
      </c>
      <c r="C27" s="527">
        <v>8</v>
      </c>
      <c r="D27" s="438" t="s">
        <v>2219</v>
      </c>
      <c r="E27" s="7" t="s">
        <v>1486</v>
      </c>
    </row>
    <row r="28" spans="1:5">
      <c r="A28" s="414" t="s">
        <v>2036</v>
      </c>
      <c r="B28" s="3" t="s">
        <v>125</v>
      </c>
      <c r="C28" s="530">
        <v>0</v>
      </c>
      <c r="D28" s="520" t="s">
        <v>2219</v>
      </c>
      <c r="E28" s="67" t="s">
        <v>3325</v>
      </c>
    </row>
    <row r="29" spans="1:5">
      <c r="B29" s="3"/>
      <c r="C29" s="520"/>
      <c r="D29" s="520"/>
      <c r="E29" s="34"/>
    </row>
    <row r="30" spans="1:5">
      <c r="A30" s="2" t="s">
        <v>1877</v>
      </c>
      <c r="B30" s="3"/>
      <c r="C30" s="520"/>
      <c r="D30" s="520"/>
      <c r="E30" s="34"/>
    </row>
    <row r="31" spans="1:5">
      <c r="A31" s="529" t="s">
        <v>1867</v>
      </c>
      <c r="B31" s="3" t="s">
        <v>1868</v>
      </c>
      <c r="C31" s="531">
        <v>1</v>
      </c>
      <c r="D31" s="532" t="s">
        <v>2222</v>
      </c>
      <c r="E31" s="7"/>
    </row>
    <row r="32" spans="1:5">
      <c r="A32" s="529" t="s">
        <v>1869</v>
      </c>
      <c r="B32" s="3" t="s">
        <v>1870</v>
      </c>
      <c r="C32" s="531">
        <v>2</v>
      </c>
      <c r="D32" s="532" t="s">
        <v>2222</v>
      </c>
      <c r="E32" s="371"/>
    </row>
    <row r="33" spans="1:5">
      <c r="A33" s="414" t="s">
        <v>2088</v>
      </c>
      <c r="B33" s="3" t="s">
        <v>1871</v>
      </c>
      <c r="C33" s="409">
        <v>2</v>
      </c>
      <c r="D33" s="414" t="s">
        <v>120</v>
      </c>
    </row>
    <row r="34" spans="1:5">
      <c r="A34" s="414" t="s">
        <v>2071</v>
      </c>
      <c r="B34" s="3" t="s">
        <v>1872</v>
      </c>
      <c r="C34" s="409">
        <v>10</v>
      </c>
      <c r="D34" s="414" t="s">
        <v>120</v>
      </c>
      <c r="E34" s="371" t="s">
        <v>1876</v>
      </c>
    </row>
    <row r="35" spans="1:5">
      <c r="A35" s="414" t="s">
        <v>2070</v>
      </c>
      <c r="B35" s="3" t="s">
        <v>1873</v>
      </c>
      <c r="C35" s="409">
        <v>3</v>
      </c>
      <c r="D35" s="414" t="s">
        <v>120</v>
      </c>
      <c r="E35" s="371" t="s">
        <v>1876</v>
      </c>
    </row>
    <row r="36" spans="1:5">
      <c r="A36" s="414" t="s">
        <v>2078</v>
      </c>
      <c r="B36" s="3" t="s">
        <v>1874</v>
      </c>
      <c r="C36" s="409">
        <v>30</v>
      </c>
      <c r="D36" s="414" t="s">
        <v>120</v>
      </c>
      <c r="E36" s="7"/>
    </row>
    <row r="37" spans="1:5">
      <c r="A37" s="414" t="s">
        <v>2079</v>
      </c>
      <c r="B37" s="3" t="s">
        <v>1875</v>
      </c>
      <c r="C37" s="409">
        <v>6</v>
      </c>
      <c r="D37" s="414" t="s">
        <v>120</v>
      </c>
    </row>
    <row r="38" spans="1:5">
      <c r="A38" s="414" t="s">
        <v>2076</v>
      </c>
      <c r="B38" s="3" t="s">
        <v>2074</v>
      </c>
      <c r="C38" s="409">
        <v>30</v>
      </c>
      <c r="D38" s="414" t="s">
        <v>120</v>
      </c>
    </row>
    <row r="39" spans="1:5">
      <c r="A39" s="414" t="s">
        <v>2077</v>
      </c>
      <c r="B39" s="3" t="s">
        <v>2075</v>
      </c>
      <c r="C39" s="409">
        <v>6</v>
      </c>
      <c r="D39" s="414" t="s">
        <v>120</v>
      </c>
    </row>
    <row r="40" spans="1:5">
      <c r="A40" s="414" t="s">
        <v>2081</v>
      </c>
      <c r="B40" s="3" t="s">
        <v>2086</v>
      </c>
      <c r="C40" s="527">
        <v>6</v>
      </c>
      <c r="D40" s="438" t="s">
        <v>2219</v>
      </c>
      <c r="E40" s="7" t="s">
        <v>1486</v>
      </c>
    </row>
    <row r="41" spans="1:5">
      <c r="A41" s="414" t="s">
        <v>169</v>
      </c>
      <c r="B41" s="3" t="s">
        <v>1806</v>
      </c>
      <c r="C41" s="527">
        <v>5.4</v>
      </c>
      <c r="D41" s="438" t="s">
        <v>2219</v>
      </c>
      <c r="E41" s="7" t="s">
        <v>1486</v>
      </c>
    </row>
    <row r="42" spans="1:5">
      <c r="A42" s="414" t="s">
        <v>2080</v>
      </c>
      <c r="B42" s="3" t="s">
        <v>2087</v>
      </c>
      <c r="C42" s="527">
        <v>8</v>
      </c>
      <c r="D42" s="438" t="s">
        <v>2219</v>
      </c>
      <c r="E42" s="7" t="s">
        <v>1486</v>
      </c>
    </row>
    <row r="43" spans="1:5">
      <c r="A43" s="414" t="s">
        <v>170</v>
      </c>
      <c r="B43" s="3" t="s">
        <v>1805</v>
      </c>
      <c r="C43" s="527">
        <v>5.4</v>
      </c>
      <c r="D43" s="438" t="s">
        <v>2219</v>
      </c>
      <c r="E43" s="7" t="s">
        <v>1486</v>
      </c>
    </row>
    <row r="44" spans="1:5">
      <c r="B44" s="3"/>
      <c r="C44" s="520"/>
      <c r="D44" s="520"/>
      <c r="E44" s="34"/>
    </row>
    <row r="45" spans="1:5">
      <c r="A45" s="2" t="s">
        <v>1267</v>
      </c>
      <c r="B45" s="3"/>
      <c r="C45" s="520"/>
      <c r="D45" s="520"/>
      <c r="E45" s="34"/>
    </row>
    <row r="46" spans="1:5">
      <c r="A46" s="414" t="s">
        <v>3316</v>
      </c>
      <c r="B46" s="3" t="s">
        <v>424</v>
      </c>
      <c r="C46" s="409">
        <v>15</v>
      </c>
      <c r="D46" s="414" t="s">
        <v>424</v>
      </c>
      <c r="E46" s="7" t="s">
        <v>3326</v>
      </c>
    </row>
    <row r="47" spans="1:5">
      <c r="A47" s="414" t="s">
        <v>3317</v>
      </c>
      <c r="B47" s="3" t="s">
        <v>425</v>
      </c>
      <c r="C47" s="409">
        <v>4</v>
      </c>
      <c r="D47" s="414" t="s">
        <v>120</v>
      </c>
      <c r="E47" s="7" t="s">
        <v>3327</v>
      </c>
    </row>
    <row r="48" spans="1:5">
      <c r="A48" s="414" t="s">
        <v>3318</v>
      </c>
      <c r="B48" s="3" t="s">
        <v>426</v>
      </c>
      <c r="C48" s="409">
        <v>1</v>
      </c>
      <c r="D48" s="414" t="s">
        <v>120</v>
      </c>
      <c r="E48" s="7" t="s">
        <v>3326</v>
      </c>
    </row>
    <row r="49" spans="1:5">
      <c r="B49" s="3"/>
      <c r="C49" s="520"/>
      <c r="D49" s="520"/>
      <c r="E49" s="34"/>
    </row>
    <row r="50" spans="1:5">
      <c r="A50" s="2" t="s">
        <v>2715</v>
      </c>
      <c r="B50" s="3"/>
      <c r="C50" s="520"/>
      <c r="D50" s="520"/>
      <c r="E50" s="34"/>
    </row>
    <row r="51" spans="1:5">
      <c r="A51" s="414" t="s">
        <v>1825</v>
      </c>
      <c r="B51" s="3" t="s">
        <v>1826</v>
      </c>
      <c r="C51" s="533">
        <v>0.25</v>
      </c>
      <c r="D51" s="520"/>
      <c r="E51" s="34"/>
    </row>
    <row r="52" spans="1:5">
      <c r="A52" s="414" t="s">
        <v>2651</v>
      </c>
      <c r="B52" s="3" t="s">
        <v>2652</v>
      </c>
      <c r="C52" s="534">
        <v>0</v>
      </c>
      <c r="D52" s="520" t="s">
        <v>2689</v>
      </c>
      <c r="E52" s="67" t="s">
        <v>2889</v>
      </c>
    </row>
    <row r="53" spans="1:5">
      <c r="A53" s="414" t="s">
        <v>2611</v>
      </c>
      <c r="B53" s="3" t="s">
        <v>2612</v>
      </c>
      <c r="C53" s="409">
        <v>1</v>
      </c>
      <c r="D53" s="414" t="s">
        <v>2689</v>
      </c>
      <c r="E53" s="7"/>
    </row>
    <row r="54" spans="1:5" ht="12.75" customHeight="1">
      <c r="A54" s="414" t="s">
        <v>2587</v>
      </c>
      <c r="B54" s="3" t="s">
        <v>2588</v>
      </c>
      <c r="C54" s="905">
        <v>1</v>
      </c>
      <c r="D54" s="414" t="s">
        <v>2689</v>
      </c>
    </row>
    <row r="55" spans="1:5" ht="12.75" customHeight="1">
      <c r="A55" s="414" t="s">
        <v>3482</v>
      </c>
      <c r="B55" s="3" t="s">
        <v>3483</v>
      </c>
      <c r="C55" s="823">
        <v>0.13</v>
      </c>
      <c r="D55" s="414" t="s">
        <v>2579</v>
      </c>
      <c r="E55" s="570" t="s">
        <v>3484</v>
      </c>
    </row>
    <row r="56" spans="1:5">
      <c r="B56" s="3"/>
      <c r="E56" s="7"/>
    </row>
    <row r="57" spans="1:5">
      <c r="A57" s="2" t="s">
        <v>2208</v>
      </c>
      <c r="B57" s="3"/>
      <c r="C57" s="523"/>
      <c r="E57" s="7"/>
    </row>
    <row r="58" spans="1:5">
      <c r="A58" s="414" t="s">
        <v>2209</v>
      </c>
      <c r="B58" s="177" t="s">
        <v>2210</v>
      </c>
      <c r="C58" s="535">
        <v>0</v>
      </c>
      <c r="E58" s="7" t="s">
        <v>3422</v>
      </c>
    </row>
    <row r="59" spans="1:5">
      <c r="B59" s="177"/>
      <c r="C59" s="536"/>
      <c r="E59" s="7"/>
    </row>
    <row r="60" spans="1:5">
      <c r="A60" s="2" t="s">
        <v>717</v>
      </c>
      <c r="B60" s="3"/>
    </row>
    <row r="61" spans="1:5">
      <c r="A61" s="414" t="s">
        <v>2451</v>
      </c>
      <c r="B61" s="3" t="s">
        <v>2453</v>
      </c>
      <c r="C61" s="906">
        <v>12</v>
      </c>
      <c r="D61" s="414" t="s">
        <v>2455</v>
      </c>
      <c r="E61" s="7" t="s">
        <v>1952</v>
      </c>
    </row>
    <row r="62" spans="1:5">
      <c r="A62" s="414" t="s">
        <v>2452</v>
      </c>
      <c r="B62" s="3" t="s">
        <v>2454</v>
      </c>
      <c r="C62" s="526">
        <v>10</v>
      </c>
      <c r="D62" s="414" t="s">
        <v>2218</v>
      </c>
      <c r="E62" s="7" t="s">
        <v>3328</v>
      </c>
    </row>
    <row r="63" spans="1:5">
      <c r="A63" s="414" t="s">
        <v>1268</v>
      </c>
      <c r="B63" s="3" t="s">
        <v>1269</v>
      </c>
      <c r="C63" s="409">
        <v>1</v>
      </c>
      <c r="D63" s="414" t="s">
        <v>1270</v>
      </c>
      <c r="E63" s="7" t="s">
        <v>485</v>
      </c>
    </row>
    <row r="64" spans="1:5">
      <c r="A64" s="414" t="s">
        <v>1408</v>
      </c>
      <c r="B64" s="3" t="s">
        <v>1409</v>
      </c>
      <c r="C64" s="409">
        <v>1</v>
      </c>
      <c r="D64" s="414" t="s">
        <v>2222</v>
      </c>
      <c r="E64" s="7" t="s">
        <v>3329</v>
      </c>
    </row>
    <row r="65" spans="1:5">
      <c r="A65" s="414" t="s">
        <v>1410</v>
      </c>
      <c r="B65" s="3" t="s">
        <v>1411</v>
      </c>
      <c r="C65" s="409">
        <f>3/5</f>
        <v>0.6</v>
      </c>
      <c r="D65" s="414" t="s">
        <v>3779</v>
      </c>
      <c r="E65" s="7" t="s">
        <v>3326</v>
      </c>
    </row>
    <row r="66" spans="1:5">
      <c r="A66" s="414" t="s">
        <v>1412</v>
      </c>
      <c r="B66" s="3" t="s">
        <v>1413</v>
      </c>
      <c r="C66" s="409">
        <v>3</v>
      </c>
      <c r="D66" s="414" t="s">
        <v>2219</v>
      </c>
      <c r="E66" s="7" t="s">
        <v>3326</v>
      </c>
    </row>
    <row r="67" spans="1:5">
      <c r="B67" s="3"/>
      <c r="E67" s="7"/>
    </row>
    <row r="68" spans="1:5">
      <c r="A68" s="2" t="s">
        <v>1961</v>
      </c>
      <c r="B68" s="3"/>
      <c r="E68" s="7"/>
    </row>
    <row r="69" spans="1:5">
      <c r="A69" s="414" t="s">
        <v>3737</v>
      </c>
      <c r="B69" s="3" t="s">
        <v>3738</v>
      </c>
      <c r="C69" s="920" t="s">
        <v>3111</v>
      </c>
      <c r="D69" s="414" t="s">
        <v>2141</v>
      </c>
      <c r="E69" s="7" t="s">
        <v>3739</v>
      </c>
    </row>
    <row r="70" spans="1:5">
      <c r="A70" s="414" t="s">
        <v>1959</v>
      </c>
      <c r="B70" s="3" t="s">
        <v>1958</v>
      </c>
      <c r="C70" s="409">
        <v>30</v>
      </c>
      <c r="D70" s="414" t="s">
        <v>1764</v>
      </c>
      <c r="E70" s="7" t="s">
        <v>3330</v>
      </c>
    </row>
    <row r="71" spans="1:5">
      <c r="A71" s="414" t="s">
        <v>1962</v>
      </c>
      <c r="B71" s="3" t="s">
        <v>1963</v>
      </c>
      <c r="C71" s="533">
        <v>0.85</v>
      </c>
      <c r="E71" s="7" t="s">
        <v>3331</v>
      </c>
    </row>
    <row r="72" spans="1:5">
      <c r="A72" s="414" t="s">
        <v>752</v>
      </c>
      <c r="B72" s="3" t="s">
        <v>753</v>
      </c>
      <c r="C72" s="533">
        <v>1</v>
      </c>
      <c r="E72" s="7" t="s">
        <v>3332</v>
      </c>
    </row>
    <row r="73" spans="1:5">
      <c r="A73" s="414" t="s">
        <v>2810</v>
      </c>
      <c r="B73" s="3" t="s">
        <v>2811</v>
      </c>
      <c r="C73" s="537">
        <v>0.1</v>
      </c>
      <c r="E73" s="7" t="s">
        <v>3037</v>
      </c>
    </row>
    <row r="74" spans="1:5">
      <c r="A74" s="414" t="s">
        <v>3059</v>
      </c>
      <c r="B74" s="3" t="s">
        <v>3060</v>
      </c>
      <c r="C74" s="537">
        <v>0.3</v>
      </c>
      <c r="E74" s="7" t="s">
        <v>3061</v>
      </c>
    </row>
    <row r="75" spans="1:5">
      <c r="A75" s="414" t="s">
        <v>1960</v>
      </c>
      <c r="B75" s="3" t="s">
        <v>776</v>
      </c>
      <c r="C75" s="409">
        <v>4</v>
      </c>
      <c r="D75" s="414" t="s">
        <v>777</v>
      </c>
      <c r="E75" s="7" t="s">
        <v>3333</v>
      </c>
    </row>
    <row r="76" spans="1:5">
      <c r="A76" s="414" t="s">
        <v>1501</v>
      </c>
      <c r="B76" s="3" t="s">
        <v>2750</v>
      </c>
      <c r="C76" s="409">
        <v>4</v>
      </c>
      <c r="D76" s="414" t="s">
        <v>777</v>
      </c>
      <c r="E76" s="7" t="s">
        <v>3333</v>
      </c>
    </row>
    <row r="77" spans="1:5">
      <c r="A77" s="414" t="s">
        <v>52</v>
      </c>
      <c r="B77" s="3" t="s">
        <v>53</v>
      </c>
      <c r="C77" s="547">
        <v>1</v>
      </c>
      <c r="D77" s="414" t="s">
        <v>2615</v>
      </c>
      <c r="E77" s="7"/>
    </row>
    <row r="78" spans="1:5">
      <c r="A78" s="414" t="s">
        <v>2053</v>
      </c>
      <c r="B78" s="3" t="s">
        <v>2054</v>
      </c>
      <c r="C78" s="409">
        <v>1.33</v>
      </c>
      <c r="D78" s="414" t="s">
        <v>1763</v>
      </c>
      <c r="E78" s="7" t="s">
        <v>2057</v>
      </c>
    </row>
    <row r="79" spans="1:5">
      <c r="A79" s="414" t="s">
        <v>46</v>
      </c>
      <c r="B79" s="3" t="s">
        <v>47</v>
      </c>
      <c r="C79" s="409">
        <v>1.33</v>
      </c>
      <c r="D79" s="414" t="s">
        <v>1763</v>
      </c>
      <c r="E79" s="7" t="s">
        <v>2057</v>
      </c>
    </row>
    <row r="80" spans="1:5">
      <c r="A80" s="414" t="s">
        <v>48</v>
      </c>
      <c r="B80" s="3" t="s">
        <v>49</v>
      </c>
      <c r="C80" s="409">
        <v>1.33</v>
      </c>
      <c r="D80" s="414" t="s">
        <v>1763</v>
      </c>
      <c r="E80" s="7" t="s">
        <v>2057</v>
      </c>
    </row>
    <row r="81" spans="1:5">
      <c r="A81" s="414" t="s">
        <v>1827</v>
      </c>
      <c r="B81" s="3" t="s">
        <v>1727</v>
      </c>
      <c r="C81" s="409">
        <v>1</v>
      </c>
      <c r="D81" s="414" t="s">
        <v>2222</v>
      </c>
      <c r="E81" s="7" t="s">
        <v>3334</v>
      </c>
    </row>
    <row r="82" spans="1:5">
      <c r="A82" s="414" t="s">
        <v>2457</v>
      </c>
      <c r="B82" s="3" t="s">
        <v>2459</v>
      </c>
      <c r="C82" s="409">
        <f>3/5</f>
        <v>0.6</v>
      </c>
      <c r="D82" s="414" t="s">
        <v>3779</v>
      </c>
      <c r="E82" s="7" t="s">
        <v>3326</v>
      </c>
    </row>
    <row r="83" spans="1:5">
      <c r="A83" s="414" t="s">
        <v>2458</v>
      </c>
      <c r="B83" s="3" t="s">
        <v>2460</v>
      </c>
      <c r="C83" s="409">
        <v>3</v>
      </c>
      <c r="D83" s="414" t="s">
        <v>2219</v>
      </c>
      <c r="E83" s="7" t="s">
        <v>3326</v>
      </c>
    </row>
    <row r="84" spans="1:5">
      <c r="B84" s="3"/>
    </row>
    <row r="85" spans="1:5">
      <c r="A85" s="2" t="s">
        <v>3789</v>
      </c>
      <c r="B85" s="3"/>
    </row>
    <row r="86" spans="1:5">
      <c r="A86" s="414" t="s">
        <v>3790</v>
      </c>
      <c r="B86" s="3" t="s">
        <v>3791</v>
      </c>
      <c r="C86" s="409">
        <v>2</v>
      </c>
      <c r="D86" s="414" t="s">
        <v>3792</v>
      </c>
    </row>
    <row r="87" spans="1:5">
      <c r="A87" s="414" t="s">
        <v>3793</v>
      </c>
      <c r="B87" s="3" t="s">
        <v>3794</v>
      </c>
      <c r="C87" s="409">
        <v>2</v>
      </c>
      <c r="D87" s="414" t="s">
        <v>3792</v>
      </c>
    </row>
    <row r="88" spans="1:5">
      <c r="A88" s="414" t="s">
        <v>3801</v>
      </c>
      <c r="B88" s="3" t="s">
        <v>3802</v>
      </c>
      <c r="C88" s="409">
        <v>2.5</v>
      </c>
      <c r="D88" s="414" t="s">
        <v>3792</v>
      </c>
    </row>
    <row r="89" spans="1:5">
      <c r="A89" s="414" t="s">
        <v>3795</v>
      </c>
      <c r="B89" s="3" t="s">
        <v>3796</v>
      </c>
      <c r="C89" s="409">
        <v>2.5</v>
      </c>
      <c r="D89" s="414" t="s">
        <v>3792</v>
      </c>
    </row>
    <row r="90" spans="1:5">
      <c r="A90" s="414" t="s">
        <v>3797</v>
      </c>
      <c r="B90" s="3" t="s">
        <v>3798</v>
      </c>
      <c r="C90" s="409">
        <v>1</v>
      </c>
      <c r="D90" s="414" t="s">
        <v>3792</v>
      </c>
    </row>
    <row r="91" spans="1:5">
      <c r="B91" s="3"/>
    </row>
    <row r="92" spans="1:5">
      <c r="A92" s="43" t="s">
        <v>870</v>
      </c>
      <c r="B92" s="3"/>
      <c r="C92" s="523"/>
    </row>
    <row r="93" spans="1:5">
      <c r="A93" s="467" t="s">
        <v>3244</v>
      </c>
    </row>
    <row r="94" spans="1:5">
      <c r="A94" s="414" t="s">
        <v>3310</v>
      </c>
      <c r="B94" s="3" t="s">
        <v>158</v>
      </c>
      <c r="C94" s="409">
        <v>2</v>
      </c>
      <c r="D94" s="414" t="s">
        <v>1766</v>
      </c>
    </row>
    <row r="95" spans="1:5">
      <c r="A95" s="414" t="s">
        <v>3311</v>
      </c>
      <c r="B95" s="3" t="s">
        <v>159</v>
      </c>
      <c r="C95" s="409">
        <v>0</v>
      </c>
      <c r="D95" s="414" t="s">
        <v>1766</v>
      </c>
    </row>
    <row r="96" spans="1:5">
      <c r="A96" s="414" t="s">
        <v>2970</v>
      </c>
      <c r="B96" s="3" t="s">
        <v>2857</v>
      </c>
      <c r="C96" s="409">
        <v>1</v>
      </c>
      <c r="D96" s="414" t="s">
        <v>2559</v>
      </c>
      <c r="E96" s="7" t="s">
        <v>1948</v>
      </c>
    </row>
    <row r="97" spans="1:5">
      <c r="A97" s="414" t="s">
        <v>5</v>
      </c>
      <c r="B97" s="3" t="s">
        <v>6</v>
      </c>
      <c r="C97" s="409">
        <v>1</v>
      </c>
      <c r="D97" s="414" t="s">
        <v>1766</v>
      </c>
    </row>
    <row r="98" spans="1:5">
      <c r="A98" s="414" t="s">
        <v>2620</v>
      </c>
      <c r="B98" s="3" t="s">
        <v>2621</v>
      </c>
      <c r="C98" s="409">
        <v>1</v>
      </c>
      <c r="D98" s="414" t="s">
        <v>1092</v>
      </c>
    </row>
    <row r="99" spans="1:5">
      <c r="A99" s="414" t="s">
        <v>1454</v>
      </c>
      <c r="B99" s="3" t="s">
        <v>2989</v>
      </c>
      <c r="C99" s="409">
        <v>1</v>
      </c>
      <c r="D99" s="414" t="s">
        <v>1766</v>
      </c>
    </row>
    <row r="100" spans="1:5">
      <c r="A100" s="414" t="s">
        <v>2988</v>
      </c>
      <c r="B100" s="3" t="s">
        <v>2990</v>
      </c>
      <c r="C100" s="409">
        <v>0</v>
      </c>
      <c r="D100" s="414" t="s">
        <v>1766</v>
      </c>
    </row>
    <row r="101" spans="1:5">
      <c r="A101" s="414" t="s">
        <v>1661</v>
      </c>
      <c r="B101" s="3" t="s">
        <v>742</v>
      </c>
      <c r="C101" s="409">
        <v>1</v>
      </c>
      <c r="D101" s="414" t="s">
        <v>1766</v>
      </c>
    </row>
    <row r="102" spans="1:5">
      <c r="A102" s="414" t="s">
        <v>3650</v>
      </c>
      <c r="B102" s="3" t="s">
        <v>3651</v>
      </c>
      <c r="C102" s="409">
        <v>1</v>
      </c>
      <c r="D102" s="414" t="s">
        <v>1092</v>
      </c>
      <c r="E102" s="7" t="s">
        <v>3652</v>
      </c>
    </row>
    <row r="103" spans="1:5">
      <c r="A103" s="414" t="s">
        <v>1787</v>
      </c>
      <c r="B103" s="3" t="s">
        <v>1788</v>
      </c>
      <c r="C103" s="409">
        <v>1</v>
      </c>
      <c r="D103" s="414" t="s">
        <v>1092</v>
      </c>
      <c r="E103" s="7" t="s">
        <v>1789</v>
      </c>
    </row>
    <row r="104" spans="1:5">
      <c r="A104" s="43"/>
      <c r="B104" s="3"/>
    </row>
    <row r="105" spans="1:5">
      <c r="A105" s="414" t="s">
        <v>3312</v>
      </c>
      <c r="B105" s="3" t="s">
        <v>2991</v>
      </c>
      <c r="C105" s="409">
        <v>1</v>
      </c>
      <c r="D105" s="414" t="s">
        <v>2222</v>
      </c>
      <c r="E105" s="7"/>
    </row>
    <row r="106" spans="1:5">
      <c r="A106" s="414" t="s">
        <v>3313</v>
      </c>
      <c r="B106" s="3" t="s">
        <v>2992</v>
      </c>
      <c r="C106" s="409">
        <v>0</v>
      </c>
      <c r="D106" s="414" t="s">
        <v>2222</v>
      </c>
      <c r="E106" s="7"/>
    </row>
    <row r="107" spans="1:5">
      <c r="A107" s="414" t="s">
        <v>2984</v>
      </c>
      <c r="B107" s="3" t="s">
        <v>2031</v>
      </c>
      <c r="C107" s="409">
        <v>0</v>
      </c>
      <c r="D107" s="414" t="s">
        <v>2560</v>
      </c>
      <c r="E107" s="7" t="s">
        <v>2558</v>
      </c>
    </row>
    <row r="108" spans="1:5">
      <c r="A108" s="414" t="s">
        <v>865</v>
      </c>
      <c r="B108" s="3" t="s">
        <v>2065</v>
      </c>
      <c r="C108" s="409">
        <v>1</v>
      </c>
      <c r="D108" s="414" t="s">
        <v>2222</v>
      </c>
      <c r="E108" s="7" t="s">
        <v>866</v>
      </c>
    </row>
    <row r="109" spans="1:5">
      <c r="A109" s="414" t="s">
        <v>2561</v>
      </c>
      <c r="B109" s="3" t="s">
        <v>1282</v>
      </c>
      <c r="C109" s="409">
        <v>0</v>
      </c>
      <c r="D109" s="414" t="s">
        <v>2427</v>
      </c>
    </row>
    <row r="110" spans="1:5">
      <c r="A110" s="544" t="s">
        <v>2623</v>
      </c>
      <c r="B110" s="3" t="s">
        <v>927</v>
      </c>
      <c r="C110" s="527">
        <v>0</v>
      </c>
      <c r="D110" s="414" t="s">
        <v>2427</v>
      </c>
    </row>
    <row r="111" spans="1:5">
      <c r="A111" s="414" t="s">
        <v>2562</v>
      </c>
      <c r="B111" s="3" t="s">
        <v>2564</v>
      </c>
      <c r="C111" s="409">
        <v>1</v>
      </c>
      <c r="D111" s="414" t="s">
        <v>2563</v>
      </c>
    </row>
    <row r="112" spans="1:5">
      <c r="A112" s="544" t="s">
        <v>2623</v>
      </c>
      <c r="B112" s="3" t="s">
        <v>2565</v>
      </c>
      <c r="C112" s="527">
        <v>0</v>
      </c>
      <c r="D112" s="414" t="s">
        <v>2563</v>
      </c>
    </row>
    <row r="113" spans="1:5">
      <c r="A113" s="414" t="s">
        <v>2430</v>
      </c>
      <c r="B113" s="3" t="s">
        <v>1837</v>
      </c>
      <c r="C113" s="409">
        <v>1</v>
      </c>
      <c r="D113" s="414" t="s">
        <v>2157</v>
      </c>
    </row>
    <row r="114" spans="1:5">
      <c r="A114" s="414" t="s">
        <v>2567</v>
      </c>
      <c r="B114" s="3" t="s">
        <v>435</v>
      </c>
      <c r="C114" s="409">
        <v>1</v>
      </c>
      <c r="D114" s="414" t="s">
        <v>2563</v>
      </c>
    </row>
    <row r="115" spans="1:5">
      <c r="A115" s="544" t="s">
        <v>2623</v>
      </c>
      <c r="B115" s="3" t="s">
        <v>436</v>
      </c>
      <c r="C115" s="409">
        <v>0</v>
      </c>
      <c r="D115" s="414" t="s">
        <v>2563</v>
      </c>
    </row>
    <row r="116" spans="1:5">
      <c r="A116" s="414" t="s">
        <v>2566</v>
      </c>
      <c r="B116" s="3" t="s">
        <v>867</v>
      </c>
      <c r="C116" s="409">
        <v>2</v>
      </c>
      <c r="D116" s="414" t="s">
        <v>2222</v>
      </c>
      <c r="E116" s="7" t="s">
        <v>3306</v>
      </c>
    </row>
    <row r="117" spans="1:5">
      <c r="A117" s="544" t="s">
        <v>2623</v>
      </c>
      <c r="B117" s="3" t="s">
        <v>928</v>
      </c>
      <c r="C117" s="527">
        <v>0</v>
      </c>
      <c r="D117" s="414" t="s">
        <v>2222</v>
      </c>
      <c r="E117" s="7"/>
    </row>
    <row r="118" spans="1:5">
      <c r="A118" s="414" t="s">
        <v>2435</v>
      </c>
      <c r="B118" s="3" t="s">
        <v>2436</v>
      </c>
      <c r="C118" s="409">
        <v>2</v>
      </c>
      <c r="D118" s="414" t="s">
        <v>2222</v>
      </c>
      <c r="E118" s="7" t="s">
        <v>3306</v>
      </c>
    </row>
    <row r="119" spans="1:5">
      <c r="A119" s="544" t="s">
        <v>2623</v>
      </c>
      <c r="B119" s="3" t="s">
        <v>929</v>
      </c>
      <c r="C119" s="527">
        <v>0</v>
      </c>
      <c r="D119" s="414" t="s">
        <v>2222</v>
      </c>
      <c r="E119" s="7"/>
    </row>
    <row r="120" spans="1:5">
      <c r="A120" s="414" t="s">
        <v>811</v>
      </c>
      <c r="B120" s="3" t="s">
        <v>2438</v>
      </c>
      <c r="C120" s="409">
        <v>0</v>
      </c>
      <c r="D120" s="414" t="s">
        <v>2427</v>
      </c>
      <c r="E120" s="7"/>
    </row>
    <row r="121" spans="1:5">
      <c r="A121" s="414" t="s">
        <v>2568</v>
      </c>
      <c r="B121" s="3" t="s">
        <v>812</v>
      </c>
      <c r="C121" s="409">
        <v>1</v>
      </c>
      <c r="D121" s="414" t="s">
        <v>2563</v>
      </c>
      <c r="E121" s="7"/>
    </row>
    <row r="122" spans="1:5">
      <c r="A122" s="414" t="s">
        <v>2439</v>
      </c>
      <c r="B122" s="3" t="s">
        <v>2440</v>
      </c>
      <c r="C122" s="409">
        <v>2</v>
      </c>
      <c r="D122" s="414" t="s">
        <v>2222</v>
      </c>
      <c r="E122" s="7" t="s">
        <v>3305</v>
      </c>
    </row>
    <row r="123" spans="1:5">
      <c r="A123" s="544" t="s">
        <v>2623</v>
      </c>
      <c r="B123" s="3" t="s">
        <v>932</v>
      </c>
      <c r="C123" s="527">
        <v>0</v>
      </c>
      <c r="D123" s="414" t="s">
        <v>2222</v>
      </c>
      <c r="E123" s="7"/>
    </row>
    <row r="124" spans="1:5">
      <c r="A124" s="414" t="s">
        <v>454</v>
      </c>
      <c r="B124" s="3" t="s">
        <v>2569</v>
      </c>
      <c r="C124" s="409">
        <v>1</v>
      </c>
      <c r="D124" s="414" t="s">
        <v>2222</v>
      </c>
      <c r="E124" s="7" t="s">
        <v>3307</v>
      </c>
    </row>
    <row r="125" spans="1:5">
      <c r="A125" s="544" t="s">
        <v>2623</v>
      </c>
      <c r="B125" s="3" t="s">
        <v>2570</v>
      </c>
      <c r="C125" s="527">
        <v>0</v>
      </c>
      <c r="D125" s="414" t="s">
        <v>2222</v>
      </c>
      <c r="E125" s="7"/>
    </row>
    <row r="126" spans="1:5">
      <c r="A126" s="414" t="s">
        <v>455</v>
      </c>
      <c r="B126" s="3" t="s">
        <v>2441</v>
      </c>
      <c r="C126" s="409">
        <v>1</v>
      </c>
      <c r="D126" s="414" t="s">
        <v>2560</v>
      </c>
      <c r="E126" s="7"/>
    </row>
    <row r="127" spans="1:5">
      <c r="A127" s="544" t="s">
        <v>2623</v>
      </c>
      <c r="B127" s="3" t="s">
        <v>933</v>
      </c>
      <c r="C127" s="527">
        <v>0</v>
      </c>
      <c r="D127" s="414" t="s">
        <v>2560</v>
      </c>
      <c r="E127" s="7"/>
    </row>
    <row r="128" spans="1:5">
      <c r="A128" s="414" t="s">
        <v>456</v>
      </c>
      <c r="B128" s="3" t="s">
        <v>2446</v>
      </c>
      <c r="C128" s="409">
        <v>1</v>
      </c>
      <c r="D128" s="414" t="s">
        <v>2560</v>
      </c>
      <c r="E128" s="7"/>
    </row>
    <row r="129" spans="1:5">
      <c r="A129" s="414" t="s">
        <v>3308</v>
      </c>
      <c r="B129" s="3" t="s">
        <v>208</v>
      </c>
      <c r="C129" s="409">
        <v>1</v>
      </c>
      <c r="D129" s="414" t="s">
        <v>2222</v>
      </c>
      <c r="E129" s="7" t="s">
        <v>209</v>
      </c>
    </row>
    <row r="130" spans="1:5">
      <c r="A130" s="414" t="s">
        <v>2447</v>
      </c>
      <c r="B130" s="3" t="s">
        <v>2448</v>
      </c>
      <c r="C130" s="409">
        <v>3</v>
      </c>
      <c r="D130" s="414" t="s">
        <v>2222</v>
      </c>
      <c r="E130" s="7" t="s">
        <v>3309</v>
      </c>
    </row>
    <row r="131" spans="1:5">
      <c r="A131" s="414" t="s">
        <v>843</v>
      </c>
      <c r="B131" s="3" t="s">
        <v>844</v>
      </c>
      <c r="C131" s="409">
        <v>0</v>
      </c>
      <c r="D131" s="414" t="s">
        <v>2222</v>
      </c>
      <c r="E131" s="7" t="s">
        <v>3335</v>
      </c>
    </row>
    <row r="132" spans="1:5">
      <c r="B132" s="3"/>
      <c r="E132" s="7"/>
    </row>
    <row r="133" spans="1:5">
      <c r="A133" s="2" t="s">
        <v>845</v>
      </c>
    </row>
    <row r="134" spans="1:5">
      <c r="A134" s="467" t="s">
        <v>3246</v>
      </c>
    </row>
    <row r="135" spans="1:5">
      <c r="A135" s="7" t="s">
        <v>1083</v>
      </c>
      <c r="C135" s="523"/>
    </row>
    <row r="136" spans="1:5">
      <c r="A136" s="7" t="s">
        <v>1084</v>
      </c>
      <c r="C136" s="176"/>
    </row>
    <row r="137" spans="1:5">
      <c r="A137" s="414" t="s">
        <v>1085</v>
      </c>
      <c r="B137" s="3" t="s">
        <v>2832</v>
      </c>
      <c r="C137" s="409">
        <v>1</v>
      </c>
      <c r="D137" s="414" t="s">
        <v>2222</v>
      </c>
    </row>
    <row r="138" spans="1:5">
      <c r="A138" s="414" t="s">
        <v>1086</v>
      </c>
      <c r="B138" s="3" t="s">
        <v>2833</v>
      </c>
      <c r="C138" s="409">
        <v>1</v>
      </c>
      <c r="D138" s="414" t="s">
        <v>2222</v>
      </c>
    </row>
    <row r="139" spans="1:5">
      <c r="A139" s="414" t="s">
        <v>1087</v>
      </c>
      <c r="B139" s="3" t="s">
        <v>2253</v>
      </c>
      <c r="C139" s="409">
        <v>1</v>
      </c>
      <c r="D139" s="414" t="s">
        <v>2222</v>
      </c>
    </row>
    <row r="140" spans="1:5">
      <c r="A140" s="414" t="s">
        <v>3011</v>
      </c>
      <c r="B140" s="3" t="s">
        <v>2254</v>
      </c>
      <c r="C140" s="409">
        <v>1</v>
      </c>
      <c r="D140" s="414" t="s">
        <v>2222</v>
      </c>
    </row>
    <row r="142" spans="1:5">
      <c r="A142" s="414" t="s">
        <v>3440</v>
      </c>
      <c r="B142" s="3" t="s">
        <v>3441</v>
      </c>
      <c r="C142" s="409">
        <v>0</v>
      </c>
      <c r="D142" s="414" t="s">
        <v>37</v>
      </c>
      <c r="E142" s="570" t="s">
        <v>3442</v>
      </c>
    </row>
    <row r="143" spans="1:5">
      <c r="A143" s="414" t="s">
        <v>2890</v>
      </c>
      <c r="B143" s="3" t="s">
        <v>2995</v>
      </c>
      <c r="C143" s="527">
        <v>2</v>
      </c>
      <c r="D143" s="414" t="s">
        <v>2222</v>
      </c>
      <c r="E143" s="7" t="s">
        <v>2768</v>
      </c>
    </row>
    <row r="144" spans="1:5">
      <c r="A144" s="414" t="s">
        <v>2996</v>
      </c>
      <c r="B144" s="3" t="s">
        <v>2997</v>
      </c>
      <c r="C144" s="527">
        <v>0</v>
      </c>
      <c r="D144" s="414" t="s">
        <v>2222</v>
      </c>
      <c r="E144" s="7"/>
    </row>
    <row r="145" spans="1:5">
      <c r="A145" s="414" t="s">
        <v>920</v>
      </c>
      <c r="B145" s="3" t="s">
        <v>3000</v>
      </c>
      <c r="C145" s="527">
        <v>2</v>
      </c>
      <c r="D145" s="414" t="s">
        <v>2222</v>
      </c>
      <c r="E145" s="7" t="s">
        <v>1953</v>
      </c>
    </row>
    <row r="146" spans="1:5">
      <c r="A146" s="414" t="s">
        <v>2998</v>
      </c>
      <c r="B146" s="3" t="s">
        <v>2999</v>
      </c>
      <c r="C146" s="527">
        <v>0</v>
      </c>
      <c r="D146" s="414" t="s">
        <v>2222</v>
      </c>
      <c r="E146" s="7"/>
    </row>
    <row r="147" spans="1:5">
      <c r="A147" s="414" t="s">
        <v>860</v>
      </c>
      <c r="B147" s="3" t="s">
        <v>3001</v>
      </c>
      <c r="C147" s="527">
        <v>2</v>
      </c>
      <c r="D147" s="414" t="s">
        <v>2222</v>
      </c>
      <c r="E147" s="7" t="s">
        <v>1954</v>
      </c>
    </row>
    <row r="148" spans="1:5">
      <c r="A148" s="414" t="s">
        <v>3401</v>
      </c>
      <c r="B148" s="3" t="s">
        <v>3002</v>
      </c>
      <c r="C148" s="527">
        <v>0</v>
      </c>
      <c r="D148" s="414" t="s">
        <v>2222</v>
      </c>
      <c r="E148" s="7"/>
    </row>
    <row r="149" spans="1:5">
      <c r="A149" s="414" t="s">
        <v>861</v>
      </c>
      <c r="B149" s="3" t="s">
        <v>3003</v>
      </c>
      <c r="C149" s="527">
        <v>1</v>
      </c>
      <c r="D149" s="414" t="s">
        <v>3210</v>
      </c>
      <c r="E149" s="7" t="s">
        <v>655</v>
      </c>
    </row>
    <row r="150" spans="1:5">
      <c r="A150" s="414" t="s">
        <v>1798</v>
      </c>
      <c r="B150" s="3" t="s">
        <v>3004</v>
      </c>
      <c r="C150" s="527">
        <v>0</v>
      </c>
      <c r="D150" s="414" t="s">
        <v>3210</v>
      </c>
      <c r="E150" s="7"/>
    </row>
    <row r="151" spans="1:5">
      <c r="A151" s="414" t="s">
        <v>980</v>
      </c>
      <c r="B151" s="3" t="s">
        <v>2046</v>
      </c>
      <c r="C151" s="409">
        <v>1</v>
      </c>
      <c r="D151" s="414" t="s">
        <v>981</v>
      </c>
      <c r="E151" s="7" t="s">
        <v>2974</v>
      </c>
    </row>
    <row r="152" spans="1:5">
      <c r="A152" s="414" t="s">
        <v>587</v>
      </c>
      <c r="B152" s="3" t="s">
        <v>588</v>
      </c>
      <c r="C152" s="409">
        <v>3</v>
      </c>
      <c r="D152" s="414" t="s">
        <v>589</v>
      </c>
      <c r="E152" s="7" t="s">
        <v>590</v>
      </c>
    </row>
    <row r="153" spans="1:5">
      <c r="A153" s="414" t="s">
        <v>3436</v>
      </c>
      <c r="B153" s="3" t="s">
        <v>3437</v>
      </c>
      <c r="C153" s="409">
        <v>0</v>
      </c>
      <c r="D153" s="414" t="s">
        <v>37</v>
      </c>
      <c r="E153" s="7"/>
    </row>
    <row r="154" spans="1:5">
      <c r="A154" s="414" t="s">
        <v>2045</v>
      </c>
      <c r="B154" s="3" t="s">
        <v>2047</v>
      </c>
      <c r="C154" s="409">
        <v>4</v>
      </c>
      <c r="D154" s="414" t="s">
        <v>2048</v>
      </c>
      <c r="E154" s="7" t="s">
        <v>1279</v>
      </c>
    </row>
    <row r="155" spans="1:5">
      <c r="A155" s="414" t="s">
        <v>3438</v>
      </c>
      <c r="B155" s="3" t="s">
        <v>3439</v>
      </c>
      <c r="C155" s="409">
        <v>0</v>
      </c>
      <c r="D155" s="414" t="s">
        <v>37</v>
      </c>
      <c r="E155" s="7"/>
    </row>
    <row r="157" spans="1:5">
      <c r="A157" s="2" t="s">
        <v>871</v>
      </c>
      <c r="B157" s="3"/>
    </row>
    <row r="158" spans="1:5">
      <c r="A158" s="414" t="s">
        <v>3396</v>
      </c>
      <c r="B158" s="3" t="s">
        <v>3397</v>
      </c>
      <c r="C158" s="146">
        <v>6</v>
      </c>
      <c r="D158" s="414" t="s">
        <v>2219</v>
      </c>
      <c r="E158" s="7" t="s">
        <v>1366</v>
      </c>
    </row>
    <row r="159" spans="1:5">
      <c r="A159" s="414" t="s">
        <v>3398</v>
      </c>
      <c r="B159" s="3" t="s">
        <v>3399</v>
      </c>
      <c r="C159" s="146">
        <v>1</v>
      </c>
      <c r="D159" s="414" t="s">
        <v>2219</v>
      </c>
      <c r="E159" s="7" t="s">
        <v>3400</v>
      </c>
    </row>
    <row r="160" spans="1:5" ht="13.5" customHeight="1">
      <c r="A160" s="414" t="s">
        <v>913</v>
      </c>
      <c r="B160" s="3" t="s">
        <v>912</v>
      </c>
      <c r="C160" s="409">
        <v>4</v>
      </c>
      <c r="D160" s="414" t="s">
        <v>2219</v>
      </c>
      <c r="E160" s="7" t="s">
        <v>2552</v>
      </c>
    </row>
    <row r="161" spans="1:5">
      <c r="A161" s="414" t="s">
        <v>910</v>
      </c>
      <c r="B161" s="3" t="s">
        <v>909</v>
      </c>
      <c r="C161" s="409">
        <v>0</v>
      </c>
      <c r="D161" s="414" t="s">
        <v>2219</v>
      </c>
      <c r="E161" s="7" t="s">
        <v>911</v>
      </c>
    </row>
    <row r="162" spans="1:5">
      <c r="A162" s="414" t="s">
        <v>852</v>
      </c>
      <c r="B162" s="3" t="s">
        <v>853</v>
      </c>
      <c r="C162" s="409">
        <v>10</v>
      </c>
      <c r="D162" s="414" t="s">
        <v>2219</v>
      </c>
    </row>
    <row r="163" spans="1:5">
      <c r="A163" s="414" t="s">
        <v>854</v>
      </c>
      <c r="B163" s="3" t="s">
        <v>855</v>
      </c>
      <c r="C163" s="409">
        <v>40</v>
      </c>
      <c r="D163" s="414" t="s">
        <v>2219</v>
      </c>
    </row>
    <row r="164" spans="1:5">
      <c r="A164" s="414" t="s">
        <v>723</v>
      </c>
      <c r="B164" s="3" t="s">
        <v>3336</v>
      </c>
      <c r="C164" s="409">
        <v>6</v>
      </c>
      <c r="D164" s="414" t="s">
        <v>2219</v>
      </c>
      <c r="E164" s="7" t="s">
        <v>3337</v>
      </c>
    </row>
    <row r="165" spans="1:5">
      <c r="A165" s="414" t="s">
        <v>2866</v>
      </c>
      <c r="B165" s="35" t="s">
        <v>2867</v>
      </c>
      <c r="C165" s="409">
        <v>20</v>
      </c>
      <c r="D165" s="414" t="s">
        <v>2219</v>
      </c>
      <c r="E165" s="7"/>
    </row>
    <row r="166" spans="1:5">
      <c r="A166" s="414" t="s">
        <v>1676</v>
      </c>
      <c r="B166" s="3" t="s">
        <v>1677</v>
      </c>
      <c r="C166" s="409">
        <v>100</v>
      </c>
      <c r="D166" s="414" t="s">
        <v>1595</v>
      </c>
    </row>
    <row r="167" spans="1:5">
      <c r="A167" s="414" t="s">
        <v>800</v>
      </c>
      <c r="B167" s="3" t="s">
        <v>935</v>
      </c>
      <c r="C167" s="527">
        <v>0</v>
      </c>
      <c r="D167" s="414" t="s">
        <v>1595</v>
      </c>
      <c r="E167" s="7" t="s">
        <v>679</v>
      </c>
    </row>
    <row r="168" spans="1:5">
      <c r="A168" s="414" t="s">
        <v>1375</v>
      </c>
      <c r="B168" s="3" t="s">
        <v>1376</v>
      </c>
      <c r="C168" s="527">
        <f>6/12</f>
        <v>0.5</v>
      </c>
      <c r="D168" s="414" t="s">
        <v>2219</v>
      </c>
      <c r="E168" s="7"/>
    </row>
    <row r="169" spans="1:5">
      <c r="A169" s="414" t="s">
        <v>1069</v>
      </c>
      <c r="B169" s="3" t="s">
        <v>1070</v>
      </c>
      <c r="C169" s="527">
        <f>4/12</f>
        <v>0.33333333333333331</v>
      </c>
      <c r="D169" s="414" t="s">
        <v>2219</v>
      </c>
      <c r="E169" s="7"/>
    </row>
    <row r="170" spans="1:5">
      <c r="A170" t="s">
        <v>3803</v>
      </c>
      <c r="B170" s="916" t="s">
        <v>3804</v>
      </c>
      <c r="C170" s="395">
        <v>3</v>
      </c>
      <c r="D170" s="414" t="s">
        <v>2219</v>
      </c>
      <c r="E170" s="7" t="s">
        <v>3805</v>
      </c>
    </row>
    <row r="171" spans="1:5">
      <c r="A171" s="414" t="s">
        <v>705</v>
      </c>
      <c r="B171" s="3" t="s">
        <v>706</v>
      </c>
      <c r="C171" s="409">
        <v>10000</v>
      </c>
      <c r="D171" s="414" t="s">
        <v>2856</v>
      </c>
      <c r="E171" s="7"/>
    </row>
    <row r="173" spans="1:5">
      <c r="A173" s="2" t="s">
        <v>124</v>
      </c>
      <c r="B173" s="3"/>
    </row>
    <row r="174" spans="1:5">
      <c r="A174" s="414" t="s">
        <v>35</v>
      </c>
      <c r="B174" s="3" t="s">
        <v>36</v>
      </c>
      <c r="C174" s="409">
        <v>0</v>
      </c>
      <c r="D174" s="414" t="s">
        <v>37</v>
      </c>
      <c r="E174" s="7" t="s">
        <v>2595</v>
      </c>
    </row>
    <row r="175" spans="1:5">
      <c r="A175" s="414" t="s">
        <v>2003</v>
      </c>
      <c r="B175" s="3" t="s">
        <v>2004</v>
      </c>
      <c r="C175" s="409">
        <v>1</v>
      </c>
      <c r="D175" s="414" t="s">
        <v>2005</v>
      </c>
      <c r="E175" s="7"/>
    </row>
    <row r="176" spans="1:5">
      <c r="A176" s="414" t="s">
        <v>2331</v>
      </c>
      <c r="B176" s="495" t="s">
        <v>2332</v>
      </c>
      <c r="C176" s="395">
        <v>90</v>
      </c>
      <c r="D176" s="414" t="s">
        <v>2218</v>
      </c>
      <c r="E176" s="7" t="s">
        <v>2755</v>
      </c>
    </row>
    <row r="177" spans="1:5">
      <c r="A177" s="414" t="s">
        <v>2007</v>
      </c>
      <c r="B177" s="3" t="s">
        <v>2009</v>
      </c>
      <c r="C177" s="409">
        <v>100</v>
      </c>
      <c r="D177" s="414" t="s">
        <v>1754</v>
      </c>
      <c r="E177" s="7"/>
    </row>
    <row r="178" spans="1:5">
      <c r="A178" s="414" t="s">
        <v>1786</v>
      </c>
      <c r="B178" s="3" t="s">
        <v>2010</v>
      </c>
      <c r="C178" s="409">
        <v>9.6</v>
      </c>
      <c r="D178" s="414" t="s">
        <v>2008</v>
      </c>
      <c r="E178" s="7"/>
    </row>
    <row r="179" spans="1:5">
      <c r="A179" s="414" t="s">
        <v>2752</v>
      </c>
      <c r="B179" s="3" t="s">
        <v>2753</v>
      </c>
      <c r="C179" s="409">
        <v>1</v>
      </c>
      <c r="D179" s="414" t="s">
        <v>2520</v>
      </c>
      <c r="E179" s="7"/>
    </row>
    <row r="180" spans="1:5">
      <c r="A180" s="414" t="s">
        <v>2584</v>
      </c>
      <c r="B180" s="495" t="s">
        <v>2585</v>
      </c>
      <c r="C180" s="409">
        <v>0.25</v>
      </c>
      <c r="D180" s="414" t="s">
        <v>2586</v>
      </c>
      <c r="E180" s="7"/>
    </row>
    <row r="181" spans="1:5">
      <c r="A181" s="414" t="s">
        <v>3476</v>
      </c>
      <c r="B181" s="495" t="s">
        <v>3477</v>
      </c>
      <c r="C181" s="146">
        <f>1/3</f>
        <v>0.33333333333333331</v>
      </c>
      <c r="D181" s="414" t="s">
        <v>1573</v>
      </c>
      <c r="E181" s="7"/>
    </row>
    <row r="182" spans="1:5">
      <c r="A182" s="414" t="s">
        <v>3480</v>
      </c>
      <c r="B182" s="3" t="s">
        <v>3481</v>
      </c>
      <c r="C182" s="146">
        <v>0</v>
      </c>
      <c r="D182" s="414" t="s">
        <v>302</v>
      </c>
      <c r="E182" s="7"/>
    </row>
    <row r="183" spans="1:5">
      <c r="A183" s="414" t="s">
        <v>2006</v>
      </c>
      <c r="B183" s="3" t="s">
        <v>2596</v>
      </c>
      <c r="C183" s="409">
        <v>10</v>
      </c>
      <c r="D183" s="414" t="s">
        <v>1754</v>
      </c>
      <c r="E183" s="7"/>
    </row>
    <row r="184" spans="1:5">
      <c r="A184" s="414" t="s">
        <v>3591</v>
      </c>
      <c r="B184" s="3" t="s">
        <v>2517</v>
      </c>
      <c r="C184" s="409">
        <v>11.85</v>
      </c>
      <c r="D184" s="414" t="s">
        <v>2008</v>
      </c>
      <c r="E184" s="7"/>
    </row>
    <row r="185" spans="1:5">
      <c r="A185" s="414" t="s">
        <v>3592</v>
      </c>
      <c r="B185" s="3" t="s">
        <v>3593</v>
      </c>
      <c r="C185" s="896">
        <v>0.4</v>
      </c>
      <c r="E185" s="7"/>
    </row>
    <row r="186" spans="1:5">
      <c r="A186" s="414" t="s">
        <v>2751</v>
      </c>
      <c r="B186" s="3" t="s">
        <v>2519</v>
      </c>
      <c r="C186" s="409">
        <v>0.99</v>
      </c>
      <c r="D186" s="414" t="s">
        <v>2520</v>
      </c>
      <c r="E186" s="7"/>
    </row>
    <row r="187" spans="1:5">
      <c r="A187" s="414" t="s">
        <v>2680</v>
      </c>
      <c r="B187" s="3" t="s">
        <v>2681</v>
      </c>
      <c r="C187" s="409">
        <v>30</v>
      </c>
      <c r="D187" s="414" t="s">
        <v>2682</v>
      </c>
      <c r="E187" s="7"/>
    </row>
    <row r="188" spans="1:5">
      <c r="A188" s="414" t="s">
        <v>2936</v>
      </c>
      <c r="B188" s="3" t="s">
        <v>2937</v>
      </c>
      <c r="C188" s="409">
        <v>2</v>
      </c>
      <c r="D188" s="414" t="s">
        <v>120</v>
      </c>
      <c r="E188" s="7"/>
    </row>
    <row r="189" spans="1:5">
      <c r="A189" s="414" t="s">
        <v>1503</v>
      </c>
      <c r="B189" s="3" t="s">
        <v>1549</v>
      </c>
      <c r="C189" s="409">
        <v>25</v>
      </c>
      <c r="D189" s="414" t="s">
        <v>2518</v>
      </c>
      <c r="E189" s="7"/>
    </row>
    <row r="190" spans="1:5">
      <c r="A190" s="414" t="s">
        <v>1980</v>
      </c>
      <c r="B190" s="3" t="s">
        <v>1550</v>
      </c>
      <c r="C190" s="533">
        <v>0.25</v>
      </c>
      <c r="E190" s="7"/>
    </row>
    <row r="191" spans="1:5">
      <c r="A191" s="414" t="s">
        <v>1981</v>
      </c>
      <c r="B191" s="3" t="s">
        <v>1551</v>
      </c>
      <c r="C191" s="533">
        <v>0.5</v>
      </c>
      <c r="E191" s="7"/>
    </row>
    <row r="192" spans="1:5">
      <c r="A192" s="414" t="s">
        <v>1982</v>
      </c>
      <c r="B192" s="3" t="s">
        <v>1552</v>
      </c>
      <c r="C192" s="533">
        <v>0.1</v>
      </c>
      <c r="E192" s="7"/>
    </row>
    <row r="193" spans="1:5">
      <c r="A193" s="414" t="s">
        <v>1983</v>
      </c>
      <c r="B193" s="3" t="s">
        <v>3199</v>
      </c>
      <c r="C193" s="409">
        <v>2</v>
      </c>
      <c r="E193" s="7" t="s">
        <v>1668</v>
      </c>
    </row>
    <row r="194" spans="1:5">
      <c r="A194" s="414" t="s">
        <v>1974</v>
      </c>
      <c r="B194" s="3" t="s">
        <v>1975</v>
      </c>
      <c r="C194" s="409">
        <v>1</v>
      </c>
      <c r="D194" s="414" t="s">
        <v>2222</v>
      </c>
      <c r="E194" s="7" t="s">
        <v>1497</v>
      </c>
    </row>
    <row r="195" spans="1:5">
      <c r="A195" s="414" t="s">
        <v>1976</v>
      </c>
      <c r="B195" s="3" t="s">
        <v>1977</v>
      </c>
      <c r="C195" s="409">
        <f>3/5</f>
        <v>0.6</v>
      </c>
      <c r="D195" s="414" t="s">
        <v>3779</v>
      </c>
      <c r="E195" s="7" t="s">
        <v>3326</v>
      </c>
    </row>
    <row r="196" spans="1:5">
      <c r="A196" s="414" t="s">
        <v>1978</v>
      </c>
      <c r="B196" s="3" t="s">
        <v>1979</v>
      </c>
      <c r="C196" s="409">
        <v>3</v>
      </c>
      <c r="D196" s="414" t="s">
        <v>2219</v>
      </c>
      <c r="E196" s="7" t="s">
        <v>3326</v>
      </c>
    </row>
    <row r="197" spans="1:5">
      <c r="A197" s="414" t="s">
        <v>1498</v>
      </c>
      <c r="B197" s="3" t="s">
        <v>2536</v>
      </c>
      <c r="C197" s="527">
        <v>0.25</v>
      </c>
      <c r="D197" s="414" t="s">
        <v>2537</v>
      </c>
      <c r="E197" s="7"/>
    </row>
    <row r="198" spans="1:5">
      <c r="A198" s="414" t="s">
        <v>3478</v>
      </c>
      <c r="B198" s="495" t="s">
        <v>3479</v>
      </c>
      <c r="C198" s="146">
        <f>1/3</f>
        <v>0.33333333333333331</v>
      </c>
      <c r="D198" s="414" t="s">
        <v>1573</v>
      </c>
      <c r="E198" s="7"/>
    </row>
    <row r="199" spans="1:5">
      <c r="A199" s="414" t="s">
        <v>1499</v>
      </c>
      <c r="B199" s="3" t="s">
        <v>680</v>
      </c>
      <c r="C199" s="527">
        <v>3</v>
      </c>
      <c r="D199" s="414" t="s">
        <v>1622</v>
      </c>
      <c r="E199" s="7"/>
    </row>
    <row r="200" spans="1:5">
      <c r="A200" s="414" t="s">
        <v>3447</v>
      </c>
      <c r="B200" s="3" t="s">
        <v>3448</v>
      </c>
      <c r="C200" s="527">
        <v>0</v>
      </c>
      <c r="D200" s="414" t="s">
        <v>886</v>
      </c>
      <c r="E200" s="7"/>
    </row>
    <row r="201" spans="1:5">
      <c r="A201" s="414" t="s">
        <v>3203</v>
      </c>
      <c r="B201" s="3" t="s">
        <v>3204</v>
      </c>
      <c r="C201" s="547">
        <v>1</v>
      </c>
      <c r="D201" s="414" t="s">
        <v>2222</v>
      </c>
      <c r="E201" s="7" t="s">
        <v>3205</v>
      </c>
    </row>
    <row r="202" spans="1:5">
      <c r="A202" s="414" t="s">
        <v>1955</v>
      </c>
      <c r="B202" s="3" t="s">
        <v>1956</v>
      </c>
      <c r="C202" s="547">
        <v>1</v>
      </c>
      <c r="D202" s="414" t="s">
        <v>1957</v>
      </c>
      <c r="E202" s="7"/>
    </row>
    <row r="203" spans="1:5">
      <c r="A203" s="414" t="s">
        <v>3799</v>
      </c>
      <c r="B203" s="3" t="s">
        <v>3800</v>
      </c>
      <c r="C203" s="409">
        <v>1</v>
      </c>
      <c r="D203" s="414" t="s">
        <v>3792</v>
      </c>
      <c r="E203" s="7"/>
    </row>
    <row r="204" spans="1:5">
      <c r="A204" s="414" t="s">
        <v>2508</v>
      </c>
      <c r="B204" s="3" t="s">
        <v>3206</v>
      </c>
      <c r="C204" s="409">
        <v>40</v>
      </c>
      <c r="D204" s="414" t="s">
        <v>120</v>
      </c>
      <c r="E204" s="7"/>
    </row>
    <row r="205" spans="1:5">
      <c r="A205" s="414" t="s">
        <v>3449</v>
      </c>
      <c r="B205" s="3" t="s">
        <v>3450</v>
      </c>
      <c r="C205" s="527">
        <v>0</v>
      </c>
      <c r="D205" s="414" t="s">
        <v>886</v>
      </c>
      <c r="E205" s="7"/>
    </row>
    <row r="206" spans="1:5">
      <c r="A206" s="414" t="s">
        <v>1036</v>
      </c>
      <c r="B206" s="3" t="s">
        <v>1037</v>
      </c>
      <c r="C206" s="409">
        <v>1</v>
      </c>
      <c r="D206" s="414" t="s">
        <v>1092</v>
      </c>
      <c r="E206" s="7"/>
    </row>
    <row r="207" spans="1:5">
      <c r="A207" s="414" t="s">
        <v>1038</v>
      </c>
      <c r="B207" s="3" t="s">
        <v>1039</v>
      </c>
      <c r="C207" s="409">
        <v>1</v>
      </c>
      <c r="D207" s="414" t="s">
        <v>1766</v>
      </c>
      <c r="E207" s="7"/>
    </row>
    <row r="208" spans="1:5">
      <c r="A208" s="414" t="s">
        <v>2534</v>
      </c>
      <c r="B208" s="3" t="s">
        <v>1040</v>
      </c>
      <c r="C208" s="409">
        <v>1</v>
      </c>
      <c r="D208" s="414" t="s">
        <v>2222</v>
      </c>
      <c r="E208" s="7"/>
    </row>
    <row r="209" spans="1:5">
      <c r="A209" s="414" t="s">
        <v>2535</v>
      </c>
      <c r="B209" s="3" t="s">
        <v>1434</v>
      </c>
      <c r="C209" s="409">
        <v>1</v>
      </c>
      <c r="D209" s="414" t="s">
        <v>2222</v>
      </c>
      <c r="E209" s="7"/>
    </row>
    <row r="210" spans="1:5">
      <c r="A210" s="414" t="s">
        <v>1041</v>
      </c>
      <c r="B210" s="3" t="s">
        <v>1042</v>
      </c>
      <c r="C210" s="409">
        <v>1</v>
      </c>
      <c r="D210" s="414" t="s">
        <v>2222</v>
      </c>
      <c r="E210" s="7"/>
    </row>
    <row r="211" spans="1:5">
      <c r="A211" s="414" t="s">
        <v>1500</v>
      </c>
      <c r="B211" s="3" t="s">
        <v>1043</v>
      </c>
      <c r="C211" s="409">
        <v>1</v>
      </c>
      <c r="D211" s="414" t="s">
        <v>2157</v>
      </c>
      <c r="E211" s="7"/>
    </row>
    <row r="212" spans="1:5">
      <c r="B212" s="3"/>
      <c r="E212" s="7"/>
    </row>
    <row r="213" spans="1:5">
      <c r="A213" s="414" t="s">
        <v>3668</v>
      </c>
      <c r="B213" s="3" t="s">
        <v>3653</v>
      </c>
      <c r="C213" s="823">
        <v>1</v>
      </c>
      <c r="D213" s="414" t="s">
        <v>302</v>
      </c>
      <c r="E213"/>
    </row>
    <row r="214" spans="1:5">
      <c r="A214" s="414" t="s">
        <v>3654</v>
      </c>
      <c r="B214" s="3" t="s">
        <v>3655</v>
      </c>
      <c r="C214" s="897">
        <v>1.1000000000000001</v>
      </c>
      <c r="E214"/>
    </row>
    <row r="215" spans="1:5">
      <c r="A215" s="414" t="s">
        <v>3656</v>
      </c>
      <c r="B215" s="3" t="s">
        <v>3657</v>
      </c>
      <c r="C215" s="897">
        <v>0.1</v>
      </c>
      <c r="E215"/>
    </row>
    <row r="216" spans="1:5">
      <c r="A216" s="414" t="s">
        <v>3658</v>
      </c>
      <c r="B216" s="3" t="s">
        <v>3659</v>
      </c>
      <c r="C216" s="898">
        <v>6</v>
      </c>
      <c r="D216" s="414" t="s">
        <v>531</v>
      </c>
      <c r="E216" s="570" t="s">
        <v>3660</v>
      </c>
    </row>
    <row r="217" spans="1:5">
      <c r="A217" s="414" t="s">
        <v>3661</v>
      </c>
      <c r="B217" s="3" t="s">
        <v>3662</v>
      </c>
      <c r="C217" s="899">
        <v>1</v>
      </c>
      <c r="D217" s="414" t="s">
        <v>3663</v>
      </c>
      <c r="E217" s="570" t="s">
        <v>3664</v>
      </c>
    </row>
    <row r="218" spans="1:5">
      <c r="A218" s="414" t="s">
        <v>3665</v>
      </c>
      <c r="B218" s="3" t="s">
        <v>3666</v>
      </c>
      <c r="C218" s="899">
        <v>125</v>
      </c>
      <c r="D218" s="414" t="s">
        <v>3667</v>
      </c>
      <c r="E218" s="570"/>
    </row>
    <row r="219" spans="1:5">
      <c r="B219" s="3"/>
      <c r="E219" s="7"/>
    </row>
    <row r="220" spans="1:5">
      <c r="A220" s="414" t="s">
        <v>1367</v>
      </c>
      <c r="B220" s="3" t="s">
        <v>1044</v>
      </c>
      <c r="C220" s="547">
        <v>2</v>
      </c>
      <c r="D220" s="414" t="s">
        <v>1761</v>
      </c>
      <c r="E220" s="7" t="s">
        <v>3338</v>
      </c>
    </row>
    <row r="221" spans="1:5">
      <c r="A221" s="414" t="s">
        <v>2608</v>
      </c>
      <c r="B221" s="3" t="s">
        <v>2609</v>
      </c>
      <c r="C221" s="547">
        <v>0.5</v>
      </c>
      <c r="D221" s="414" t="s">
        <v>1761</v>
      </c>
      <c r="E221" s="7"/>
    </row>
    <row r="222" spans="1:5">
      <c r="A222" s="414" t="s">
        <v>1045</v>
      </c>
      <c r="B222" s="3" t="s">
        <v>1046</v>
      </c>
      <c r="C222" s="409">
        <v>1</v>
      </c>
      <c r="D222" s="414" t="s">
        <v>883</v>
      </c>
      <c r="E222" s="7"/>
    </row>
    <row r="223" spans="1:5">
      <c r="A223" s="414" t="s">
        <v>884</v>
      </c>
      <c r="B223" s="3" t="s">
        <v>885</v>
      </c>
      <c r="C223" s="409">
        <v>1</v>
      </c>
      <c r="D223" s="414" t="s">
        <v>886</v>
      </c>
    </row>
    <row r="224" spans="1:5">
      <c r="A224" s="414" t="s">
        <v>887</v>
      </c>
      <c r="B224" s="3" t="s">
        <v>748</v>
      </c>
      <c r="C224" s="409">
        <v>1</v>
      </c>
      <c r="D224" s="414" t="s">
        <v>886</v>
      </c>
    </row>
    <row r="225" spans="1:5">
      <c r="A225" s="414" t="s">
        <v>749</v>
      </c>
      <c r="B225" s="3" t="s">
        <v>750</v>
      </c>
      <c r="C225" s="409">
        <v>1</v>
      </c>
      <c r="D225" s="414" t="s">
        <v>886</v>
      </c>
    </row>
    <row r="226" spans="1:5">
      <c r="A226" s="414" t="s">
        <v>2848</v>
      </c>
      <c r="B226" s="3" t="s">
        <v>2849</v>
      </c>
      <c r="C226" s="409">
        <v>250</v>
      </c>
      <c r="D226" s="414" t="s">
        <v>1761</v>
      </c>
      <c r="E226" s="7" t="s">
        <v>3339</v>
      </c>
    </row>
    <row r="227" spans="1:5">
      <c r="A227" s="414" t="s">
        <v>2746</v>
      </c>
      <c r="B227" s="3" t="s">
        <v>2747</v>
      </c>
      <c r="C227" s="409">
        <v>1</v>
      </c>
      <c r="D227" s="414" t="s">
        <v>2748</v>
      </c>
      <c r="E227" s="7" t="s">
        <v>2749</v>
      </c>
    </row>
    <row r="228" spans="1:5">
      <c r="A228" s="414" t="s">
        <v>3434</v>
      </c>
      <c r="B228" s="3" t="s">
        <v>3435</v>
      </c>
      <c r="C228" s="409">
        <v>18</v>
      </c>
      <c r="D228" s="414" t="s">
        <v>3198</v>
      </c>
      <c r="E228" s="7"/>
    </row>
    <row r="229" spans="1:5">
      <c r="A229" s="414" t="s">
        <v>2850</v>
      </c>
      <c r="B229" s="3" t="s">
        <v>2851</v>
      </c>
      <c r="C229" s="409">
        <v>10</v>
      </c>
      <c r="D229" s="414" t="s">
        <v>2507</v>
      </c>
      <c r="E229" s="7"/>
    </row>
    <row r="230" spans="1:5">
      <c r="A230" s="414" t="s">
        <v>1432</v>
      </c>
      <c r="B230" s="3" t="s">
        <v>1433</v>
      </c>
      <c r="C230" s="409">
        <v>200</v>
      </c>
      <c r="D230" s="414" t="s">
        <v>2507</v>
      </c>
    </row>
    <row r="231" spans="1:5">
      <c r="A231" s="414" t="s">
        <v>2414</v>
      </c>
      <c r="B231" s="3" t="s">
        <v>2415</v>
      </c>
      <c r="C231" s="548">
        <v>700</v>
      </c>
      <c r="D231" s="414" t="s">
        <v>2507</v>
      </c>
    </row>
    <row r="232" spans="1:5">
      <c r="A232" s="414" t="s">
        <v>2416</v>
      </c>
      <c r="B232" s="3" t="s">
        <v>2417</v>
      </c>
      <c r="C232" s="548">
        <v>700</v>
      </c>
      <c r="D232" s="414" t="s">
        <v>2507</v>
      </c>
    </row>
    <row r="233" spans="1:5">
      <c r="B233" s="3"/>
    </row>
    <row r="234" spans="1:5">
      <c r="A234" s="414" t="s">
        <v>3084</v>
      </c>
      <c r="B234" s="3" t="s">
        <v>3085</v>
      </c>
      <c r="C234" s="409">
        <v>2</v>
      </c>
      <c r="D234" s="414" t="s">
        <v>2682</v>
      </c>
      <c r="E234" s="7" t="s">
        <v>3086</v>
      </c>
    </row>
    <row r="235" spans="1:5">
      <c r="A235" s="414" t="s">
        <v>3087</v>
      </c>
      <c r="B235" s="3" t="s">
        <v>3088</v>
      </c>
      <c r="C235" s="534">
        <v>1000</v>
      </c>
      <c r="D235" s="414" t="s">
        <v>2843</v>
      </c>
      <c r="E235" s="7" t="s">
        <v>3089</v>
      </c>
    </row>
    <row r="236" spans="1:5">
      <c r="A236" s="414" t="s">
        <v>3093</v>
      </c>
      <c r="B236" s="3" t="s">
        <v>3094</v>
      </c>
      <c r="C236" s="533">
        <v>1.5</v>
      </c>
      <c r="E236" s="7" t="s">
        <v>3095</v>
      </c>
    </row>
    <row r="237" spans="1:5">
      <c r="A237" s="414" t="s">
        <v>3096</v>
      </c>
      <c r="B237" s="3" t="s">
        <v>3097</v>
      </c>
      <c r="C237" s="409">
        <v>0.5</v>
      </c>
      <c r="D237" s="414" t="s">
        <v>3098</v>
      </c>
      <c r="E237" s="7" t="s">
        <v>3099</v>
      </c>
    </row>
    <row r="238" spans="1:5">
      <c r="A238" s="414" t="s">
        <v>3100</v>
      </c>
      <c r="B238" s="3" t="s">
        <v>3101</v>
      </c>
      <c r="C238" s="409">
        <v>4</v>
      </c>
      <c r="D238" s="414" t="s">
        <v>2219</v>
      </c>
      <c r="E238" s="7" t="s">
        <v>3102</v>
      </c>
    </row>
    <row r="239" spans="1:5">
      <c r="A239" s="414" t="s">
        <v>2898</v>
      </c>
      <c r="B239" s="3" t="s">
        <v>862</v>
      </c>
      <c r="C239" s="409">
        <v>4</v>
      </c>
      <c r="D239" s="414" t="s">
        <v>2219</v>
      </c>
      <c r="E239" s="7" t="s">
        <v>3102</v>
      </c>
    </row>
    <row r="240" spans="1:5">
      <c r="A240" s="414" t="s">
        <v>863</v>
      </c>
      <c r="B240" s="3" t="s">
        <v>864</v>
      </c>
      <c r="C240" s="409">
        <v>1</v>
      </c>
      <c r="D240" s="414" t="s">
        <v>2219</v>
      </c>
      <c r="E240" s="7" t="s">
        <v>781</v>
      </c>
    </row>
    <row r="241" spans="1:5">
      <c r="A241" s="414" t="s">
        <v>782</v>
      </c>
      <c r="B241" s="3" t="s">
        <v>783</v>
      </c>
      <c r="C241" s="409">
        <v>2</v>
      </c>
      <c r="D241" s="414" t="s">
        <v>2222</v>
      </c>
      <c r="E241" s="7" t="s">
        <v>3086</v>
      </c>
    </row>
    <row r="242" spans="1:5">
      <c r="A242" s="414" t="s">
        <v>784</v>
      </c>
      <c r="B242" s="3" t="s">
        <v>785</v>
      </c>
      <c r="C242" s="409">
        <v>100</v>
      </c>
      <c r="D242" s="414" t="s">
        <v>2219</v>
      </c>
      <c r="E242" s="7" t="s">
        <v>3086</v>
      </c>
    </row>
    <row r="243" spans="1:5">
      <c r="A243" s="414" t="s">
        <v>786</v>
      </c>
      <c r="B243" s="3" t="s">
        <v>787</v>
      </c>
      <c r="C243" s="409">
        <v>8</v>
      </c>
      <c r="D243" s="414" t="s">
        <v>2219</v>
      </c>
      <c r="E243" s="7" t="s">
        <v>1449</v>
      </c>
    </row>
    <row r="244" spans="1:5">
      <c r="A244" s="414" t="s">
        <v>1450</v>
      </c>
      <c r="B244" s="3" t="s">
        <v>1451</v>
      </c>
      <c r="C244" s="409">
        <f>28/12</f>
        <v>2.3333333333333335</v>
      </c>
      <c r="D244" s="414" t="s">
        <v>2219</v>
      </c>
      <c r="E244" s="7" t="s">
        <v>1935</v>
      </c>
    </row>
    <row r="245" spans="1:5">
      <c r="A245" s="414" t="s">
        <v>1936</v>
      </c>
      <c r="B245" s="3" t="s">
        <v>1937</v>
      </c>
      <c r="C245" s="409">
        <v>10</v>
      </c>
      <c r="D245" s="414" t="s">
        <v>2219</v>
      </c>
      <c r="E245" s="7" t="s">
        <v>1938</v>
      </c>
    </row>
    <row r="246" spans="1:5">
      <c r="A246" s="414" t="s">
        <v>1939</v>
      </c>
      <c r="B246" s="3" t="s">
        <v>1940</v>
      </c>
      <c r="C246" s="409">
        <v>1</v>
      </c>
      <c r="D246" s="414" t="s">
        <v>2219</v>
      </c>
      <c r="E246" s="7" t="s">
        <v>1941</v>
      </c>
    </row>
    <row r="247" spans="1:5">
      <c r="A247" s="414" t="s">
        <v>1942</v>
      </c>
      <c r="B247" s="3" t="s">
        <v>1943</v>
      </c>
      <c r="C247" s="409">
        <v>7</v>
      </c>
      <c r="E247" s="7" t="s">
        <v>1944</v>
      </c>
    </row>
    <row r="248" spans="1:5">
      <c r="A248" s="414" t="s">
        <v>1945</v>
      </c>
      <c r="B248" s="3" t="s">
        <v>2852</v>
      </c>
      <c r="C248" s="409">
        <v>4</v>
      </c>
      <c r="D248" s="414" t="s">
        <v>531</v>
      </c>
      <c r="E248" s="7" t="s">
        <v>2853</v>
      </c>
    </row>
    <row r="250" spans="1:5">
      <c r="A250" s="414" t="s">
        <v>2358</v>
      </c>
      <c r="B250" s="3" t="s">
        <v>2359</v>
      </c>
      <c r="C250" s="409">
        <v>180</v>
      </c>
      <c r="D250" s="414" t="s">
        <v>2360</v>
      </c>
      <c r="E250" s="7" t="s">
        <v>3340</v>
      </c>
    </row>
    <row r="251" spans="1:5">
      <c r="A251" s="414" t="s">
        <v>2361</v>
      </c>
      <c r="B251" s="3" t="s">
        <v>2362</v>
      </c>
      <c r="C251" s="409">
        <v>0.7</v>
      </c>
      <c r="E251" s="7" t="s">
        <v>2363</v>
      </c>
    </row>
    <row r="252" spans="1:5">
      <c r="A252" s="414" t="s">
        <v>2364</v>
      </c>
      <c r="B252" s="3" t="s">
        <v>2365</v>
      </c>
      <c r="C252" s="409">
        <v>70</v>
      </c>
      <c r="D252" s="414" t="s">
        <v>2360</v>
      </c>
      <c r="E252" s="7" t="s">
        <v>3340</v>
      </c>
    </row>
    <row r="253" spans="1:5">
      <c r="A253" s="414" t="s">
        <v>2366</v>
      </c>
      <c r="B253" s="3" t="s">
        <v>2367</v>
      </c>
      <c r="C253" s="409">
        <v>180</v>
      </c>
      <c r="D253" s="414" t="s">
        <v>2682</v>
      </c>
      <c r="E253" s="7" t="s">
        <v>2368</v>
      </c>
    </row>
    <row r="254" spans="1:5">
      <c r="A254" s="414" t="s">
        <v>2369</v>
      </c>
      <c r="B254" s="3" t="s">
        <v>2370</v>
      </c>
      <c r="C254" s="409">
        <v>1.1000000000000001</v>
      </c>
      <c r="E254" s="7" t="s">
        <v>2371</v>
      </c>
    </row>
    <row r="255" spans="1:5">
      <c r="A255" s="414" t="s">
        <v>2372</v>
      </c>
      <c r="B255" s="3" t="s">
        <v>2373</v>
      </c>
      <c r="C255" s="409">
        <v>5</v>
      </c>
      <c r="D255" s="414" t="s">
        <v>851</v>
      </c>
    </row>
    <row r="256" spans="1:5">
      <c r="A256" s="414" t="s">
        <v>2374</v>
      </c>
      <c r="B256" s="3" t="s">
        <v>2375</v>
      </c>
      <c r="C256" s="409">
        <v>2</v>
      </c>
      <c r="D256" s="414" t="s">
        <v>2356</v>
      </c>
      <c r="E256" s="7" t="s">
        <v>3341</v>
      </c>
    </row>
    <row r="257" spans="1:6">
      <c r="A257" s="414" t="s">
        <v>2376</v>
      </c>
      <c r="B257" s="3" t="s">
        <v>2377</v>
      </c>
      <c r="C257" s="409">
        <v>0.5</v>
      </c>
      <c r="D257" s="414" t="s">
        <v>2219</v>
      </c>
      <c r="E257" s="7" t="s">
        <v>2378</v>
      </c>
    </row>
    <row r="258" spans="1:6">
      <c r="A258" s="414" t="s">
        <v>2379</v>
      </c>
      <c r="B258" s="3" t="s">
        <v>2380</v>
      </c>
      <c r="C258" s="409">
        <v>4</v>
      </c>
      <c r="D258" s="414" t="s">
        <v>120</v>
      </c>
      <c r="E258" s="7" t="s">
        <v>2381</v>
      </c>
    </row>
    <row r="259" spans="1:6">
      <c r="A259" s="414" t="s">
        <v>2382</v>
      </c>
      <c r="B259" s="3" t="s">
        <v>2383</v>
      </c>
      <c r="C259" s="409">
        <v>1</v>
      </c>
      <c r="D259" s="414" t="s">
        <v>2384</v>
      </c>
      <c r="E259" s="7" t="s">
        <v>3342</v>
      </c>
    </row>
    <row r="260" spans="1:6">
      <c r="A260" s="414" t="s">
        <v>2385</v>
      </c>
      <c r="B260" s="3" t="s">
        <v>2386</v>
      </c>
      <c r="C260" s="409">
        <v>25</v>
      </c>
      <c r="D260" s="414" t="s">
        <v>2518</v>
      </c>
    </row>
    <row r="261" spans="1:6">
      <c r="A261" s="414" t="s">
        <v>2387</v>
      </c>
      <c r="B261" s="3" t="s">
        <v>2388</v>
      </c>
      <c r="C261" s="409">
        <v>35.630000000000003</v>
      </c>
      <c r="D261" s="414" t="s">
        <v>1595</v>
      </c>
      <c r="E261" s="7" t="s">
        <v>2389</v>
      </c>
    </row>
    <row r="263" spans="1:6">
      <c r="A263" s="63" t="s">
        <v>3243</v>
      </c>
    </row>
    <row r="264" spans="1:6">
      <c r="A264" s="174" t="s">
        <v>3151</v>
      </c>
      <c r="B264" s="3"/>
      <c r="C264" s="523"/>
    </row>
    <row r="265" spans="1:6" ht="14" thickBot="1">
      <c r="A265" s="174" t="s">
        <v>1373</v>
      </c>
      <c r="B265" s="3"/>
      <c r="C265" s="523"/>
    </row>
    <row r="266" spans="1:6">
      <c r="A266" s="521" t="s">
        <v>3232</v>
      </c>
      <c r="B266" s="48" t="s">
        <v>2884</v>
      </c>
      <c r="C266" s="522" t="s">
        <v>1570</v>
      </c>
      <c r="D266" s="522" t="s">
        <v>3233</v>
      </c>
      <c r="E266" s="522" t="s">
        <v>3234</v>
      </c>
      <c r="F266" s="49" t="s">
        <v>1371</v>
      </c>
    </row>
    <row r="267" spans="1:6">
      <c r="A267" s="538" t="s">
        <v>1414</v>
      </c>
      <c r="B267" s="3" t="s">
        <v>1544</v>
      </c>
      <c r="C267" s="409">
        <v>0</v>
      </c>
      <c r="D267" s="409">
        <v>0</v>
      </c>
      <c r="E267" s="409">
        <v>2</v>
      </c>
      <c r="F267" s="539" t="s">
        <v>2160</v>
      </c>
    </row>
    <row r="268" spans="1:6">
      <c r="A268" s="538" t="s">
        <v>1415</v>
      </c>
      <c r="B268" s="3" t="s">
        <v>2144</v>
      </c>
      <c r="C268" s="409">
        <v>0</v>
      </c>
      <c r="D268" s="409">
        <v>0</v>
      </c>
      <c r="E268" s="409">
        <v>3</v>
      </c>
      <c r="F268" s="539" t="s">
        <v>2160</v>
      </c>
    </row>
    <row r="269" spans="1:6">
      <c r="A269" s="538" t="s">
        <v>2049</v>
      </c>
      <c r="B269" s="3" t="s">
        <v>2616</v>
      </c>
      <c r="C269" s="409">
        <v>0</v>
      </c>
      <c r="D269" s="409">
        <v>0</v>
      </c>
      <c r="E269" s="409">
        <v>2</v>
      </c>
      <c r="F269" s="539" t="s">
        <v>1092</v>
      </c>
    </row>
    <row r="270" spans="1:6">
      <c r="A270" s="538" t="s">
        <v>1416</v>
      </c>
      <c r="B270" s="3" t="s">
        <v>2617</v>
      </c>
      <c r="C270" s="409">
        <v>0</v>
      </c>
      <c r="D270" s="409">
        <v>0</v>
      </c>
      <c r="E270" s="409">
        <v>2</v>
      </c>
      <c r="F270" s="539" t="s">
        <v>2160</v>
      </c>
    </row>
    <row r="271" spans="1:6">
      <c r="A271" s="538" t="s">
        <v>1093</v>
      </c>
      <c r="B271" s="3" t="s">
        <v>2618</v>
      </c>
      <c r="C271" s="409">
        <v>0</v>
      </c>
      <c r="D271" s="409">
        <v>0</v>
      </c>
      <c r="E271" s="409">
        <v>1</v>
      </c>
      <c r="F271" s="539" t="s">
        <v>1092</v>
      </c>
    </row>
    <row r="272" spans="1:6">
      <c r="A272" s="538" t="s">
        <v>1095</v>
      </c>
      <c r="B272" s="3" t="s">
        <v>2619</v>
      </c>
      <c r="C272" s="409">
        <v>0</v>
      </c>
      <c r="D272" s="409">
        <v>0</v>
      </c>
      <c r="E272" s="409">
        <v>1</v>
      </c>
      <c r="F272" s="539" t="s">
        <v>1094</v>
      </c>
    </row>
    <row r="273" spans="1:6">
      <c r="A273" s="538" t="s">
        <v>7</v>
      </c>
      <c r="B273" s="3" t="s">
        <v>8</v>
      </c>
      <c r="C273" s="409">
        <v>0</v>
      </c>
      <c r="D273" s="409">
        <v>0</v>
      </c>
      <c r="E273" s="409">
        <v>1</v>
      </c>
      <c r="F273" s="539" t="s">
        <v>1766</v>
      </c>
    </row>
    <row r="274" spans="1:6">
      <c r="A274" s="538" t="s">
        <v>3207</v>
      </c>
      <c r="B274" s="3" t="s">
        <v>3208</v>
      </c>
      <c r="C274" s="409">
        <v>0</v>
      </c>
      <c r="D274" s="409">
        <v>0</v>
      </c>
      <c r="E274" s="409">
        <v>1</v>
      </c>
      <c r="F274" s="539" t="s">
        <v>1092</v>
      </c>
    </row>
    <row r="275" spans="1:6">
      <c r="A275" s="538" t="s">
        <v>1504</v>
      </c>
      <c r="B275" s="3" t="s">
        <v>859</v>
      </c>
      <c r="C275" s="409">
        <v>0</v>
      </c>
      <c r="D275" s="409">
        <v>0</v>
      </c>
      <c r="E275" s="409">
        <v>1</v>
      </c>
      <c r="F275" s="539" t="s">
        <v>1094</v>
      </c>
    </row>
    <row r="276" spans="1:6">
      <c r="A276" s="414" t="s">
        <v>2393</v>
      </c>
      <c r="B276" s="3" t="s">
        <v>2394</v>
      </c>
      <c r="C276" s="527">
        <v>0</v>
      </c>
      <c r="D276" s="527">
        <v>0</v>
      </c>
      <c r="E276" s="527">
        <v>1</v>
      </c>
      <c r="F276" s="539" t="s">
        <v>2395</v>
      </c>
    </row>
    <row r="277" spans="1:6">
      <c r="A277" s="538" t="s">
        <v>2593</v>
      </c>
      <c r="B277" s="3" t="s">
        <v>2594</v>
      </c>
      <c r="C277" s="409">
        <v>0</v>
      </c>
      <c r="D277" s="409">
        <v>0</v>
      </c>
      <c r="E277" s="409">
        <v>2</v>
      </c>
      <c r="F277" s="539" t="s">
        <v>1092</v>
      </c>
    </row>
    <row r="278" spans="1:6">
      <c r="A278" s="538" t="s">
        <v>215</v>
      </c>
      <c r="B278" s="3" t="s">
        <v>210</v>
      </c>
      <c r="C278" s="527">
        <v>0</v>
      </c>
      <c r="D278" s="527">
        <v>0</v>
      </c>
      <c r="E278" s="409">
        <v>1</v>
      </c>
      <c r="F278" s="539" t="s">
        <v>1766</v>
      </c>
    </row>
    <row r="279" spans="1:6">
      <c r="A279" s="538" t="s">
        <v>1878</v>
      </c>
      <c r="B279" s="3" t="s">
        <v>1545</v>
      </c>
      <c r="C279" s="409">
        <v>2</v>
      </c>
      <c r="D279" s="409">
        <v>2</v>
      </c>
      <c r="E279" s="409">
        <v>0</v>
      </c>
      <c r="F279" s="539" t="s">
        <v>2160</v>
      </c>
    </row>
    <row r="280" spans="1:6">
      <c r="A280" s="538" t="s">
        <v>1879</v>
      </c>
      <c r="B280" s="3" t="s">
        <v>1546</v>
      </c>
      <c r="C280" s="409">
        <v>3</v>
      </c>
      <c r="D280" s="409">
        <v>3</v>
      </c>
      <c r="E280" s="409">
        <v>0</v>
      </c>
      <c r="F280" s="539" t="s">
        <v>2160</v>
      </c>
    </row>
    <row r="281" spans="1:6">
      <c r="A281" s="538" t="s">
        <v>1540</v>
      </c>
      <c r="B281" s="3" t="s">
        <v>1535</v>
      </c>
      <c r="C281" s="409">
        <v>2</v>
      </c>
      <c r="D281" s="409">
        <v>2</v>
      </c>
      <c r="E281" s="409">
        <v>0</v>
      </c>
      <c r="F281" s="539" t="s">
        <v>1092</v>
      </c>
    </row>
    <row r="282" spans="1:6">
      <c r="A282" s="538" t="s">
        <v>2557</v>
      </c>
      <c r="B282" s="3" t="s">
        <v>1536</v>
      </c>
      <c r="C282" s="409">
        <v>2</v>
      </c>
      <c r="D282" s="409">
        <v>2</v>
      </c>
      <c r="E282" s="409">
        <v>0</v>
      </c>
      <c r="F282" s="539" t="s">
        <v>2160</v>
      </c>
    </row>
    <row r="283" spans="1:6">
      <c r="A283" s="538" t="s">
        <v>1541</v>
      </c>
      <c r="B283" s="3" t="s">
        <v>1537</v>
      </c>
      <c r="C283" s="409">
        <v>1</v>
      </c>
      <c r="D283" s="409">
        <v>1</v>
      </c>
      <c r="E283" s="409">
        <v>0</v>
      </c>
      <c r="F283" s="539" t="s">
        <v>1092</v>
      </c>
    </row>
    <row r="284" spans="1:6">
      <c r="A284" s="538" t="s">
        <v>1542</v>
      </c>
      <c r="B284" s="3" t="s">
        <v>1538</v>
      </c>
      <c r="C284" s="409">
        <v>1</v>
      </c>
      <c r="D284" s="409">
        <v>1</v>
      </c>
      <c r="E284" s="409">
        <v>0</v>
      </c>
      <c r="F284" s="539" t="s">
        <v>1094</v>
      </c>
    </row>
    <row r="285" spans="1:6">
      <c r="A285" s="538" t="s">
        <v>1543</v>
      </c>
      <c r="B285" s="3" t="s">
        <v>1539</v>
      </c>
      <c r="C285" s="409">
        <v>1</v>
      </c>
      <c r="D285" s="409">
        <v>1</v>
      </c>
      <c r="E285" s="409">
        <v>0</v>
      </c>
      <c r="F285" s="539" t="s">
        <v>1766</v>
      </c>
    </row>
    <row r="286" spans="1:6">
      <c r="A286" s="538" t="s">
        <v>856</v>
      </c>
      <c r="B286" s="3" t="s">
        <v>857</v>
      </c>
      <c r="C286" s="409">
        <v>1</v>
      </c>
      <c r="D286" s="409">
        <v>1</v>
      </c>
      <c r="E286" s="409">
        <v>0</v>
      </c>
      <c r="F286" s="539" t="s">
        <v>1092</v>
      </c>
    </row>
    <row r="287" spans="1:6">
      <c r="A287" s="538" t="s">
        <v>1502</v>
      </c>
      <c r="B287" s="3" t="s">
        <v>858</v>
      </c>
      <c r="C287" s="409">
        <v>1</v>
      </c>
      <c r="D287" s="409">
        <v>1</v>
      </c>
      <c r="E287" s="409">
        <v>0</v>
      </c>
      <c r="F287" s="539" t="s">
        <v>1094</v>
      </c>
    </row>
    <row r="288" spans="1:6">
      <c r="A288" s="414" t="s">
        <v>2393</v>
      </c>
      <c r="B288" s="3" t="s">
        <v>2396</v>
      </c>
      <c r="C288" s="527">
        <v>1</v>
      </c>
      <c r="D288" s="527">
        <v>1</v>
      </c>
      <c r="E288" s="527">
        <v>0</v>
      </c>
      <c r="F288" s="539" t="s">
        <v>2395</v>
      </c>
    </row>
    <row r="289" spans="1:7">
      <c r="A289" s="538" t="s">
        <v>2278</v>
      </c>
      <c r="B289" s="3" t="s">
        <v>2279</v>
      </c>
      <c r="C289" s="409">
        <v>2</v>
      </c>
      <c r="D289" s="409">
        <v>2</v>
      </c>
      <c r="E289" s="409">
        <v>0</v>
      </c>
      <c r="F289" s="539" t="s">
        <v>1092</v>
      </c>
    </row>
    <row r="290" spans="1:7" ht="14" thickBot="1">
      <c r="A290" s="540" t="s">
        <v>214</v>
      </c>
      <c r="B290" s="50" t="s">
        <v>211</v>
      </c>
      <c r="C290" s="541">
        <v>1</v>
      </c>
      <c r="D290" s="541">
        <v>1</v>
      </c>
      <c r="E290" s="542">
        <v>0</v>
      </c>
      <c r="F290" s="543" t="s">
        <v>1766</v>
      </c>
    </row>
    <row r="292" spans="1:7">
      <c r="A292" s="63" t="s">
        <v>3245</v>
      </c>
    </row>
    <row r="293" spans="1:7">
      <c r="A293" s="47" t="s">
        <v>1374</v>
      </c>
      <c r="C293" s="523"/>
    </row>
    <row r="294" spans="1:7" ht="14" thickBot="1">
      <c r="A294" s="47" t="s">
        <v>1373</v>
      </c>
    </row>
    <row r="295" spans="1:7">
      <c r="A295" s="521" t="s">
        <v>2883</v>
      </c>
      <c r="B295" s="48" t="s">
        <v>2884</v>
      </c>
      <c r="C295" s="522" t="s">
        <v>2885</v>
      </c>
      <c r="D295" s="522" t="s">
        <v>2886</v>
      </c>
      <c r="E295" s="522" t="s">
        <v>2887</v>
      </c>
      <c r="F295" s="49" t="s">
        <v>2888</v>
      </c>
      <c r="G295" s="2" t="s">
        <v>1372</v>
      </c>
    </row>
    <row r="296" spans="1:7">
      <c r="A296" s="538" t="s">
        <v>1488</v>
      </c>
      <c r="B296" s="3" t="s">
        <v>1489</v>
      </c>
      <c r="C296" s="409">
        <v>1</v>
      </c>
      <c r="D296" s="409">
        <v>1</v>
      </c>
      <c r="E296" s="409">
        <v>0</v>
      </c>
      <c r="F296" s="410">
        <v>0</v>
      </c>
    </row>
    <row r="297" spans="1:7">
      <c r="A297" s="538" t="s">
        <v>57</v>
      </c>
      <c r="B297" s="545" t="s">
        <v>58</v>
      </c>
      <c r="C297" s="409">
        <v>0</v>
      </c>
      <c r="D297" s="409">
        <v>0</v>
      </c>
      <c r="E297" s="409">
        <v>1</v>
      </c>
      <c r="F297" s="410">
        <v>0</v>
      </c>
      <c r="G297" s="7"/>
    </row>
    <row r="298" spans="1:7">
      <c r="A298" s="538" t="s">
        <v>59</v>
      </c>
      <c r="B298" s="545" t="s">
        <v>60</v>
      </c>
      <c r="C298" s="409">
        <v>0</v>
      </c>
      <c r="D298" s="409">
        <v>0</v>
      </c>
      <c r="E298" s="409">
        <v>2</v>
      </c>
      <c r="F298" s="410">
        <v>1</v>
      </c>
      <c r="G298" s="7" t="s">
        <v>586</v>
      </c>
    </row>
    <row r="299" spans="1:7">
      <c r="A299" s="538" t="s">
        <v>61</v>
      </c>
      <c r="B299" s="545" t="s">
        <v>62</v>
      </c>
      <c r="C299" s="409">
        <v>0</v>
      </c>
      <c r="D299" s="409">
        <v>0</v>
      </c>
      <c r="E299" s="409">
        <v>1</v>
      </c>
      <c r="F299" s="410">
        <v>0</v>
      </c>
      <c r="G299" s="7"/>
    </row>
    <row r="300" spans="1:7">
      <c r="A300" s="538" t="s">
        <v>63</v>
      </c>
      <c r="B300" s="545" t="s">
        <v>64</v>
      </c>
      <c r="C300" s="409">
        <v>0</v>
      </c>
      <c r="D300" s="409">
        <v>0</v>
      </c>
      <c r="E300" s="409">
        <v>2</v>
      </c>
      <c r="F300" s="410">
        <v>1</v>
      </c>
      <c r="G300" s="7" t="s">
        <v>586</v>
      </c>
    </row>
    <row r="301" spans="1:7">
      <c r="A301" s="538" t="s">
        <v>2780</v>
      </c>
      <c r="B301" s="3" t="s">
        <v>2781</v>
      </c>
      <c r="C301" s="409">
        <v>1</v>
      </c>
      <c r="D301" s="409">
        <v>0</v>
      </c>
      <c r="E301" s="409">
        <v>0</v>
      </c>
      <c r="F301" s="410">
        <v>0</v>
      </c>
    </row>
    <row r="302" spans="1:7">
      <c r="A302" s="538" t="s">
        <v>1492</v>
      </c>
      <c r="B302" s="3" t="s">
        <v>1493</v>
      </c>
      <c r="C302" s="409">
        <v>0</v>
      </c>
      <c r="D302" s="409">
        <v>0</v>
      </c>
      <c r="E302" s="409">
        <v>1</v>
      </c>
      <c r="F302" s="410">
        <v>0</v>
      </c>
    </row>
    <row r="303" spans="1:7">
      <c r="A303" s="538" t="s">
        <v>1490</v>
      </c>
      <c r="B303" s="3" t="s">
        <v>1491</v>
      </c>
      <c r="C303" s="409">
        <v>1</v>
      </c>
      <c r="D303" s="409">
        <v>0</v>
      </c>
      <c r="E303" s="409">
        <v>0</v>
      </c>
      <c r="F303" s="410">
        <v>0</v>
      </c>
    </row>
    <row r="304" spans="1:7">
      <c r="A304" s="538" t="s">
        <v>1231</v>
      </c>
      <c r="B304" s="3" t="s">
        <v>2782</v>
      </c>
      <c r="C304" s="409">
        <v>3</v>
      </c>
      <c r="D304" s="409">
        <v>1</v>
      </c>
      <c r="E304" s="409">
        <v>0</v>
      </c>
      <c r="F304" s="410">
        <v>0</v>
      </c>
    </row>
    <row r="305" spans="1:6">
      <c r="A305" s="538" t="s">
        <v>1494</v>
      </c>
      <c r="B305" s="3" t="s">
        <v>1495</v>
      </c>
      <c r="C305" s="409">
        <v>0</v>
      </c>
      <c r="D305" s="409">
        <v>0</v>
      </c>
      <c r="E305" s="409">
        <v>1</v>
      </c>
      <c r="F305" s="410">
        <v>0</v>
      </c>
    </row>
    <row r="306" spans="1:6">
      <c r="A306" s="538" t="s">
        <v>1496</v>
      </c>
      <c r="B306" s="3" t="s">
        <v>2437</v>
      </c>
      <c r="C306" s="409">
        <v>0</v>
      </c>
      <c r="D306" s="409">
        <v>0</v>
      </c>
      <c r="E306" s="409">
        <v>1</v>
      </c>
      <c r="F306" s="410">
        <v>0</v>
      </c>
    </row>
    <row r="307" spans="1:6" ht="14" thickBot="1">
      <c r="A307" s="540" t="s">
        <v>2150</v>
      </c>
      <c r="B307" s="50" t="s">
        <v>2151</v>
      </c>
      <c r="C307" s="542">
        <v>0</v>
      </c>
      <c r="D307" s="541">
        <v>0</v>
      </c>
      <c r="E307" s="541">
        <v>1</v>
      </c>
      <c r="F307" s="546">
        <v>1</v>
      </c>
    </row>
  </sheetData>
  <phoneticPr fontId="0" type="noConversion"/>
  <dataValidations count="1">
    <dataValidation type="list" allowBlank="1" showInputMessage="1" showErrorMessage="1" sqref="C69" xr:uid="{00000000-0002-0000-0700-000001000000}">
      <formula1>"Total EBCT,EBCT per vessel"</formula1>
    </dataValidation>
  </dataValidations>
  <hyperlinks>
    <hyperlink ref="A93" location="valve_table" display="See the Valve Table at the bottom of this page for additional assumptions relating to valves" xr:uid="{00000000-0004-0000-0700-000000000000}"/>
    <hyperlink ref="A134" location="port_table" display="See the I/O Port Table at the bottom of this page for additional assumptions relating to system controls" xr:uid="{00000000-0004-0000-0700-000001000000}"/>
  </hyperlinks>
  <pageMargins left="0.75" right="0.75" top="1" bottom="1" header="0.5" footer="0.5"/>
  <pageSetup scale="85"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E66"/>
  <sheetViews>
    <sheetView workbookViewId="0">
      <pane ySplit="4" topLeftCell="A5" activePane="bottomLeft" state="frozen"/>
      <selection activeCell="A122" sqref="A122"/>
      <selection pane="bottomLeft"/>
    </sheetView>
  </sheetViews>
  <sheetFormatPr baseColWidth="10" defaultColWidth="8.83203125" defaultRowHeight="13"/>
  <cols>
    <col min="1" max="1" width="46.5" customWidth="1"/>
    <col min="2" max="2" width="24.5" customWidth="1"/>
    <col min="3" max="3" width="11.33203125" bestFit="1" customWidth="1"/>
    <col min="4" max="4" width="21.33203125" style="414" customWidth="1"/>
  </cols>
  <sheetData>
    <row r="1" spans="1:5">
      <c r="A1" s="1" t="s">
        <v>584</v>
      </c>
      <c r="C1" s="42"/>
    </row>
    <row r="2" spans="1:5">
      <c r="A2" s="570" t="s">
        <v>3247</v>
      </c>
      <c r="C2" s="42"/>
    </row>
    <row r="4" spans="1:5">
      <c r="A4" s="168" t="s">
        <v>1368</v>
      </c>
      <c r="B4" s="168" t="s">
        <v>1369</v>
      </c>
      <c r="C4" s="169" t="s">
        <v>1370</v>
      </c>
      <c r="D4" s="168" t="s">
        <v>1371</v>
      </c>
      <c r="E4" s="168" t="s">
        <v>1372</v>
      </c>
    </row>
    <row r="5" spans="1:5">
      <c r="A5" s="2" t="s">
        <v>2137</v>
      </c>
    </row>
    <row r="6" spans="1:5">
      <c r="A6" t="s">
        <v>789</v>
      </c>
      <c r="B6" s="3" t="s">
        <v>1690</v>
      </c>
      <c r="C6" s="170">
        <v>0.01</v>
      </c>
      <c r="E6" s="7" t="s">
        <v>3320</v>
      </c>
    </row>
    <row r="7" spans="1:5">
      <c r="A7" t="s">
        <v>3145</v>
      </c>
      <c r="B7" s="3" t="s">
        <v>3144</v>
      </c>
      <c r="C7" s="398">
        <v>0.01</v>
      </c>
      <c r="E7" s="7" t="s">
        <v>3146</v>
      </c>
    </row>
    <row r="9" spans="1:5">
      <c r="A9" s="2" t="s">
        <v>2134</v>
      </c>
    </row>
    <row r="10" spans="1:5">
      <c r="A10" s="5" t="s">
        <v>727</v>
      </c>
      <c r="B10" s="3" t="s">
        <v>728</v>
      </c>
      <c r="C10" s="171">
        <v>0.1</v>
      </c>
      <c r="D10" s="414" t="s">
        <v>729</v>
      </c>
    </row>
    <row r="11" spans="1:5">
      <c r="A11" s="5" t="s">
        <v>732</v>
      </c>
      <c r="B11" s="3" t="s">
        <v>2812</v>
      </c>
      <c r="C11" s="171">
        <v>0.1</v>
      </c>
      <c r="D11" s="414" t="s">
        <v>729</v>
      </c>
    </row>
    <row r="12" spans="1:5">
      <c r="A12" t="s">
        <v>457</v>
      </c>
      <c r="B12" s="3" t="s">
        <v>458</v>
      </c>
      <c r="C12" s="85">
        <v>1</v>
      </c>
      <c r="D12" s="414" t="s">
        <v>459</v>
      </c>
    </row>
    <row r="13" spans="1:5">
      <c r="A13" s="2"/>
    </row>
    <row r="14" spans="1:5">
      <c r="A14" s="2" t="s">
        <v>2185</v>
      </c>
    </row>
    <row r="15" spans="1:5">
      <c r="A15" s="5" t="s">
        <v>2186</v>
      </c>
      <c r="B15" s="3" t="s">
        <v>2187</v>
      </c>
      <c r="C15" s="146">
        <v>5</v>
      </c>
      <c r="D15" s="414" t="s">
        <v>2188</v>
      </c>
      <c r="E15" s="7" t="s">
        <v>2189</v>
      </c>
    </row>
    <row r="16" spans="1:5">
      <c r="A16" s="5" t="s">
        <v>888</v>
      </c>
      <c r="B16" s="3" t="s">
        <v>889</v>
      </c>
      <c r="C16" s="146">
        <v>5</v>
      </c>
      <c r="D16" s="414" t="s">
        <v>2188</v>
      </c>
      <c r="E16" s="7" t="s">
        <v>219</v>
      </c>
    </row>
    <row r="17" spans="1:5">
      <c r="A17" s="5" t="s">
        <v>2190</v>
      </c>
      <c r="B17" s="3" t="s">
        <v>2191</v>
      </c>
      <c r="C17" s="146">
        <v>5</v>
      </c>
      <c r="D17" s="414" t="s">
        <v>2188</v>
      </c>
      <c r="E17" s="7" t="s">
        <v>2192</v>
      </c>
    </row>
    <row r="18" spans="1:5">
      <c r="A18" s="5" t="s">
        <v>2193</v>
      </c>
      <c r="B18" s="3" t="s">
        <v>2194</v>
      </c>
      <c r="C18" s="146">
        <v>5</v>
      </c>
      <c r="D18" s="414" t="s">
        <v>2195</v>
      </c>
      <c r="E18" s="7" t="s">
        <v>2192</v>
      </c>
    </row>
    <row r="19" spans="1:5">
      <c r="A19" s="5" t="s">
        <v>2196</v>
      </c>
      <c r="B19" s="3" t="s">
        <v>2197</v>
      </c>
      <c r="C19" s="146">
        <v>1</v>
      </c>
      <c r="D19" s="414" t="s">
        <v>890</v>
      </c>
      <c r="E19" s="7"/>
    </row>
    <row r="20" spans="1:5">
      <c r="A20" s="5" t="s">
        <v>1663</v>
      </c>
      <c r="B20" s="3" t="s">
        <v>1664</v>
      </c>
      <c r="C20" s="146">
        <v>1</v>
      </c>
      <c r="D20" s="414" t="s">
        <v>220</v>
      </c>
      <c r="E20" s="7" t="s">
        <v>891</v>
      </c>
    </row>
    <row r="21" spans="1:5">
      <c r="A21" s="5" t="s">
        <v>221</v>
      </c>
      <c r="B21" s="3" t="s">
        <v>222</v>
      </c>
      <c r="C21" s="146">
        <f>8/(20*27)</f>
        <v>1.4814814814814815E-2</v>
      </c>
      <c r="D21" s="414" t="s">
        <v>1667</v>
      </c>
      <c r="E21" s="7" t="s">
        <v>3343</v>
      </c>
    </row>
    <row r="22" spans="1:5">
      <c r="A22" s="2"/>
    </row>
    <row r="23" spans="1:5">
      <c r="A23" s="2" t="s">
        <v>904</v>
      </c>
      <c r="B23" s="3"/>
    </row>
    <row r="24" spans="1:5">
      <c r="A24" s="5" t="s">
        <v>892</v>
      </c>
      <c r="B24" s="3" t="s">
        <v>893</v>
      </c>
      <c r="C24" s="146">
        <v>10</v>
      </c>
      <c r="D24" s="414" t="s">
        <v>894</v>
      </c>
    </row>
    <row r="25" spans="1:5">
      <c r="A25" s="5" t="s">
        <v>895</v>
      </c>
      <c r="B25" s="3" t="s">
        <v>896</v>
      </c>
      <c r="C25" s="146">
        <v>30.25</v>
      </c>
      <c r="D25" s="414" t="s">
        <v>962</v>
      </c>
      <c r="E25" s="7" t="s">
        <v>897</v>
      </c>
    </row>
    <row r="26" spans="1:5">
      <c r="A26" s="5" t="s">
        <v>898</v>
      </c>
      <c r="B26" s="3" t="s">
        <v>899</v>
      </c>
      <c r="C26" s="146">
        <v>5</v>
      </c>
      <c r="D26" s="414" t="s">
        <v>900</v>
      </c>
      <c r="E26" s="7" t="s">
        <v>901</v>
      </c>
    </row>
    <row r="27" spans="1:5">
      <c r="A27" s="5" t="s">
        <v>902</v>
      </c>
      <c r="B27" s="3" t="s">
        <v>903</v>
      </c>
      <c r="C27" s="146">
        <v>120</v>
      </c>
      <c r="D27" s="414" t="s">
        <v>894</v>
      </c>
      <c r="E27" s="7"/>
    </row>
    <row r="28" spans="1:5">
      <c r="A28" s="2"/>
    </row>
    <row r="29" spans="1:5">
      <c r="A29" s="2" t="s">
        <v>671</v>
      </c>
    </row>
    <row r="30" spans="1:5">
      <c r="A30" t="s">
        <v>2434</v>
      </c>
      <c r="B30" s="3" t="s">
        <v>50</v>
      </c>
      <c r="C30" s="146">
        <v>44</v>
      </c>
      <c r="D30" s="414" t="s">
        <v>2219</v>
      </c>
      <c r="E30" s="7"/>
    </row>
    <row r="31" spans="1:5">
      <c r="A31" t="s">
        <v>2512</v>
      </c>
      <c r="B31" s="3" t="s">
        <v>2513</v>
      </c>
      <c r="C31" s="146">
        <v>33</v>
      </c>
      <c r="D31" s="414" t="s">
        <v>2219</v>
      </c>
      <c r="E31" s="7"/>
    </row>
    <row r="32" spans="1:5">
      <c r="A32" t="s">
        <v>2510</v>
      </c>
      <c r="B32" s="3" t="s">
        <v>2511</v>
      </c>
      <c r="C32" s="146">
        <v>25</v>
      </c>
      <c r="D32" s="414" t="s">
        <v>1323</v>
      </c>
      <c r="E32" s="7"/>
    </row>
    <row r="33" spans="1:5">
      <c r="A33" t="s">
        <v>2509</v>
      </c>
      <c r="B33" s="3" t="s">
        <v>51</v>
      </c>
      <c r="C33" s="172">
        <v>0.75</v>
      </c>
      <c r="E33" s="7"/>
    </row>
    <row r="35" spans="1:5">
      <c r="A35" t="s">
        <v>1907</v>
      </c>
      <c r="B35" s="37" t="s">
        <v>1908</v>
      </c>
      <c r="C35" s="395">
        <v>0.3</v>
      </c>
      <c r="D35" s="414" t="s">
        <v>1909</v>
      </c>
      <c r="E35" s="7" t="s">
        <v>3815</v>
      </c>
    </row>
    <row r="36" spans="1:5">
      <c r="A36" t="s">
        <v>1910</v>
      </c>
      <c r="B36" s="37" t="s">
        <v>1911</v>
      </c>
      <c r="C36" s="395">
        <v>0.6</v>
      </c>
      <c r="D36" s="414" t="s">
        <v>1909</v>
      </c>
    </row>
    <row r="37" spans="1:5">
      <c r="A37" t="s">
        <v>1912</v>
      </c>
      <c r="B37" s="37" t="s">
        <v>1913</v>
      </c>
      <c r="C37" s="395">
        <v>1.2</v>
      </c>
      <c r="D37" s="414" t="s">
        <v>1909</v>
      </c>
    </row>
    <row r="39" spans="1:5">
      <c r="A39" t="s">
        <v>2229</v>
      </c>
      <c r="B39" s="35" t="s">
        <v>1581</v>
      </c>
      <c r="C39" s="146">
        <v>3</v>
      </c>
      <c r="D39" s="602" t="s">
        <v>1586</v>
      </c>
    </row>
    <row r="40" spans="1:5">
      <c r="A40" t="s">
        <v>2248</v>
      </c>
      <c r="B40" s="35" t="s">
        <v>1582</v>
      </c>
      <c r="C40" s="146">
        <v>20</v>
      </c>
      <c r="D40" s="602" t="s">
        <v>1586</v>
      </c>
      <c r="E40" s="7" t="s">
        <v>721</v>
      </c>
    </row>
    <row r="41" spans="1:5">
      <c r="A41" t="s">
        <v>2153</v>
      </c>
      <c r="B41" s="35" t="s">
        <v>1583</v>
      </c>
      <c r="C41" s="146">
        <v>2</v>
      </c>
      <c r="D41" s="602" t="s">
        <v>1586</v>
      </c>
    </row>
    <row r="42" spans="1:5">
      <c r="A42" t="s">
        <v>2154</v>
      </c>
      <c r="B42" s="35" t="s">
        <v>1584</v>
      </c>
      <c r="C42" s="146">
        <v>2</v>
      </c>
      <c r="D42" s="602" t="s">
        <v>1586</v>
      </c>
    </row>
    <row r="43" spans="1:5">
      <c r="A43" t="s">
        <v>1588</v>
      </c>
      <c r="B43" s="37" t="s">
        <v>1590</v>
      </c>
      <c r="C43" s="146">
        <v>0.25</v>
      </c>
      <c r="D43" s="414" t="s">
        <v>1589</v>
      </c>
    </row>
    <row r="44" spans="1:5">
      <c r="A44" t="s">
        <v>1606</v>
      </c>
      <c r="B44" s="37" t="s">
        <v>1607</v>
      </c>
      <c r="C44" s="146">
        <v>90</v>
      </c>
      <c r="D44" s="414" t="s">
        <v>2039</v>
      </c>
      <c r="E44" s="7" t="s">
        <v>527</v>
      </c>
    </row>
    <row r="45" spans="1:5">
      <c r="A45" t="s">
        <v>2926</v>
      </c>
      <c r="B45" s="37" t="s">
        <v>2927</v>
      </c>
      <c r="C45" s="146">
        <v>90</v>
      </c>
      <c r="D45" s="414" t="s">
        <v>2039</v>
      </c>
      <c r="E45" s="7" t="s">
        <v>2928</v>
      </c>
    </row>
    <row r="46" spans="1:5">
      <c r="A46" t="s">
        <v>1647</v>
      </c>
      <c r="B46" s="37" t="s">
        <v>1648</v>
      </c>
      <c r="C46" s="146">
        <v>120</v>
      </c>
      <c r="D46" s="414" t="s">
        <v>2039</v>
      </c>
      <c r="E46" s="7" t="s">
        <v>1649</v>
      </c>
    </row>
    <row r="47" spans="1:5">
      <c r="A47" t="s">
        <v>1650</v>
      </c>
      <c r="B47" s="37" t="s">
        <v>1651</v>
      </c>
      <c r="C47" s="146">
        <v>120</v>
      </c>
      <c r="D47" s="414" t="s">
        <v>2039</v>
      </c>
      <c r="E47" s="7"/>
    </row>
    <row r="48" spans="1:5">
      <c r="A48" t="s">
        <v>1516</v>
      </c>
      <c r="B48" s="37" t="s">
        <v>1517</v>
      </c>
      <c r="C48" s="146">
        <v>185</v>
      </c>
      <c r="D48" s="414" t="s">
        <v>2039</v>
      </c>
      <c r="E48" s="7" t="s">
        <v>1518</v>
      </c>
    </row>
    <row r="49" spans="1:5">
      <c r="A49" t="s">
        <v>1519</v>
      </c>
      <c r="B49" s="37" t="s">
        <v>1520</v>
      </c>
      <c r="C49" s="146">
        <v>185</v>
      </c>
      <c r="D49" s="414" t="s">
        <v>2039</v>
      </c>
      <c r="E49" s="7"/>
    </row>
    <row r="51" spans="1:5">
      <c r="A51" t="s">
        <v>1858</v>
      </c>
      <c r="B51" s="3" t="s">
        <v>1860</v>
      </c>
      <c r="C51" s="146">
        <v>25</v>
      </c>
      <c r="D51" s="414" t="s">
        <v>1862</v>
      </c>
      <c r="E51" s="7" t="s">
        <v>3812</v>
      </c>
    </row>
    <row r="52" spans="1:5">
      <c r="A52" t="s">
        <v>1859</v>
      </c>
      <c r="B52" s="3" t="s">
        <v>1861</v>
      </c>
      <c r="C52" s="146">
        <v>49</v>
      </c>
      <c r="D52" s="414" t="s">
        <v>1862</v>
      </c>
      <c r="E52" s="7" t="s">
        <v>3812</v>
      </c>
    </row>
    <row r="53" spans="1:5">
      <c r="A53" t="s">
        <v>44</v>
      </c>
      <c r="B53" s="3" t="s">
        <v>45</v>
      </c>
      <c r="C53" s="173">
        <v>4260</v>
      </c>
      <c r="D53" s="414" t="s">
        <v>2424</v>
      </c>
      <c r="E53" s="7" t="s">
        <v>3813</v>
      </c>
    </row>
    <row r="54" spans="1:5">
      <c r="A54" t="s">
        <v>2422</v>
      </c>
      <c r="B54" s="3" t="s">
        <v>2423</v>
      </c>
      <c r="C54" s="173">
        <v>1415</v>
      </c>
      <c r="D54" s="414" t="s">
        <v>2424</v>
      </c>
      <c r="E54" s="7" t="s">
        <v>3813</v>
      </c>
    </row>
    <row r="55" spans="1:5">
      <c r="A55" t="s">
        <v>2913</v>
      </c>
      <c r="B55" s="3" t="s">
        <v>2915</v>
      </c>
      <c r="C55" s="173">
        <v>168679</v>
      </c>
      <c r="D55" s="414" t="s">
        <v>2917</v>
      </c>
      <c r="E55" s="7" t="s">
        <v>3813</v>
      </c>
    </row>
    <row r="56" spans="1:5">
      <c r="A56" t="s">
        <v>2914</v>
      </c>
      <c r="B56" s="3" t="s">
        <v>2916</v>
      </c>
      <c r="C56" s="173">
        <v>51771</v>
      </c>
      <c r="D56" s="414" t="s">
        <v>2917</v>
      </c>
      <c r="E56" s="7" t="s">
        <v>3813</v>
      </c>
    </row>
    <row r="57" spans="1:5">
      <c r="A57" t="s">
        <v>1346</v>
      </c>
      <c r="B57" s="3" t="s">
        <v>1348</v>
      </c>
      <c r="C57" s="154">
        <v>0.98</v>
      </c>
      <c r="E57" s="7" t="s">
        <v>1227</v>
      </c>
    </row>
    <row r="58" spans="1:5">
      <c r="A58" t="s">
        <v>1347</v>
      </c>
      <c r="B58" s="3" t="s">
        <v>1349</v>
      </c>
      <c r="C58" s="242">
        <v>3.3</v>
      </c>
      <c r="E58" s="7" t="s">
        <v>1227</v>
      </c>
    </row>
    <row r="59" spans="1:5">
      <c r="A59" t="s">
        <v>1524</v>
      </c>
      <c r="B59" s="3" t="s">
        <v>1527</v>
      </c>
      <c r="C59" s="154">
        <v>0.85</v>
      </c>
      <c r="E59" s="7" t="s">
        <v>1227</v>
      </c>
    </row>
    <row r="60" spans="1:5">
      <c r="A60" t="s">
        <v>1525</v>
      </c>
      <c r="B60" s="3" t="s">
        <v>1528</v>
      </c>
      <c r="C60" s="154">
        <v>0.9</v>
      </c>
      <c r="E60" s="7" t="s">
        <v>1227</v>
      </c>
    </row>
    <row r="61" spans="1:5">
      <c r="A61" t="s">
        <v>1228</v>
      </c>
      <c r="B61" s="3" t="s">
        <v>1529</v>
      </c>
      <c r="C61" s="154">
        <v>0.82</v>
      </c>
      <c r="E61" s="7" t="s">
        <v>1227</v>
      </c>
    </row>
    <row r="62" spans="1:5">
      <c r="A62" t="s">
        <v>1229</v>
      </c>
      <c r="B62" s="3" t="s">
        <v>1530</v>
      </c>
      <c r="C62" s="154">
        <v>0.9</v>
      </c>
      <c r="E62" s="7" t="s">
        <v>1227</v>
      </c>
    </row>
    <row r="63" spans="1:5">
      <c r="A63" t="s">
        <v>1831</v>
      </c>
      <c r="B63" s="3" t="s">
        <v>1832</v>
      </c>
      <c r="C63" s="146">
        <v>11.8</v>
      </c>
      <c r="D63" s="414" t="s">
        <v>3814</v>
      </c>
      <c r="E63" s="7" t="s">
        <v>1227</v>
      </c>
    </row>
    <row r="64" spans="1:5">
      <c r="A64" t="s">
        <v>2709</v>
      </c>
      <c r="B64" s="3" t="s">
        <v>1526</v>
      </c>
      <c r="C64" s="146">
        <v>11.8</v>
      </c>
      <c r="D64" s="414" t="s">
        <v>3814</v>
      </c>
      <c r="E64" s="7" t="s">
        <v>1227</v>
      </c>
    </row>
    <row r="66" spans="1:5">
      <c r="A66" t="s">
        <v>1296</v>
      </c>
      <c r="B66" s="3" t="s">
        <v>966</v>
      </c>
      <c r="C66" s="173">
        <v>139000</v>
      </c>
      <c r="D66" s="414" t="s">
        <v>2066</v>
      </c>
      <c r="E66" s="7" t="s">
        <v>3344</v>
      </c>
    </row>
  </sheetData>
  <phoneticPr fontId="0" type="noConversion"/>
  <pageMargins left="0.75" right="0.75" top="1" bottom="1" header="0.5" footer="0.5"/>
  <pageSetup orientation="portrait" horizontalDpi="200" verticalDpi="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E270"/>
  <sheetViews>
    <sheetView workbookViewId="0">
      <pane ySplit="3" topLeftCell="A18" activePane="bottomLeft" state="frozen"/>
      <selection pane="bottomLeft" activeCell="B217" sqref="B217"/>
    </sheetView>
  </sheetViews>
  <sheetFormatPr baseColWidth="10" defaultColWidth="8.83203125" defaultRowHeight="13"/>
  <cols>
    <col min="1" max="1" width="54.33203125" customWidth="1"/>
    <col min="2" max="2" width="26.33203125" customWidth="1"/>
    <col min="3" max="3" width="17.33203125" customWidth="1"/>
    <col min="4" max="4" width="15.1640625" style="414" customWidth="1"/>
    <col min="5" max="5" width="15" bestFit="1" customWidth="1"/>
  </cols>
  <sheetData>
    <row r="1" spans="1:5">
      <c r="A1" s="1" t="s">
        <v>3260</v>
      </c>
    </row>
    <row r="3" spans="1:5">
      <c r="A3" s="168" t="s">
        <v>3250</v>
      </c>
      <c r="B3" s="168" t="s">
        <v>1369</v>
      </c>
      <c r="C3" s="169" t="s">
        <v>1370</v>
      </c>
      <c r="D3" s="168" t="s">
        <v>1371</v>
      </c>
      <c r="E3" s="168" t="s">
        <v>1372</v>
      </c>
    </row>
    <row r="4" spans="1:5">
      <c r="A4" s="2" t="s">
        <v>3192</v>
      </c>
    </row>
    <row r="5" spans="1:5">
      <c r="A5" t="s">
        <v>2607</v>
      </c>
      <c r="B5" s="3" t="s">
        <v>3197</v>
      </c>
      <c r="C5" s="84">
        <f>IF(res_s2_opt_I="surface water",1,IF(res_s2_opt_I="POTW",2,IF(res_s2_opt_I="recycle",3,IF(res_s2_opt_I="septic system",4,5))))</f>
        <v>3</v>
      </c>
      <c r="D5" s="414" t="s">
        <v>2333</v>
      </c>
    </row>
    <row r="6" spans="1:5">
      <c r="A6" t="s">
        <v>336</v>
      </c>
      <c r="B6" s="3" t="s">
        <v>247</v>
      </c>
      <c r="C6" s="116">
        <f>IF(OR(res_s2_opt=4,res_s2_opt=5),2,IF(OR(res_s2_opt=3,res_s1_opt_I="holding tank"),1,2))</f>
        <v>1</v>
      </c>
      <c r="D6" s="520" t="s">
        <v>1781</v>
      </c>
    </row>
    <row r="7" spans="1:5">
      <c r="A7" t="s">
        <v>2985</v>
      </c>
      <c r="B7" s="3" t="s">
        <v>1435</v>
      </c>
      <c r="C7" s="116">
        <f>IF(solids_haz_I="non-hazardous",1,IF(solids_haz_I="hazardous",2,IF(solids_haz_I="radioactive",3,4)))</f>
        <v>2</v>
      </c>
      <c r="D7" s="520" t="s">
        <v>2745</v>
      </c>
    </row>
    <row r="8" spans="1:5">
      <c r="B8" s="3"/>
      <c r="C8" s="116"/>
      <c r="D8" s="520"/>
    </row>
    <row r="9" spans="1:5">
      <c r="A9" s="2" t="s">
        <v>1557</v>
      </c>
      <c r="B9" s="3"/>
      <c r="C9" s="5"/>
    </row>
    <row r="10" spans="1:5">
      <c r="A10" t="s">
        <v>337</v>
      </c>
      <c r="B10" s="3" t="s">
        <v>338</v>
      </c>
      <c r="C10" s="29">
        <f>total_backwash</f>
        <v>9420</v>
      </c>
      <c r="D10" s="414" t="s">
        <v>2843</v>
      </c>
      <c r="E10" s="7" t="s">
        <v>2261</v>
      </c>
    </row>
    <row r="11" spans="1:5">
      <c r="A11" t="s">
        <v>339</v>
      </c>
      <c r="B11" s="3" t="s">
        <v>340</v>
      </c>
      <c r="C11" s="75">
        <f>back_interval*60/IF(design_type=1,final_num_tanks,total_num_basins)</f>
        <v>2016</v>
      </c>
      <c r="D11" s="414" t="s">
        <v>2218</v>
      </c>
      <c r="E11" s="7"/>
    </row>
    <row r="12" spans="1:5">
      <c r="A12" t="s">
        <v>341</v>
      </c>
      <c r="B12" s="3" t="s">
        <v>342</v>
      </c>
      <c r="C12" s="46">
        <f>IF(OR(res_s1_opt=1,res_s2_opt=3),res_vol/res_stagger_time,res_vol/backwash_time)</f>
        <v>4.6726190476190474</v>
      </c>
      <c r="D12" s="414" t="s">
        <v>1762</v>
      </c>
      <c r="E12" s="7" t="s">
        <v>1558</v>
      </c>
    </row>
    <row r="13" spans="1:5">
      <c r="A13" t="s">
        <v>343</v>
      </c>
      <c r="B13" s="3" t="s">
        <v>344</v>
      </c>
      <c r="C13" s="46">
        <f>IF(OR(res_s1_opt=1,res_s2_opt=3),res_cap_factor*res_vol/res_stagger_time,res_flow_actual)</f>
        <v>9.3452380952380949</v>
      </c>
      <c r="D13" s="414" t="s">
        <v>1762</v>
      </c>
      <c r="E13" s="7" t="s">
        <v>1559</v>
      </c>
    </row>
    <row r="14" spans="1:5">
      <c r="A14" t="s">
        <v>345</v>
      </c>
      <c r="B14" s="3" t="s">
        <v>1556</v>
      </c>
      <c r="C14" s="46">
        <f>res_vol*IF(design_type=1,final_num_tanks,total_num_basins)*(365*24/back_interval)</f>
        <v>2455928.5714285714</v>
      </c>
      <c r="D14" s="414" t="s">
        <v>2843</v>
      </c>
      <c r="E14" s="7"/>
    </row>
    <row r="15" spans="1:5">
      <c r="B15" s="3"/>
      <c r="C15" s="76"/>
    </row>
    <row r="16" spans="1:5">
      <c r="A16" s="2" t="s">
        <v>2390</v>
      </c>
      <c r="B16" s="3"/>
      <c r="C16" s="76"/>
    </row>
    <row r="17" spans="1:4">
      <c r="A17" t="s">
        <v>1437</v>
      </c>
      <c r="B17" s="3" t="s">
        <v>1438</v>
      </c>
      <c r="C17" s="38">
        <f>(influent_TSS-effluent_TSS)*average_flow*1000000*(back_interval/24)/(res_vol*IF(design_type=1,final_num_tanks,total_num_basins))</f>
        <v>479.74522292993629</v>
      </c>
      <c r="D17" s="414" t="s">
        <v>1761</v>
      </c>
    </row>
    <row r="18" spans="1:4">
      <c r="A18" t="s">
        <v>2391</v>
      </c>
      <c r="B18" s="3" t="s">
        <v>2392</v>
      </c>
      <c r="C18" s="38">
        <f>IF(res_s2_opt=5,TSS_residuals*res_flow_annual*3.785/1000/453.59/dredging_freq,0)</f>
        <v>0</v>
      </c>
      <c r="D18" s="414" t="s">
        <v>2255</v>
      </c>
    </row>
    <row r="19" spans="1:4">
      <c r="A19" t="s">
        <v>1439</v>
      </c>
      <c r="B19" s="3"/>
      <c r="C19" s="46">
        <f>IF(OR(res_s2_opt=5,AND(res_holding="none",num_sept_tanks=0)),0,TSS_residuals*IF(coag_res=1,coag_TSSrem,htank_TSSrem)*res_flow_annual*3.785/1000/453.59)</f>
        <v>2457.9260455477415</v>
      </c>
      <c r="D19" s="414" t="s">
        <v>365</v>
      </c>
    </row>
    <row r="20" spans="1:4">
      <c r="A20" t="s">
        <v>1440</v>
      </c>
      <c r="B20" s="3"/>
      <c r="C20" s="46">
        <f>IF(AND(res_holding&lt;&gt;"none",coag_res=1),IF(coag_type&lt;&gt;1,coag_dose*coag_spf*8.34*res_flow_annual/10^6)+IF(coag_type&lt;&gt;2,polymer_dose*polymer_spf*8.34*res_flow_annual/10^6),0)</f>
        <v>0</v>
      </c>
      <c r="D20" s="414" t="s">
        <v>365</v>
      </c>
    </row>
    <row r="21" spans="1:4">
      <c r="A21" t="s">
        <v>1441</v>
      </c>
      <c r="B21" s="3" t="s">
        <v>794</v>
      </c>
      <c r="C21" s="76">
        <f>C20+C19</f>
        <v>2457.9260455477415</v>
      </c>
      <c r="D21" s="414" t="s">
        <v>365</v>
      </c>
    </row>
    <row r="22" spans="1:4">
      <c r="A22" t="s">
        <v>792</v>
      </c>
      <c r="B22" s="3" t="s">
        <v>796</v>
      </c>
      <c r="C22" s="76">
        <f>IF(res_s2_opt=5,dredging_freq,IF(res_holding="none",0,ROUNDUP((ht_solids/ht_solids_density*7.48)/(IF(res_holding="tanks",htanks*htank_vol,hbasins*hbasin_vol)*htank_clean_pct),0)))</f>
        <v>1</v>
      </c>
      <c r="D22" s="438" t="s">
        <v>1563</v>
      </c>
    </row>
    <row r="23" spans="1:4">
      <c r="A23" t="s">
        <v>2854</v>
      </c>
      <c r="B23" s="3" t="s">
        <v>2855</v>
      </c>
      <c r="C23" s="77">
        <f>IF(num_sept_tanks=0,0,(ht_solids/ht_solids_density*7.48)/(num_sept_tanks*sept_tank_vol*htank_clean_pct))</f>
        <v>0</v>
      </c>
      <c r="D23" s="438" t="s">
        <v>1563</v>
      </c>
    </row>
    <row r="24" spans="1:4">
      <c r="A24" t="s">
        <v>793</v>
      </c>
      <c r="B24" s="3" t="s">
        <v>795</v>
      </c>
      <c r="C24" s="77">
        <f>IF(AND(res_holding="none",num_sept_tanks=0,ep_solids=0),0,IF(res_s2_opt=5,ep_solids/2000,ht_solids/IF(res_holding="none",septic_disp_freq,sol_disp_freq)/2000))</f>
        <v>1.2289630227738708</v>
      </c>
      <c r="D24" s="414" t="s">
        <v>3198</v>
      </c>
    </row>
    <row r="25" spans="1:4">
      <c r="B25" s="3"/>
      <c r="C25" s="76"/>
    </row>
    <row r="26" spans="1:4">
      <c r="A26" s="2" t="s">
        <v>1365</v>
      </c>
      <c r="B26" s="3"/>
      <c r="C26" s="76"/>
    </row>
    <row r="27" spans="1:4">
      <c r="A27" t="s">
        <v>1560</v>
      </c>
      <c r="B27" s="3" t="s">
        <v>1561</v>
      </c>
      <c r="C27" s="76">
        <f>IF(OR(regen_type=3,regen_type=5,regen_type=6,regen_type=7),12/bed_life,0)</f>
        <v>8.5144764490537543</v>
      </c>
      <c r="D27" s="414" t="s">
        <v>1563</v>
      </c>
    </row>
    <row r="28" spans="1:4">
      <c r="A28" t="s">
        <v>1562</v>
      </c>
      <c r="B28" s="3" t="s">
        <v>842</v>
      </c>
      <c r="C28" s="412">
        <f>IF(OR(regen_type=3,regen_type=5,regen_type=6,regen_type=7),GAC/2000,0)</f>
        <v>37.699111843077517</v>
      </c>
      <c r="D28" s="414" t="s">
        <v>3198</v>
      </c>
    </row>
    <row r="29" spans="1:4">
      <c r="A29" t="s">
        <v>3057</v>
      </c>
      <c r="B29" s="3" t="s">
        <v>3058</v>
      </c>
      <c r="C29" s="411">
        <f>spent_media*disp_freq</f>
        <v>320.98819993812697</v>
      </c>
      <c r="D29" s="414" t="s">
        <v>3198</v>
      </c>
    </row>
    <row r="30" spans="1:4">
      <c r="B30" s="3"/>
      <c r="C30" s="76"/>
    </row>
    <row r="31" spans="1:4">
      <c r="A31" s="2" t="s">
        <v>1564</v>
      </c>
      <c r="B31" s="3"/>
      <c r="C31" s="77"/>
    </row>
    <row r="32" spans="1:4">
      <c r="A32" s="574" t="s">
        <v>1565</v>
      </c>
      <c r="B32" s="3"/>
      <c r="C32" s="46"/>
    </row>
    <row r="33" spans="1:5">
      <c r="A33" s="475" t="s">
        <v>3200</v>
      </c>
      <c r="B33" s="3" t="s">
        <v>3201</v>
      </c>
      <c r="C33" s="489">
        <f>MAX(VLOOKUP(10^6,st_bwt_cost_cl,1)-1,VLOOKUP(10^6,fg_bwt_cost_cl,1)-1,VLOOKUP(10^6,hdpe_bwt_cost_cl,1)-1)</f>
        <v>289000</v>
      </c>
      <c r="D33" s="414" t="s">
        <v>2843</v>
      </c>
      <c r="E33" s="7" t="s">
        <v>3202</v>
      </c>
    </row>
    <row r="34" spans="1:5">
      <c r="A34" s="475" t="s">
        <v>2826</v>
      </c>
      <c r="B34" s="3" t="s">
        <v>2827</v>
      </c>
      <c r="C34" s="76">
        <f>IF(coag_res=1,0,IF(OR(res_s1_opt=1,res_s2_opt=3),ROUNDUP(res_cap_factor*res_vol/max_htank_size,0),0))</f>
        <v>1</v>
      </c>
      <c r="D34" s="414" t="s">
        <v>2222</v>
      </c>
      <c r="E34" s="7" t="s">
        <v>2754</v>
      </c>
    </row>
    <row r="35" spans="1:5">
      <c r="A35" s="475" t="s">
        <v>303</v>
      </c>
      <c r="B35" s="3" t="s">
        <v>304</v>
      </c>
      <c r="C35" s="38">
        <f>IF(htanks=0,0,res_cap_factor*res_vol/htanks)</f>
        <v>18840</v>
      </c>
      <c r="D35" s="414" t="s">
        <v>2843</v>
      </c>
    </row>
    <row r="36" spans="1:5">
      <c r="A36" s="475"/>
      <c r="B36" s="3"/>
      <c r="C36" s="38"/>
    </row>
    <row r="37" spans="1:5">
      <c r="A37" s="574" t="s">
        <v>1996</v>
      </c>
      <c r="B37" s="3"/>
      <c r="C37" s="46"/>
    </row>
    <row r="38" spans="1:5">
      <c r="A38" s="475" t="s">
        <v>1513</v>
      </c>
      <c r="B38" s="3" t="s">
        <v>1514</v>
      </c>
      <c r="C38">
        <f>IF(coag_res=1,ROUNDUP(res_coag_settle_time/res_stagger_time,0),1)</f>
        <v>1</v>
      </c>
      <c r="E38" s="7" t="s">
        <v>1515</v>
      </c>
    </row>
    <row r="39" spans="1:5">
      <c r="A39" s="475" t="s">
        <v>1984</v>
      </c>
      <c r="B39" s="3" t="s">
        <v>1985</v>
      </c>
      <c r="C39" s="46">
        <f>IF(OR(res_s1_opt=1,res_s2_opt=3),hbasins_default*hbasin_redun,0)</f>
        <v>1</v>
      </c>
      <c r="D39" s="414" t="s">
        <v>2222</v>
      </c>
      <c r="E39" s="7" t="s">
        <v>1724</v>
      </c>
    </row>
    <row r="40" spans="1:5">
      <c r="A40" s="127" t="s">
        <v>1510</v>
      </c>
      <c r="B40" s="33" t="s">
        <v>1511</v>
      </c>
      <c r="C40" s="517">
        <f>IF(hbasins=0,0,res_cap_factor*res_vol*hbasin_redun/7.48)</f>
        <v>2518.7165775401068</v>
      </c>
      <c r="D40" s="414" t="s">
        <v>1809</v>
      </c>
      <c r="E40" s="7" t="s">
        <v>1724</v>
      </c>
    </row>
    <row r="41" spans="1:5">
      <c r="A41" s="127" t="s">
        <v>1512</v>
      </c>
      <c r="B41" s="33" t="s">
        <v>1986</v>
      </c>
      <c r="C41" s="46">
        <f>IF(hbasins=0,0,total_hvol_ft/hbasins)</f>
        <v>2518.7165775401068</v>
      </c>
      <c r="D41" s="414" t="s">
        <v>1809</v>
      </c>
      <c r="E41" s="7" t="s">
        <v>1724</v>
      </c>
    </row>
    <row r="42" spans="1:5">
      <c r="A42" s="127" t="s">
        <v>1505</v>
      </c>
      <c r="B42" s="33" t="s">
        <v>1987</v>
      </c>
      <c r="C42" s="46">
        <f>IF(hbasins=0,0,ROUNDUP(hvol_ft^(1/3)*holding_ratio,0))</f>
        <v>9</v>
      </c>
      <c r="D42" s="414" t="s">
        <v>120</v>
      </c>
      <c r="E42" s="7" t="s">
        <v>1724</v>
      </c>
    </row>
    <row r="43" spans="1:5">
      <c r="A43" s="127" t="s">
        <v>1506</v>
      </c>
      <c r="B43" s="33" t="s">
        <v>1988</v>
      </c>
      <c r="C43" s="46">
        <f>IF(hbasins=0,0,ROUNDUP((hvol_ft/hbasin_op_depth)^0.5,0))</f>
        <v>17</v>
      </c>
      <c r="D43" s="414" t="s">
        <v>120</v>
      </c>
      <c r="E43" s="7" t="s">
        <v>1724</v>
      </c>
    </row>
    <row r="44" spans="1:5">
      <c r="A44" s="127" t="s">
        <v>1507</v>
      </c>
      <c r="B44" s="33" t="s">
        <v>1989</v>
      </c>
      <c r="C44" s="46">
        <f>hbasin_width</f>
        <v>17</v>
      </c>
      <c r="D44" s="414" t="s">
        <v>120</v>
      </c>
      <c r="E44" s="7" t="s">
        <v>1724</v>
      </c>
    </row>
    <row r="45" spans="1:5">
      <c r="A45" s="127" t="s">
        <v>1508</v>
      </c>
      <c r="B45" s="33" t="s">
        <v>1990</v>
      </c>
      <c r="C45" s="46">
        <f>IF(hbasins=0,0,hbasin_op_depth+holding_freeboard)</f>
        <v>12</v>
      </c>
      <c r="D45" s="414" t="s">
        <v>120</v>
      </c>
      <c r="E45" s="7" t="s">
        <v>1724</v>
      </c>
    </row>
    <row r="46" spans="1:5">
      <c r="A46" s="127" t="s">
        <v>1509</v>
      </c>
      <c r="B46" s="33" t="s">
        <v>1991</v>
      </c>
      <c r="C46" s="46">
        <f>ROUND(hbasin_width*hbasin_length*hbasin_depth*7.48,0)</f>
        <v>25941</v>
      </c>
      <c r="D46" s="414" t="s">
        <v>2843</v>
      </c>
      <c r="E46" s="7" t="s">
        <v>1724</v>
      </c>
    </row>
    <row r="47" spans="1:5">
      <c r="A47" s="127" t="s">
        <v>2061</v>
      </c>
      <c r="B47" s="33" t="s">
        <v>1992</v>
      </c>
      <c r="C47" s="489">
        <f>(2*(hbasin_width*hbasins+conc_thick*(hbasins+1))*hbasin_depth*conc_thick+(hbasins+1)*hbasin_length*hbasin_depth*conc_thick+(hbasin_length+2*conc_thick)*(hbasin_width*hbasins+conc_thick*(hbasins+1))*conc_thick)/27</f>
        <v>45.370370370370374</v>
      </c>
      <c r="D47" s="414" t="s">
        <v>2824</v>
      </c>
      <c r="E47" s="7" t="s">
        <v>1724</v>
      </c>
    </row>
    <row r="48" spans="1:5">
      <c r="A48" s="127" t="s">
        <v>2109</v>
      </c>
      <c r="B48" s="33" t="s">
        <v>1993</v>
      </c>
      <c r="C48" s="489">
        <f>IF(hbasins=0,0,((hbasins*hbasin_width+(hbasins+1)*conc_thick+overexcavate)*(hbasin_length+2*conc_thick+overexcavate)*(hbasin_depth+conc_thick+overexcavate)+0.5*(3*(hbasin_depth+conc_thick+overexcavate)*(hbasin_depth+conc_thick+overexcavate)*(hbasin_length+2*conc_thick+overexcavate)))/27)</f>
        <v>702.35185185185185</v>
      </c>
      <c r="D48" s="414" t="s">
        <v>2824</v>
      </c>
      <c r="E48" s="7" t="s">
        <v>1724</v>
      </c>
    </row>
    <row r="49" spans="1:5">
      <c r="A49" s="127" t="s">
        <v>2062</v>
      </c>
      <c r="B49" s="33" t="s">
        <v>1994</v>
      </c>
      <c r="C49" s="489">
        <f>IF(hbasins=0,0,hexcavation_vol-(hbasins*hbasin_width+(hbasins+1)*conc_thick)*(hbasin_length+2*conc_thick)*(hbasin_depth+conc_thick)/27)</f>
        <v>528.53703703703707</v>
      </c>
      <c r="D49" s="414" t="s">
        <v>2824</v>
      </c>
      <c r="E49" s="7" t="s">
        <v>1724</v>
      </c>
    </row>
    <row r="50" spans="1:5">
      <c r="A50" s="127" t="s">
        <v>1705</v>
      </c>
      <c r="B50" s="33" t="s">
        <v>1995</v>
      </c>
      <c r="C50" s="489">
        <f>IF(hbasins=0,0,2*(hbasins*hbasin_width+2*conc_thick/2+(hbasins-1)*conc_thick)+2*(hbasin_length+2*conc_thick/2))</f>
        <v>72</v>
      </c>
      <c r="D50" s="414" t="s">
        <v>2526</v>
      </c>
      <c r="E50" s="7" t="s">
        <v>1724</v>
      </c>
    </row>
    <row r="51" spans="1:5">
      <c r="A51" s="475"/>
      <c r="B51" s="3"/>
      <c r="C51" s="38"/>
    </row>
    <row r="52" spans="1:5">
      <c r="A52" s="475" t="s">
        <v>1999</v>
      </c>
      <c r="B52" s="3" t="s">
        <v>1998</v>
      </c>
      <c r="C52" s="492" t="str">
        <f>IF(OR(res_s2_opt=5,res_s1_opt=2),"none",IF(AND(hbasins&lt;&gt;0,coag_res=1),"basins",IF(OUTPUT!L58=1,"basins","tanks")))</f>
        <v>tanks</v>
      </c>
      <c r="E52" s="7" t="s">
        <v>2000</v>
      </c>
    </row>
    <row r="53" spans="1:5">
      <c r="A53" s="475"/>
      <c r="B53" s="3"/>
    </row>
    <row r="54" spans="1:5">
      <c r="A54" s="574" t="s">
        <v>3619</v>
      </c>
      <c r="B54" s="3"/>
      <c r="C54" s="76"/>
      <c r="D54" s="438"/>
      <c r="E54" s="38"/>
    </row>
    <row r="55" spans="1:5">
      <c r="A55" s="575" t="s">
        <v>3594</v>
      </c>
      <c r="B55" s="3" t="s">
        <v>2541</v>
      </c>
      <c r="C55" s="26">
        <f>IF(AND(res_holding&lt;&gt;"none",coag_res=1),ROUNDUP(IF(res_holding="tanks",htank_vol,hbasin_vol)/1000*hmix_hp_per/hmix_hp_max,0),0)</f>
        <v>0</v>
      </c>
      <c r="D55" s="414" t="s">
        <v>2222</v>
      </c>
      <c r="E55" s="38"/>
    </row>
    <row r="56" spans="1:5">
      <c r="A56" s="127" t="s">
        <v>2538</v>
      </c>
      <c r="B56" s="3" t="s">
        <v>2539</v>
      </c>
      <c r="C56" s="42">
        <f>VLOOKUP(10^6,imp_mix_cost_cl,1)-0.1</f>
        <v>30</v>
      </c>
      <c r="D56" s="414" t="s">
        <v>1573</v>
      </c>
      <c r="E56" s="7" t="s">
        <v>2540</v>
      </c>
    </row>
    <row r="57" spans="1:5">
      <c r="A57" s="575" t="s">
        <v>3595</v>
      </c>
      <c r="B57" s="3" t="s">
        <v>2679</v>
      </c>
      <c r="C57" s="46">
        <f>IF(AND(res_holding&lt;&gt;"none",coag_res=1),IF(res_holding="tanks",htanks,hbasins)*hmix_per_tank,0)</f>
        <v>0</v>
      </c>
      <c r="D57" s="414" t="s">
        <v>2222</v>
      </c>
      <c r="E57" s="38"/>
    </row>
    <row r="58" spans="1:5">
      <c r="A58" s="575" t="s">
        <v>3618</v>
      </c>
      <c r="B58" s="3" t="s">
        <v>1224</v>
      </c>
      <c r="C58" s="233">
        <f>IF(AND(res_holding&lt;&gt;"none",coag_res=1),MAX(min_hmix_hp,IF(res_holding="tanks",htank_vol,hbasin_vol)/1000*hmix_hp_per/hmix_per_tank),0)</f>
        <v>0</v>
      </c>
      <c r="D58" s="414" t="s">
        <v>1573</v>
      </c>
      <c r="E58" s="38"/>
    </row>
    <row r="59" spans="1:5">
      <c r="A59" s="575"/>
      <c r="B59" s="3"/>
      <c r="C59" s="233"/>
      <c r="E59" s="38"/>
    </row>
    <row r="60" spans="1:5">
      <c r="A60" s="127" t="s">
        <v>2580</v>
      </c>
      <c r="B60" s="3" t="s">
        <v>2581</v>
      </c>
      <c r="C60" s="494">
        <f>MAX(VLOOKUP(10^6,pl_cst_cost_cl,1)-1,VLOOKUP(10^6,fg_cst_cost_cl,1)-1,VLOOKUP(10^6,ss_cst_cost_cl,1)-1)</f>
        <v>30000</v>
      </c>
      <c r="D60" s="414" t="s">
        <v>1765</v>
      </c>
      <c r="E60" s="7" t="s">
        <v>3092</v>
      </c>
    </row>
    <row r="61" spans="1:5">
      <c r="A61" s="575" t="s">
        <v>3744</v>
      </c>
      <c r="B61" s="3" t="s">
        <v>3745</v>
      </c>
      <c r="C61" s="494">
        <f>MAX(VLOOKUP(10^6,pl_cst_cost_cl,1)-1,VLOOKUP(10^6,fg_cst_cost_cl,1)-1)</f>
        <v>30000</v>
      </c>
      <c r="D61" s="414" t="s">
        <v>1765</v>
      </c>
      <c r="E61" s="7" t="s">
        <v>3748</v>
      </c>
    </row>
    <row r="62" spans="1:5">
      <c r="A62" s="575" t="s">
        <v>2589</v>
      </c>
      <c r="B62" s="3" t="s">
        <v>2590</v>
      </c>
      <c r="C62" s="517">
        <f>MAX(VLOOKUP(10^6,ss_empump_cost_cl,1)-0.01,VLOOKUP(10^6,ss_mmpump_cost_cl,1)-0.01,VLOOKUP(10^6,pvc_empump_cost_cl,1)-0.01,VLOOKUP(10^6,pvc_mmpump_cost_cl,1)-0.01)</f>
        <v>132</v>
      </c>
      <c r="D62" s="414" t="s">
        <v>2579</v>
      </c>
      <c r="E62" s="7" t="s">
        <v>3092</v>
      </c>
    </row>
    <row r="63" spans="1:5">
      <c r="A63" s="575" t="s">
        <v>3746</v>
      </c>
      <c r="B63" s="3" t="s">
        <v>3747</v>
      </c>
      <c r="C63" s="517">
        <f>MAX(VLOOKUP(10^6,pvc_empump_cost_cl,1)-0.01,VLOOKUP(10^6,pvc_mmpump_cost_cl,1)-0.01)</f>
        <v>132</v>
      </c>
      <c r="D63" s="414" t="s">
        <v>2579</v>
      </c>
      <c r="E63" s="7" t="s">
        <v>3748</v>
      </c>
    </row>
    <row r="64" spans="1:5">
      <c r="A64" s="127" t="s">
        <v>2582</v>
      </c>
      <c r="B64" s="495" t="s">
        <v>2583</v>
      </c>
      <c r="C64" s="77">
        <f>MAX(VLOOKUP(10^6,port_mix_cost_cl,1)-0.1,VLOOKUP(10^6,mount_mix_cost_cl,1)-0.1,VLOOKUP(10^6,imp_mix_cost_cl,1)-0.1)</f>
        <v>30</v>
      </c>
      <c r="D64" s="414" t="s">
        <v>1573</v>
      </c>
      <c r="E64" s="7" t="s">
        <v>3092</v>
      </c>
    </row>
    <row r="65" spans="1:5">
      <c r="A65" s="575"/>
      <c r="B65" s="3"/>
      <c r="C65" s="233"/>
      <c r="E65" s="38"/>
    </row>
    <row r="66" spans="1:5">
      <c r="A66" s="574" t="s">
        <v>2011</v>
      </c>
      <c r="B66" s="3"/>
      <c r="C66" s="233"/>
      <c r="E66" s="38"/>
    </row>
    <row r="67" spans="1:5">
      <c r="A67" s="575" t="s">
        <v>3596</v>
      </c>
      <c r="B67" s="3" t="s">
        <v>3599</v>
      </c>
      <c r="C67" s="496">
        <f>IF(AND(res_holding&lt;&gt;"none",coag_res=1,coag_type&lt;&gt;1),coag_dose*8.34*res_vol/10^6,0)</f>
        <v>0</v>
      </c>
      <c r="D67" s="414" t="s">
        <v>2255</v>
      </c>
      <c r="E67" s="544"/>
    </row>
    <row r="68" spans="1:5">
      <c r="A68" s="575" t="s">
        <v>3598</v>
      </c>
      <c r="B68" s="3" t="s">
        <v>3597</v>
      </c>
      <c r="C68" s="544">
        <f>coag_day_lbs/coag_pct/coag_density</f>
        <v>0</v>
      </c>
      <c r="D68" s="414" t="s">
        <v>2843</v>
      </c>
      <c r="E68" s="38"/>
    </row>
    <row r="69" spans="1:5">
      <c r="A69" s="575" t="s">
        <v>3740</v>
      </c>
      <c r="B69" s="3" t="s">
        <v>3600</v>
      </c>
      <c r="C69" s="496">
        <f>IF(AND(res_holding&lt;&gt;"none",coag_res=1,coag_type&lt;&gt;1),coag_dose*8.34*res_flow_annual/10^6/365*cstore_days,0)</f>
        <v>0</v>
      </c>
      <c r="D69" s="414" t="s">
        <v>2255</v>
      </c>
      <c r="E69" s="38"/>
    </row>
    <row r="70" spans="1:5">
      <c r="A70" s="575" t="s">
        <v>3601</v>
      </c>
      <c r="B70" s="3" t="s">
        <v>3602</v>
      </c>
      <c r="C70" s="544">
        <f>coag_storage_lbs/coag_pct/coag_density</f>
        <v>0</v>
      </c>
      <c r="D70" s="414" t="s">
        <v>2843</v>
      </c>
      <c r="E70" s="38"/>
    </row>
    <row r="71" spans="1:5">
      <c r="A71" s="575" t="s">
        <v>3611</v>
      </c>
      <c r="B71" s="3" t="s">
        <v>3603</v>
      </c>
      <c r="C71" s="76">
        <f>ROUNDUP(coag_storage_gal/max_chem_tank_size_noSS,0)</f>
        <v>0</v>
      </c>
      <c r="D71" s="414" t="s">
        <v>2222</v>
      </c>
      <c r="E71" s="38"/>
    </row>
    <row r="72" spans="1:5">
      <c r="A72" s="575" t="s">
        <v>3612</v>
      </c>
      <c r="B72" s="3" t="s">
        <v>3604</v>
      </c>
      <c r="C72" s="77">
        <f>IF(coag_tanks&gt;0,ROUNDUP(coag_storage_gal/coag_tanks,0),0)</f>
        <v>0</v>
      </c>
      <c r="D72" s="414" t="s">
        <v>2843</v>
      </c>
      <c r="E72" s="38"/>
    </row>
    <row r="73" spans="1:5">
      <c r="A73" s="575" t="s">
        <v>3613</v>
      </c>
      <c r="B73" s="3" t="s">
        <v>3605</v>
      </c>
      <c r="C73" s="496">
        <f>IF(AND(include_cmix=1,coag_tanks&lt;&gt;0),ROUNDUP(coag_tank_vol/1000*cmix_hp_per/cmix_hp_max,0),0)</f>
        <v>0</v>
      </c>
      <c r="D73" s="414" t="s">
        <v>2222</v>
      </c>
      <c r="E73" s="38"/>
    </row>
    <row r="74" spans="1:5">
      <c r="A74" s="575" t="s">
        <v>3614</v>
      </c>
      <c r="B74" s="3" t="s">
        <v>3606</v>
      </c>
      <c r="C74" s="6">
        <f>IF(AND(res_holding&lt;&gt;"none",coag_res=1,coag_type&lt;&gt;1),coag_tanks*coag_cmix_per_tank,0)</f>
        <v>0</v>
      </c>
      <c r="D74" s="414" t="s">
        <v>2222</v>
      </c>
      <c r="E74" s="38"/>
    </row>
    <row r="75" spans="1:5">
      <c r="A75" s="475" t="s">
        <v>2574</v>
      </c>
      <c r="B75" s="3" t="s">
        <v>3607</v>
      </c>
      <c r="C75" s="497">
        <f>IF(coag_cmixers&lt;&gt;0,MAX(min_cmix_hp,coag_tank_vol/1000*cmix_hp_per/coag_cmix_per_tank),0)</f>
        <v>0</v>
      </c>
      <c r="D75" s="414" t="s">
        <v>1573</v>
      </c>
      <c r="E75" s="38"/>
    </row>
    <row r="76" spans="1:5">
      <c r="A76" s="575" t="s">
        <v>3615</v>
      </c>
      <c r="B76" s="3" t="s">
        <v>3608</v>
      </c>
      <c r="C76" s="497">
        <f>coag_day_gal/backwash_time*60</f>
        <v>0</v>
      </c>
      <c r="D76" s="414" t="s">
        <v>2579</v>
      </c>
      <c r="E76" s="38"/>
    </row>
    <row r="77" spans="1:5">
      <c r="A77" s="575" t="s">
        <v>3616</v>
      </c>
      <c r="B77" s="3" t="s">
        <v>3609</v>
      </c>
      <c r="C77" s="27">
        <f>IF(coag_day_gal=0,0,ROUNDUP(coag_rate/max_cm_pump_size_noSS,0)+NRD_cm_pump)</f>
        <v>0</v>
      </c>
      <c r="D77" s="520" t="s">
        <v>2222</v>
      </c>
      <c r="E77" s="38"/>
    </row>
    <row r="78" spans="1:5">
      <c r="A78" s="575" t="s">
        <v>3617</v>
      </c>
      <c r="B78" s="3" t="s">
        <v>3610</v>
      </c>
      <c r="C78" s="66">
        <f>IF(coag_day_gal=0,0,MAX(min_chem_flow,coag_rate*(1+pump_safety_factor)/(cm_pumps_coag-NRD_cm_pump)))</f>
        <v>0</v>
      </c>
      <c r="D78" s="520" t="s">
        <v>2579</v>
      </c>
      <c r="E78" s="38"/>
    </row>
    <row r="79" spans="1:5">
      <c r="A79" s="575" t="s">
        <v>3741</v>
      </c>
      <c r="B79" s="3" t="s">
        <v>3742</v>
      </c>
      <c r="C79" s="414">
        <f>coag_storage_gal*coag_density</f>
        <v>0</v>
      </c>
      <c r="D79" s="520" t="s">
        <v>2255</v>
      </c>
      <c r="E79" s="38"/>
    </row>
    <row r="80" spans="1:5">
      <c r="A80" s="475"/>
      <c r="B80" s="3"/>
      <c r="C80" s="233"/>
      <c r="E80" s="38"/>
    </row>
    <row r="81" spans="1:5">
      <c r="A81" s="574" t="s">
        <v>3688</v>
      </c>
      <c r="D81"/>
    </row>
    <row r="82" spans="1:5">
      <c r="A82" s="575" t="s">
        <v>2097</v>
      </c>
      <c r="B82" s="3" t="s">
        <v>3680</v>
      </c>
      <c r="C82" s="615">
        <f>MAX(coag_tanks*coag_tank_vol*sec_cont_pct_of_total,coag_tank_vol*sec_cont_pct_of_largest)/7.48</f>
        <v>0</v>
      </c>
      <c r="D82" s="414" t="s">
        <v>1809</v>
      </c>
      <c r="E82" s="570" t="s">
        <v>3669</v>
      </c>
    </row>
    <row r="83" spans="1:5">
      <c r="A83" s="575" t="s">
        <v>3670</v>
      </c>
      <c r="B83" s="3" t="s">
        <v>3681</v>
      </c>
      <c r="C83" s="615">
        <f>IF(coag_tanks=0,0,cstore_fp-coag_tanks*PI()*(coag_st_diam/2)^2)</f>
        <v>0</v>
      </c>
      <c r="D83" s="414" t="s">
        <v>3114</v>
      </c>
      <c r="E83" s="570" t="s">
        <v>3671</v>
      </c>
    </row>
    <row r="84" spans="1:5">
      <c r="A84" s="575" t="s">
        <v>3672</v>
      </c>
      <c r="B84" s="3" t="s">
        <v>3682</v>
      </c>
      <c r="C84" s="615">
        <f>IF(coag_tanks=0,0,coag_cont_volume/coag_cont_fp+sec_cont_freeboard/12)</f>
        <v>0</v>
      </c>
      <c r="D84" s="414" t="s">
        <v>2219</v>
      </c>
    </row>
    <row r="85" spans="1:5">
      <c r="A85" s="575" t="s">
        <v>3673</v>
      </c>
      <c r="B85" s="3" t="s">
        <v>3683</v>
      </c>
      <c r="C85" s="615">
        <f>IF(coag_tanks=0,0,MIN(sec_cont_max_thick,coag_curb_height))</f>
        <v>0</v>
      </c>
      <c r="D85" s="414" t="s">
        <v>2219</v>
      </c>
    </row>
    <row r="86" spans="1:5">
      <c r="A86" s="575" t="s">
        <v>3674</v>
      </c>
      <c r="B86" s="3" t="s">
        <v>3684</v>
      </c>
      <c r="C86" s="615">
        <f>IF(coag_tanks=0,0,coag_tanks*coag_st_diam+2*space_coag_st+(coag_tanks-1)*space_coag_st+2*coag_curb_thick)</f>
        <v>0</v>
      </c>
      <c r="D86" s="414" t="s">
        <v>2219</v>
      </c>
    </row>
    <row r="87" spans="1:5">
      <c r="A87" s="575" t="s">
        <v>3675</v>
      </c>
      <c r="B87" s="3" t="s">
        <v>3685</v>
      </c>
      <c r="C87" s="615">
        <f>IF(coag_tanks=0,0,coag_st_diam+2*space_coag_st)</f>
        <v>0</v>
      </c>
      <c r="D87" s="414" t="s">
        <v>2219</v>
      </c>
    </row>
    <row r="88" spans="1:5">
      <c r="A88" s="575" t="s">
        <v>3676</v>
      </c>
      <c r="B88" s="3" t="s">
        <v>3686</v>
      </c>
      <c r="C88" s="615">
        <f>IF(coag_tanks=0,0,ROUNDUP((coag_curb_len_long*2+coag_curb_len_short*2)*coag_curb_height*coag_curb_thick/27,0))</f>
        <v>0</v>
      </c>
      <c r="D88" s="414" t="s">
        <v>2824</v>
      </c>
      <c r="E88" s="570" t="s">
        <v>3677</v>
      </c>
    </row>
    <row r="89" spans="1:5">
      <c r="A89" s="575" t="s">
        <v>3678</v>
      </c>
      <c r="B89" s="3" t="s">
        <v>3687</v>
      </c>
      <c r="C89" s="615">
        <f>IF(coag_tanks=0,0,ROUNDUP((cstore_fp+2*(coag_curb_len_long-2*coag_curb_thick)*coag_curb_height+2*coag_curb_len_short*coag_curb_height)/sec_cont_coating_cvg,0))</f>
        <v>0</v>
      </c>
      <c r="D89" s="414" t="s">
        <v>1765</v>
      </c>
      <c r="E89" s="570" t="s">
        <v>3679</v>
      </c>
    </row>
    <row r="90" spans="1:5">
      <c r="A90" s="475"/>
      <c r="B90" s="3"/>
      <c r="C90" s="233"/>
      <c r="E90" s="38"/>
    </row>
    <row r="91" spans="1:5">
      <c r="A91" s="573" t="s">
        <v>2012</v>
      </c>
      <c r="C91" s="76"/>
      <c r="D91" s="438"/>
      <c r="E91" s="38"/>
    </row>
    <row r="92" spans="1:5">
      <c r="A92" s="475" t="s">
        <v>684</v>
      </c>
      <c r="B92" s="3" t="s">
        <v>2013</v>
      </c>
      <c r="C92" s="496">
        <f>IF(AND(res_holding&lt;&gt;"none",coag_res=1,coag_type&lt;&gt;2),polymer_dose*8.34*res_vol/10^6/polymer_density,0)</f>
        <v>0</v>
      </c>
      <c r="D92" s="414" t="s">
        <v>2843</v>
      </c>
      <c r="E92" s="38"/>
    </row>
    <row r="93" spans="1:5">
      <c r="A93" s="475" t="s">
        <v>2014</v>
      </c>
      <c r="B93" s="3" t="s">
        <v>2015</v>
      </c>
      <c r="C93" s="496">
        <f>IF(AND(res_holding&lt;&gt;"none",coag_res=1,coag_type&lt;&gt;2),polymer_dose*8.34*res_flow_annual/10^6/polymer_density/365*cstore_days,0)</f>
        <v>0</v>
      </c>
      <c r="D93" s="414" t="s">
        <v>2843</v>
      </c>
      <c r="E93" s="38"/>
    </row>
    <row r="94" spans="1:5">
      <c r="A94" s="575" t="s">
        <v>3412</v>
      </c>
      <c r="B94" s="3" t="s">
        <v>3413</v>
      </c>
      <c r="C94" s="496">
        <f>polymer_storage*polymer_density</f>
        <v>0</v>
      </c>
      <c r="D94" s="414" t="s">
        <v>2255</v>
      </c>
      <c r="E94" s="38"/>
    </row>
    <row r="95" spans="1:5">
      <c r="A95" s="575" t="s">
        <v>3620</v>
      </c>
      <c r="B95" s="3" t="s">
        <v>2016</v>
      </c>
      <c r="C95" s="76">
        <f>ROUNDUP(polymer_storage/max_chem_tank_size,0)</f>
        <v>0</v>
      </c>
      <c r="D95" s="414" t="s">
        <v>2222</v>
      </c>
      <c r="E95" s="38"/>
    </row>
    <row r="96" spans="1:5">
      <c r="A96" s="575" t="s">
        <v>3621</v>
      </c>
      <c r="B96" s="3" t="s">
        <v>2571</v>
      </c>
      <c r="C96" s="77">
        <f>IF(polymer_tanks&gt;0,ROUNDUP(polymer_storage/polymer_tanks,0),0)</f>
        <v>0</v>
      </c>
      <c r="D96" s="414" t="s">
        <v>2843</v>
      </c>
      <c r="E96" s="38"/>
    </row>
    <row r="97" spans="1:5">
      <c r="A97" s="575" t="s">
        <v>3622</v>
      </c>
      <c r="B97" s="3" t="s">
        <v>2572</v>
      </c>
      <c r="C97" s="496">
        <f>IF(AND(include_cmix=1,polymer_tanks&lt;&gt;0),ROUNDUP(polymer_tank_vol/1000*cmix_hp_per/cmix_hp_max,0),0)</f>
        <v>0</v>
      </c>
      <c r="D97" s="414" t="s">
        <v>2222</v>
      </c>
      <c r="E97" s="38"/>
    </row>
    <row r="98" spans="1:5">
      <c r="A98" s="575" t="s">
        <v>3623</v>
      </c>
      <c r="B98" s="3" t="s">
        <v>2573</v>
      </c>
      <c r="C98" s="6">
        <f>IF(AND(res_holding&lt;&gt;"none",coag_res=1,coag_type&lt;&gt;2),polymer_tanks*polymer_cmix_per_tank,0)</f>
        <v>0</v>
      </c>
      <c r="D98" s="414" t="s">
        <v>2222</v>
      </c>
      <c r="E98" s="38"/>
    </row>
    <row r="99" spans="1:5">
      <c r="A99" s="575" t="s">
        <v>3624</v>
      </c>
      <c r="B99" s="3" t="s">
        <v>2575</v>
      </c>
      <c r="C99" s="497">
        <f>IF(polymer_cmixers&lt;&gt;0,MAX(min_cmix_hp,polymer_tank_vol/1000*cmix_hp_per/polymer_cmix_per_tank),0)</f>
        <v>0</v>
      </c>
      <c r="D99" s="414" t="s">
        <v>1573</v>
      </c>
      <c r="E99" s="38"/>
    </row>
    <row r="100" spans="1:5">
      <c r="A100" s="575" t="s">
        <v>3625</v>
      </c>
      <c r="B100" s="3" t="s">
        <v>2576</v>
      </c>
      <c r="C100" s="497">
        <f>polymer_day/backwash_time*60</f>
        <v>0</v>
      </c>
      <c r="D100" s="414" t="s">
        <v>2579</v>
      </c>
      <c r="E100" s="38"/>
    </row>
    <row r="101" spans="1:5">
      <c r="A101" s="575" t="s">
        <v>3626</v>
      </c>
      <c r="B101" s="3" t="s">
        <v>2577</v>
      </c>
      <c r="C101" s="27">
        <f>IF(polymer_day=0,0,ROUNDUP(polymer_rate/max_cm_pump_size,0)+NRD_cm_pump)</f>
        <v>0</v>
      </c>
      <c r="D101" s="520" t="s">
        <v>2222</v>
      </c>
      <c r="E101" s="38"/>
    </row>
    <row r="102" spans="1:5">
      <c r="A102" s="575" t="s">
        <v>3627</v>
      </c>
      <c r="B102" s="3" t="s">
        <v>2578</v>
      </c>
      <c r="C102" s="66">
        <f>IF(polymer_day=0,0,MAX(min_chem_flow,polymer_rate*(1+pump_safety_factor)/(cm_pumps_polymer-NRD_cm_pump)))</f>
        <v>0</v>
      </c>
      <c r="D102" s="520" t="s">
        <v>2579</v>
      </c>
      <c r="E102" s="38"/>
    </row>
    <row r="103" spans="1:5">
      <c r="A103" s="127"/>
      <c r="C103" s="76"/>
      <c r="D103" s="438"/>
      <c r="E103" s="38"/>
    </row>
    <row r="104" spans="1:5">
      <c r="A104" s="574" t="s">
        <v>715</v>
      </c>
      <c r="B104" s="3"/>
      <c r="C104" s="76"/>
      <c r="D104" s="438"/>
      <c r="E104" s="38"/>
    </row>
    <row r="105" spans="1:5">
      <c r="A105" s="475" t="s">
        <v>311</v>
      </c>
      <c r="B105" s="3" t="s">
        <v>312</v>
      </c>
      <c r="C105">
        <f>IF(AND(add_on=1,res_pump_addon=0),0,IF(res_holding&lt;&gt;"none",ROUNDUP(res_flow*(1+pump_safety_factor)/max_pump_size,0)+NRD_res_pump,0))</f>
        <v>2</v>
      </c>
      <c r="D105" s="414" t="s">
        <v>2222</v>
      </c>
      <c r="E105" s="38"/>
    </row>
    <row r="106" spans="1:5">
      <c r="A106" s="475" t="s">
        <v>313</v>
      </c>
      <c r="B106" s="3" t="s">
        <v>314</v>
      </c>
      <c r="C106" s="52">
        <f>IF(add_on=1,0,IF(res_holding&lt;&gt;"none",res_flow*(1+pump_safety_factor)/(res_pumps-NRD_res_pump),0))</f>
        <v>11.681547619047619</v>
      </c>
      <c r="D106" s="414" t="s">
        <v>1762</v>
      </c>
    </row>
    <row r="107" spans="1:5">
      <c r="A107" s="475"/>
      <c r="B107" s="3"/>
      <c r="C107" s="52"/>
    </row>
    <row r="108" spans="1:5">
      <c r="A108" s="574" t="s">
        <v>1623</v>
      </c>
      <c r="B108" s="3"/>
      <c r="C108" s="52"/>
    </row>
    <row r="109" spans="1:5">
      <c r="A109" s="127" t="s">
        <v>1737</v>
      </c>
      <c r="B109" s="3" t="s">
        <v>1624</v>
      </c>
      <c r="C109" s="25">
        <f>res_solids*2000/htransfer_time</f>
        <v>614.48151138693538</v>
      </c>
      <c r="D109" s="414" t="s">
        <v>1075</v>
      </c>
    </row>
    <row r="110" spans="1:5">
      <c r="A110" s="127" t="s">
        <v>1625</v>
      </c>
      <c r="B110" s="3" t="s">
        <v>1626</v>
      </c>
      <c r="C110" s="236">
        <f>res_transfer_rate/(ht_solids_density/7.48*60)</f>
        <v>3.0642144701161849</v>
      </c>
      <c r="D110" s="414" t="s">
        <v>1762</v>
      </c>
    </row>
    <row r="111" spans="1:5">
      <c r="A111" s="127" t="s">
        <v>1627</v>
      </c>
      <c r="B111" s="3" t="s">
        <v>1628</v>
      </c>
      <c r="C111" s="28">
        <f>IF(res_transfer_method=1,1,0)</f>
        <v>0</v>
      </c>
      <c r="D111" s="414" t="s">
        <v>2222</v>
      </c>
    </row>
    <row r="112" spans="1:5">
      <c r="A112" s="127" t="s">
        <v>2622</v>
      </c>
      <c r="B112" s="3" t="s">
        <v>1629</v>
      </c>
      <c r="C112" s="84">
        <f>IF(res_transfer_method&lt;&gt;2,0,ROUNDUP(res_transfer_rate_gal/max_eductor_size,0))</f>
        <v>0</v>
      </c>
      <c r="D112" s="414" t="s">
        <v>2222</v>
      </c>
    </row>
    <row r="113" spans="1:5">
      <c r="A113" s="127" t="s">
        <v>1630</v>
      </c>
      <c r="B113" s="3" t="s">
        <v>1631</v>
      </c>
      <c r="C113" s="25">
        <f>IF(res_eductors=0,0,res_transfer_rate_gal/res_eductors)</f>
        <v>0</v>
      </c>
      <c r="D113" s="414" t="s">
        <v>1762</v>
      </c>
    </row>
    <row r="114" spans="1:5">
      <c r="A114" s="127" t="s">
        <v>1076</v>
      </c>
      <c r="B114" s="3" t="s">
        <v>1632</v>
      </c>
      <c r="C114" s="26" t="str">
        <f>IF(res_transfer_method=2,VLOOKUP(res_eff_transfer_rate,eductor_size_table_cl,2),"NA")</f>
        <v>NA</v>
      </c>
      <c r="D114" s="414" t="s">
        <v>531</v>
      </c>
    </row>
    <row r="115" spans="1:5">
      <c r="A115" s="475"/>
      <c r="B115" s="3"/>
    </row>
    <row r="116" spans="1:5">
      <c r="A116" s="574" t="s">
        <v>2930</v>
      </c>
      <c r="B116" s="3"/>
    </row>
    <row r="117" spans="1:5">
      <c r="A117" s="475" t="s">
        <v>2931</v>
      </c>
      <c r="B117" s="3" t="s">
        <v>2932</v>
      </c>
      <c r="C117">
        <f>IF(res_s2_opt=5,0,ROUNDUP(MAX(spent_media*2000/GAC_density,IF(res_s2_opt=4,0,(res_solids*2000/ht_solids_density)/solids_storage_height)),-1))</f>
        <v>2520</v>
      </c>
      <c r="D117" s="414" t="s">
        <v>1595</v>
      </c>
      <c r="E117" s="7" t="s">
        <v>3152</v>
      </c>
    </row>
    <row r="118" spans="1:5">
      <c r="A118" s="475" t="s">
        <v>2933</v>
      </c>
      <c r="B118" s="3" t="s">
        <v>2934</v>
      </c>
      <c r="C118">
        <f>ROUNDUP(solids_pad_area*IF(ss_cat2=1,pad_thick_small,pad_thick)/27,0)</f>
        <v>47</v>
      </c>
      <c r="D118" s="414" t="s">
        <v>2935</v>
      </c>
    </row>
    <row r="119" spans="1:5">
      <c r="A119" s="475"/>
      <c r="B119" s="3"/>
    </row>
    <row r="120" spans="1:5">
      <c r="A120" s="574" t="s">
        <v>2524</v>
      </c>
      <c r="B120" s="3"/>
    </row>
    <row r="121" spans="1:5">
      <c r="A121" s="127" t="s">
        <v>123</v>
      </c>
      <c r="B121" s="3" t="s">
        <v>119</v>
      </c>
      <c r="C121" s="31">
        <f>res_pipe_mult*facil_length+IF(AND(add_on=1,include_add_res_pipe_addon=0),0,add_res_pipe_length)</f>
        <v>110</v>
      </c>
      <c r="D121" s="414" t="s">
        <v>120</v>
      </c>
    </row>
    <row r="122" spans="1:5">
      <c r="A122" s="127" t="s">
        <v>315</v>
      </c>
      <c r="B122" s="3" t="s">
        <v>316</v>
      </c>
      <c r="C122" s="31">
        <f>MAX(min_res_pipe_size,VLOOKUP(res_flow,pipe_size_table_cl,2))</f>
        <v>1.5</v>
      </c>
      <c r="D122" s="414" t="s">
        <v>531</v>
      </c>
    </row>
    <row r="123" spans="1:5">
      <c r="A123" s="127" t="s">
        <v>1479</v>
      </c>
      <c r="B123" s="3" t="s">
        <v>1480</v>
      </c>
      <c r="C123" s="31">
        <f>IF(OR(AND(add_on=1,include_add_res_pipe_addon=0),res_s2_opt=3),0,add_res_pipe_length)</f>
        <v>0</v>
      </c>
      <c r="D123" s="414" t="s">
        <v>120</v>
      </c>
    </row>
    <row r="124" spans="1:5">
      <c r="A124" s="127" t="s">
        <v>1897</v>
      </c>
      <c r="B124" s="3" t="s">
        <v>147</v>
      </c>
      <c r="C124">
        <f>MAX(frost,min_trench_depth)</f>
        <v>38</v>
      </c>
      <c r="D124" s="414" t="s">
        <v>2527</v>
      </c>
    </row>
    <row r="125" spans="1:5">
      <c r="A125" s="127" t="s">
        <v>126</v>
      </c>
      <c r="B125" s="3" t="s">
        <v>148</v>
      </c>
      <c r="C125" s="401">
        <f>VLOOKUP(res_pipe_diam,thrust_block_table_cl,2)*2.2</f>
        <v>764.79838682438469</v>
      </c>
      <c r="D125" s="414" t="s">
        <v>531</v>
      </c>
    </row>
    <row r="126" spans="1:5">
      <c r="A126" s="127" t="s">
        <v>128</v>
      </c>
      <c r="B126" s="3" t="s">
        <v>149</v>
      </c>
      <c r="C126">
        <f>1.5*res_thrust_force/(soil_dens*(res_trn_depth/12+res_pipe_diam/12)*Coeff_Kp*Reduction)</f>
        <v>2.5645578679308643</v>
      </c>
      <c r="D126" s="414" t="s">
        <v>2255</v>
      </c>
    </row>
    <row r="127" spans="1:5">
      <c r="A127" s="127" t="s">
        <v>129</v>
      </c>
      <c r="B127" s="3"/>
      <c r="C127">
        <f>res_bearing_area/C128</f>
        <v>2.2647551160913024</v>
      </c>
      <c r="D127" s="414" t="s">
        <v>1595</v>
      </c>
    </row>
    <row r="128" spans="1:5">
      <c r="A128" s="127" t="s">
        <v>130</v>
      </c>
      <c r="B128" s="3"/>
      <c r="C128">
        <f>(res_bearing_area/2)^0.5</f>
        <v>1.1323775580456512</v>
      </c>
      <c r="D128" s="414" t="s">
        <v>120</v>
      </c>
    </row>
    <row r="129" spans="1:5">
      <c r="A129" s="127" t="s">
        <v>131</v>
      </c>
      <c r="B129" s="3"/>
      <c r="C129">
        <f>MAX(0.5,res_pipe_diam/12)</f>
        <v>0.5</v>
      </c>
      <c r="D129" s="414" t="s">
        <v>120</v>
      </c>
    </row>
    <row r="130" spans="1:5">
      <c r="A130" s="127" t="s">
        <v>132</v>
      </c>
      <c r="B130" s="3"/>
      <c r="C130">
        <f>C127/2</f>
        <v>1.1323775580456512</v>
      </c>
      <c r="D130" s="414" t="s">
        <v>120</v>
      </c>
    </row>
    <row r="131" spans="1:5">
      <c r="A131" s="127" t="s">
        <v>135</v>
      </c>
      <c r="B131" s="3" t="s">
        <v>150</v>
      </c>
      <c r="C131" s="129">
        <f>IF(OR(buried_res_pipe_length=0,res_pipe_diam=0),0,(C130+(C123/12)/2)*(C127+C129)/2*C128/27)</f>
        <v>0</v>
      </c>
      <c r="D131" s="414" t="s">
        <v>1591</v>
      </c>
    </row>
    <row r="132" spans="1:5">
      <c r="A132" s="127" t="s">
        <v>151</v>
      </c>
      <c r="B132" s="3" t="s">
        <v>152</v>
      </c>
      <c r="C132" s="57">
        <f>IF(res_pipe_diam=0,0,(res_pipe_diam/12+2)*(bedding_depth/12+res_pipe_diam/12+res_trn_depth/12)+(bedding_depth/12+res_pipe_diam/12+res_trn_depth/12)^2*TAN(trench_angle))</f>
        <v>22.434027777777775</v>
      </c>
      <c r="D132" s="414" t="s">
        <v>1591</v>
      </c>
    </row>
    <row r="133" spans="1:5">
      <c r="A133" s="127" t="s">
        <v>153</v>
      </c>
      <c r="B133" s="3"/>
      <c r="C133" s="15">
        <f>res_trench_area*buried_res_pipe_length/27</f>
        <v>0</v>
      </c>
      <c r="D133" s="414" t="s">
        <v>1595</v>
      </c>
    </row>
    <row r="134" spans="1:5">
      <c r="A134" s="127" t="s">
        <v>2198</v>
      </c>
      <c r="B134" s="3" t="s">
        <v>2199</v>
      </c>
      <c r="C134" s="15">
        <f>IF(OR(buried_res_pipe_length=0,res_pipe_diam=0),0,C133+res_block_vol)</f>
        <v>0</v>
      </c>
      <c r="D134" s="414" t="s">
        <v>1591</v>
      </c>
    </row>
    <row r="135" spans="1:5">
      <c r="A135" s="127" t="s">
        <v>1337</v>
      </c>
      <c r="B135" s="3"/>
      <c r="C135" s="58">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1.4087336529324048</v>
      </c>
      <c r="D135" s="414" t="s">
        <v>1595</v>
      </c>
    </row>
    <row r="136" spans="1:5">
      <c r="A136" s="127" t="s">
        <v>1345</v>
      </c>
      <c r="B136" s="3" t="s">
        <v>2200</v>
      </c>
      <c r="C136">
        <f>C135*buried_res_pipe_length/2/27</f>
        <v>0</v>
      </c>
      <c r="D136" s="414" t="s">
        <v>1591</v>
      </c>
    </row>
    <row r="137" spans="1:5">
      <c r="A137" s="127"/>
      <c r="B137" s="3"/>
      <c r="C137" s="31"/>
    </row>
    <row r="138" spans="1:5">
      <c r="A138" s="574" t="s">
        <v>317</v>
      </c>
      <c r="B138" s="3"/>
      <c r="C138" s="31"/>
    </row>
    <row r="139" spans="1:5">
      <c r="A139" s="475" t="s">
        <v>318</v>
      </c>
      <c r="B139" s="3" t="s">
        <v>319</v>
      </c>
      <c r="C139" s="31">
        <f>res_pipe_diam</f>
        <v>1.5</v>
      </c>
      <c r="D139" s="414" t="s">
        <v>531</v>
      </c>
      <c r="E139" s="78"/>
    </row>
    <row r="140" spans="1:5">
      <c r="A140" s="127" t="s">
        <v>320</v>
      </c>
      <c r="B140" s="3" t="s">
        <v>321</v>
      </c>
      <c r="C140" s="38">
        <f>VLOOKUP("res_MOV_pump",valve_table,manual+1,FALSE)*res_pumps+VLOOKUP("res_MOV_tank",valve_table,manual+1,FALSE)*IF(res_holding="tanks",htanks,IF(res_holding="basins",hbasins,0))+VLOOKUP("res_MOV_ep",valve_table,manual+1,FALSE)*ep_cells</f>
        <v>0</v>
      </c>
      <c r="D140" s="414" t="s">
        <v>1766</v>
      </c>
    </row>
    <row r="141" spans="1:5">
      <c r="A141" s="127" t="s">
        <v>2957</v>
      </c>
      <c r="B141" s="3" t="s">
        <v>2958</v>
      </c>
      <c r="C141" s="38">
        <f>VLOOKUP("res_man_pump",valve_table,manual+1,FALSE)*res_pumps+VLOOKUP("res_man_tank",valve_table,manual+1,FALSE)*IF(res_holding="tanks",htanks,IF(res_holding="basins",hbasins,0))+VLOOKUP("res_man_ep",valve_table,manual+1,FALSE)*ep_cells</f>
        <v>3</v>
      </c>
      <c r="D141" s="414" t="s">
        <v>1766</v>
      </c>
    </row>
    <row r="142" spans="1:5">
      <c r="A142" s="127" t="s">
        <v>322</v>
      </c>
      <c r="B142" s="3" t="s">
        <v>323</v>
      </c>
      <c r="C142">
        <f>res_chv_pump*res_pumps+IF(res_pumps=0,res_chv_no_pump,0)</f>
        <v>2</v>
      </c>
      <c r="D142" s="414" t="s">
        <v>1766</v>
      </c>
    </row>
    <row r="143" spans="1:5">
      <c r="A143" s="127" t="s">
        <v>2158</v>
      </c>
      <c r="B143" s="3" t="s">
        <v>324</v>
      </c>
      <c r="C143">
        <f>IF(res_holding="tanks",htanks,IF(res_holding="basins",hbasins,0))*alarm_res</f>
        <v>1</v>
      </c>
      <c r="D143" s="414" t="s">
        <v>2222</v>
      </c>
    </row>
    <row r="144" spans="1:5">
      <c r="A144" s="127" t="s">
        <v>325</v>
      </c>
      <c r="B144" s="3" t="s">
        <v>326</v>
      </c>
      <c r="C144" s="31">
        <f>res_pipe_diam</f>
        <v>1.5</v>
      </c>
      <c r="D144" s="414" t="s">
        <v>531</v>
      </c>
    </row>
    <row r="145" spans="1:5">
      <c r="A145" s="127"/>
      <c r="B145" s="3"/>
      <c r="C145" s="31"/>
    </row>
    <row r="146" spans="1:5">
      <c r="A146" s="574" t="s">
        <v>514</v>
      </c>
      <c r="B146" s="3"/>
      <c r="C146" s="31"/>
    </row>
    <row r="147" spans="1:5">
      <c r="A147" s="127" t="s">
        <v>3090</v>
      </c>
      <c r="B147" s="3" t="s">
        <v>3091</v>
      </c>
      <c r="C147" s="489">
        <f>VLOOKUP(10^6,septic_tank_cost_cl,1)-1</f>
        <v>100000</v>
      </c>
      <c r="D147" s="414" t="s">
        <v>2843</v>
      </c>
      <c r="E147" s="7" t="s">
        <v>3092</v>
      </c>
    </row>
    <row r="148" spans="1:5">
      <c r="A148" s="475" t="s">
        <v>515</v>
      </c>
      <c r="B148" s="3" t="s">
        <v>516</v>
      </c>
      <c r="C148">
        <f>IF(res_s2_opt&lt;&gt;4,0,ROUNDUP(res_vol*sept_tank_sf/max_sept_tank_vol,0))</f>
        <v>0</v>
      </c>
      <c r="D148" s="414" t="s">
        <v>2222</v>
      </c>
    </row>
    <row r="149" spans="1:5">
      <c r="A149" s="127" t="s">
        <v>517</v>
      </c>
      <c r="B149" s="3" t="s">
        <v>518</v>
      </c>
      <c r="C149" s="38">
        <f>IF(num_sept_tanks=0,0,MAX(res_vol*sept_tank_sf,min_sept_tank_vol)/num_sept_tanks)</f>
        <v>0</v>
      </c>
      <c r="D149" s="414" t="s">
        <v>2843</v>
      </c>
      <c r="E149" s="7"/>
    </row>
    <row r="150" spans="1:5">
      <c r="A150" s="127" t="s">
        <v>519</v>
      </c>
      <c r="B150" s="3" t="s">
        <v>520</v>
      </c>
      <c r="C150" s="38">
        <f>IF(num_sept_tanks=0,0,res_vol*sept_tank_sf/MIN(min_sept_disch_time,res_stagger_time/(24*60)))</f>
        <v>0</v>
      </c>
      <c r="D150" s="414" t="s">
        <v>3078</v>
      </c>
      <c r="E150" s="7"/>
    </row>
    <row r="151" spans="1:5">
      <c r="A151" s="127" t="s">
        <v>521</v>
      </c>
      <c r="B151" s="3" t="s">
        <v>522</v>
      </c>
      <c r="C151" s="38">
        <f>sept_design_flow/sept_LTAR</f>
        <v>0</v>
      </c>
      <c r="D151" s="414" t="s">
        <v>3079</v>
      </c>
      <c r="E151" s="7"/>
    </row>
    <row r="152" spans="1:5" ht="13.5" customHeight="1">
      <c r="A152" s="127" t="s">
        <v>523</v>
      </c>
      <c r="B152" s="3" t="s">
        <v>524</v>
      </c>
      <c r="C152" s="38">
        <f>sept_infil_area*sept_trench_w/(sept_trench_w+2*sept_gravel_d_below)</f>
        <v>0</v>
      </c>
      <c r="D152" s="414" t="s">
        <v>3079</v>
      </c>
      <c r="E152" s="7" t="s">
        <v>3080</v>
      </c>
    </row>
    <row r="153" spans="1:5">
      <c r="A153" s="127" t="s">
        <v>525</v>
      </c>
      <c r="B153" s="3" t="s">
        <v>526</v>
      </c>
      <c r="C153" s="10">
        <f>IF(num_sept_tanks=0,0,MAX(sept_min_trenches,ROUNDUP(sept_trench_bot_area/(sept_trench_w*sept_max_trench_l),0)))</f>
        <v>0</v>
      </c>
      <c r="E153" s="7"/>
    </row>
    <row r="154" spans="1:5">
      <c r="A154" s="127" t="s">
        <v>3062</v>
      </c>
      <c r="B154" s="3" t="s">
        <v>3063</v>
      </c>
      <c r="C154" s="38">
        <f>IF(num_sept_tanks=0,0,sept_trench_bot_area/(sept_trenches*sept_trench_w))</f>
        <v>0</v>
      </c>
      <c r="D154" s="414" t="s">
        <v>2219</v>
      </c>
      <c r="E154" s="7"/>
    </row>
    <row r="155" spans="1:5">
      <c r="A155" s="127" t="s">
        <v>3064</v>
      </c>
      <c r="B155" s="3" t="s">
        <v>3065</v>
      </c>
      <c r="C155" s="38">
        <f>sept_trench_l*sept_trenches*sept_trench_w*sept_gravel_d/27</f>
        <v>0</v>
      </c>
      <c r="D155" s="414" t="s">
        <v>3081</v>
      </c>
      <c r="E155" s="7"/>
    </row>
    <row r="156" spans="1:5">
      <c r="A156" s="127" t="s">
        <v>3066</v>
      </c>
      <c r="B156" s="3" t="s">
        <v>3067</v>
      </c>
      <c r="C156" s="38">
        <f>sept_trench_l*sept_trenches*sept_trench_d*sept_trench_w/27</f>
        <v>0</v>
      </c>
      <c r="D156" s="414" t="s">
        <v>3081</v>
      </c>
      <c r="E156" s="7"/>
    </row>
    <row r="157" spans="1:5">
      <c r="A157" s="127" t="s">
        <v>3068</v>
      </c>
      <c r="B157" s="3" t="s">
        <v>3069</v>
      </c>
      <c r="C157" s="38">
        <f>(sept_tank_vol/7.48)^(1/3)</f>
        <v>0</v>
      </c>
      <c r="D157" s="414" t="s">
        <v>2219</v>
      </c>
      <c r="E157" s="7" t="s">
        <v>3082</v>
      </c>
    </row>
    <row r="158" spans="1:5">
      <c r="A158" s="127" t="s">
        <v>3070</v>
      </c>
      <c r="B158" s="3" t="s">
        <v>3071</v>
      </c>
      <c r="C158" s="38">
        <f>num_sept_tanks*(sept_tank_vol/7.48+(sept_tank_side+sept_overexcav*2)^2*sept_overexcav+(sept_tank_side+sept_overexcav*2)*sept_tank_side*2*sept_overexcav+sept_tank_side^2*2*sept_overexcav)/27</f>
        <v>0</v>
      </c>
      <c r="D158" s="414" t="s">
        <v>3081</v>
      </c>
      <c r="E158" s="7"/>
    </row>
    <row r="159" spans="1:5">
      <c r="A159" s="127" t="s">
        <v>3072</v>
      </c>
      <c r="B159" s="3" t="s">
        <v>3073</v>
      </c>
      <c r="C159">
        <f>ROUNDUP(sept_trenches/sept_dist_connections,0)</f>
        <v>0</v>
      </c>
      <c r="E159" s="7"/>
    </row>
    <row r="160" spans="1:5">
      <c r="A160" s="127" t="s">
        <v>3074</v>
      </c>
      <c r="B160" s="3" t="s">
        <v>3075</v>
      </c>
      <c r="C160" s="38">
        <f>sept_trenches*sept_trench_l</f>
        <v>0</v>
      </c>
      <c r="D160" s="414" t="s">
        <v>2219</v>
      </c>
      <c r="E160" s="7" t="s">
        <v>3083</v>
      </c>
    </row>
    <row r="161" spans="1:5">
      <c r="A161" s="127" t="s">
        <v>3076</v>
      </c>
      <c r="B161" s="3" t="s">
        <v>3077</v>
      </c>
      <c r="C161" s="38">
        <f>IF(num_sept_tanks=0,0,((sept_trench_l+sept_buffer*2)*(sept_trenches*sept_trench_w+(sept_trenches-1)*sept_trench_dist+sept_buffer*2))+sept_tank_side^2)</f>
        <v>0</v>
      </c>
      <c r="D161" s="414" t="s">
        <v>3079</v>
      </c>
      <c r="E161" s="7"/>
    </row>
    <row r="162" spans="1:5">
      <c r="A162" s="127"/>
      <c r="B162" s="3"/>
      <c r="C162" s="52"/>
    </row>
    <row r="163" spans="1:5">
      <c r="A163" s="574" t="s">
        <v>2334</v>
      </c>
      <c r="C163" s="52"/>
    </row>
    <row r="164" spans="1:5">
      <c r="A164" s="127" t="s">
        <v>2335</v>
      </c>
      <c r="B164" s="3" t="s">
        <v>2336</v>
      </c>
      <c r="C164" s="17">
        <f>IF(res_s2_opt=5,(res_flow_annual/7.48)*ep_safety_factor/((pan_evap*evap_ratio-precip)*0.0328),0)</f>
        <v>0</v>
      </c>
      <c r="D164" s="414" t="s">
        <v>3114</v>
      </c>
    </row>
    <row r="165" spans="1:5">
      <c r="A165" s="127" t="s">
        <v>2337</v>
      </c>
      <c r="B165" s="3" t="s">
        <v>2338</v>
      </c>
      <c r="C165" s="20">
        <f>IF(res_s2_opt=5,ep_solids/ep_solids_density/ep_total_sa,0)</f>
        <v>0</v>
      </c>
      <c r="D165" s="414" t="s">
        <v>2219</v>
      </c>
    </row>
    <row r="166" spans="1:5">
      <c r="A166" s="127" t="s">
        <v>2339</v>
      </c>
      <c r="B166" s="3" t="s">
        <v>2340</v>
      </c>
      <c r="C166" s="20">
        <f>IF(res_s2_opt=5,(res_flow_annual/7.48)*winter_days/365/ep_total_sa,0)</f>
        <v>0</v>
      </c>
      <c r="D166" s="414" t="s">
        <v>2219</v>
      </c>
    </row>
    <row r="167" spans="1:5">
      <c r="A167" s="127" t="s">
        <v>2341</v>
      </c>
      <c r="B167" s="3" t="s">
        <v>2342</v>
      </c>
      <c r="C167" s="129">
        <f>IF(res_s2_opt=5,ep_solids_depth+ep_water_depth+ep_freeboard,0)</f>
        <v>0</v>
      </c>
      <c r="D167" s="414" t="s">
        <v>2219</v>
      </c>
      <c r="E167" s="7" t="s">
        <v>2355</v>
      </c>
    </row>
    <row r="168" spans="1:5">
      <c r="A168" s="127" t="s">
        <v>2343</v>
      </c>
      <c r="B168" s="3" t="s">
        <v>2344</v>
      </c>
      <c r="C168">
        <f>IF(res_s2_opt=5,IF(ROUNDUP(ep_total_sa/(max_ep_cell_area*43560),0)&lt;min_ep_cells,min_ep_cells,ROUNDUP(ep_total_sa/(max_ep_cell_area*43560),0)),0)</f>
        <v>0</v>
      </c>
      <c r="D168" s="414" t="s">
        <v>2356</v>
      </c>
    </row>
    <row r="169" spans="1:5">
      <c r="A169" s="127" t="s">
        <v>2345</v>
      </c>
      <c r="B169" s="3" t="s">
        <v>2346</v>
      </c>
      <c r="C169" s="10">
        <f>IF(res_s2_opt=5,SQRT(ep_total_sa/ep_cells),0)</f>
        <v>0</v>
      </c>
      <c r="D169" s="414" t="s">
        <v>2219</v>
      </c>
    </row>
    <row r="170" spans="1:5">
      <c r="A170" s="127" t="s">
        <v>2347</v>
      </c>
      <c r="B170" s="3" t="s">
        <v>2348</v>
      </c>
      <c r="C170" s="17">
        <f>IF(res_s2_opt=5,ROUNDUP(((ep_cell_side+ep_overexcavate)^2*(ep_depth+ep_overexcavate)+0.5*(3*(ep_depth+ep_overexcavate)*(ep_cell_side+ep_overexcavate)*(ep_depth+ep_overexcavate)))*ep_cells/27,0),0)</f>
        <v>0</v>
      </c>
      <c r="D170" s="414" t="s">
        <v>2824</v>
      </c>
    </row>
    <row r="171" spans="1:5">
      <c r="A171" s="127" t="s">
        <v>2349</v>
      </c>
      <c r="B171" s="3" t="s">
        <v>2350</v>
      </c>
      <c r="C171" s="17">
        <f>IF(res_s2_opt=5,ROUNDUP(ep_excavation_vol-(ep_cell_side^2*ep_depth*ep_cells)/27,0),0)</f>
        <v>0</v>
      </c>
      <c r="D171" s="414" t="s">
        <v>2824</v>
      </c>
    </row>
    <row r="172" spans="1:5">
      <c r="A172" s="127" t="s">
        <v>2351</v>
      </c>
      <c r="B172" s="3" t="s">
        <v>2352</v>
      </c>
      <c r="C172" s="17">
        <f>IF(res_s2_opt=5,ep_cells*ep_cell_side*4*dike_xsection/27,0)</f>
        <v>0</v>
      </c>
      <c r="D172" s="414" t="s">
        <v>2824</v>
      </c>
    </row>
    <row r="173" spans="1:5">
      <c r="A173" s="127" t="s">
        <v>2353</v>
      </c>
      <c r="B173" s="3" t="s">
        <v>2354</v>
      </c>
      <c r="C173" s="17">
        <f>(ep_cell_side^2+ep_cell_side*(ep_depth+2)*4)*ep_cells</f>
        <v>0</v>
      </c>
      <c r="D173" s="414" t="s">
        <v>3114</v>
      </c>
      <c r="E173" s="7" t="s">
        <v>2357</v>
      </c>
    </row>
    <row r="174" spans="1:5">
      <c r="B174" s="3"/>
      <c r="C174" s="52"/>
    </row>
    <row r="175" spans="1:5">
      <c r="A175" s="2" t="s">
        <v>2986</v>
      </c>
      <c r="B175" s="3"/>
      <c r="C175" s="52"/>
    </row>
    <row r="176" spans="1:5">
      <c r="A176" s="574" t="s">
        <v>715</v>
      </c>
      <c r="B176" s="3"/>
    </row>
    <row r="177" spans="1:5">
      <c r="A177" s="127" t="s">
        <v>327</v>
      </c>
      <c r="B177" s="3"/>
      <c r="C177" s="38">
        <f>IF(res_pumps=0,0,res_flow_actual*res_pump_psi/(res_pumps-NRD_res_pump)/pump_efficiency/14.7*33.9*8.34/550/60)</f>
        <v>9.0776533557145808E-2</v>
      </c>
      <c r="D177" s="414" t="s">
        <v>1573</v>
      </c>
    </row>
    <row r="178" spans="1:5">
      <c r="A178" s="127" t="s">
        <v>328</v>
      </c>
      <c r="B178" s="3"/>
      <c r="C178" s="30">
        <f>C177*0.7457/1000*24*365</f>
        <v>0.59298245500441726</v>
      </c>
      <c r="D178" s="414" t="s">
        <v>2432</v>
      </c>
    </row>
    <row r="179" spans="1:5">
      <c r="A179" s="127" t="s">
        <v>329</v>
      </c>
      <c r="B179" s="3" t="s">
        <v>330</v>
      </c>
      <c r="C179" s="30">
        <f>C178*(res_pumps-NRD_res_pump)</f>
        <v>0.59298245500441726</v>
      </c>
      <c r="D179" s="414" t="s">
        <v>2432</v>
      </c>
    </row>
    <row r="180" spans="1:5">
      <c r="A180" s="127" t="s">
        <v>331</v>
      </c>
      <c r="B180" s="3" t="s">
        <v>332</v>
      </c>
      <c r="C180" s="12">
        <f>IF(OUTPUT!J169="--",0,OUTPUT!J169*booster_pump_maintenance)</f>
        <v>85.327909343812067</v>
      </c>
      <c r="D180" s="544" t="s">
        <v>1575</v>
      </c>
      <c r="E180" s="7"/>
    </row>
    <row r="181" spans="1:5">
      <c r="A181" s="127"/>
      <c r="B181" s="3"/>
    </row>
    <row r="182" spans="1:5">
      <c r="A182" s="574" t="s">
        <v>2683</v>
      </c>
      <c r="B182" s="3"/>
      <c r="C182" s="12"/>
      <c r="D182" s="544"/>
    </row>
    <row r="183" spans="1:5">
      <c r="A183" s="575" t="s">
        <v>3743</v>
      </c>
      <c r="B183" s="3" t="s">
        <v>2684</v>
      </c>
      <c r="C183" s="46">
        <f>IF(AND(res_holding&lt;&gt;"none",coag_res=1, coag_type&lt;&gt;1),coag_dose*8.34*res_flow_annual/10^6,0)/coag_pct</f>
        <v>0</v>
      </c>
      <c r="D183" s="414" t="s">
        <v>2255</v>
      </c>
    </row>
    <row r="184" spans="1:5">
      <c r="A184" s="475" t="s">
        <v>2591</v>
      </c>
      <c r="B184" s="3" t="s">
        <v>2592</v>
      </c>
      <c r="C184" s="46">
        <f>IF(AND(res_holding&lt;&gt;"none",coag_res=1, coag_type&lt;&gt;2),polymer_dose*8.34*res_flow_annual/10^6,0)</f>
        <v>0</v>
      </c>
      <c r="D184" s="414" t="s">
        <v>2255</v>
      </c>
    </row>
    <row r="185" spans="1:5">
      <c r="A185" s="127"/>
      <c r="B185" s="3"/>
    </row>
    <row r="186" spans="1:5">
      <c r="A186" s="814" t="s">
        <v>3452</v>
      </c>
      <c r="B186" s="815"/>
      <c r="C186" s="815"/>
      <c r="D186" s="815"/>
      <c r="E186" s="815"/>
    </row>
    <row r="187" spans="1:5">
      <c r="A187" s="816" t="s">
        <v>3453</v>
      </c>
      <c r="B187" s="815"/>
      <c r="C187" s="817" t="e">
        <f>VLOOKUP("Ferric Chloride - Large Qty",chem_break_table_cl,2,FALSE)</f>
        <v>#N/A</v>
      </c>
      <c r="D187" s="815" t="s">
        <v>2255</v>
      </c>
      <c r="E187" s="570" t="s">
        <v>3454</v>
      </c>
    </row>
    <row r="188" spans="1:5">
      <c r="A188" s="816" t="s">
        <v>3455</v>
      </c>
      <c r="B188" s="815"/>
      <c r="C188" s="817" t="e">
        <f>VLOOKUP("Ferric Chloride - Mid Qty",chem_break_table_cl,2,FALSE)</f>
        <v>#N/A</v>
      </c>
      <c r="D188" s="815" t="s">
        <v>2255</v>
      </c>
      <c r="E188" s="570" t="s">
        <v>3454</v>
      </c>
    </row>
    <row r="189" spans="1:5">
      <c r="A189" s="816" t="s">
        <v>3456</v>
      </c>
      <c r="B189" s="815"/>
      <c r="C189" s="817" t="e">
        <f>VLOOKUP("Ferric Chloride - Small Qty",chem_break_table_cl,2,FALSE)</f>
        <v>#N/A</v>
      </c>
      <c r="D189" s="815" t="s">
        <v>2255</v>
      </c>
      <c r="E189" s="570" t="s">
        <v>3454</v>
      </c>
    </row>
    <row r="190" spans="1:5">
      <c r="A190" s="816" t="s">
        <v>3457</v>
      </c>
      <c r="B190" s="818" t="s">
        <v>3458</v>
      </c>
      <c r="C190" s="815" t="str">
        <f>IF(AND(ISNA(C187),ISNA(C188),ISNA(C189)),"",IF(coag_storage_lbs_bulk&gt;=C187," - Large Qty",IF(coag_storage_lbs_bulk&gt;=C188," - Mid Qty"," - Small Qty")))</f>
        <v/>
      </c>
      <c r="D190" s="815"/>
      <c r="E190" s="570" t="s">
        <v>3459</v>
      </c>
    </row>
    <row r="191" spans="1:5">
      <c r="A191" s="127"/>
      <c r="B191" s="3"/>
    </row>
    <row r="192" spans="1:5">
      <c r="A192" s="814" t="s">
        <v>3460</v>
      </c>
      <c r="B192" s="815"/>
      <c r="C192" s="815"/>
      <c r="D192" s="815"/>
      <c r="E192" s="815"/>
    </row>
    <row r="193" spans="1:5">
      <c r="A193" s="816" t="s">
        <v>3453</v>
      </c>
      <c r="B193" s="815"/>
      <c r="C193" s="817" t="e">
        <f>VLOOKUP("Polymers - Large Qty",chem_break_table_cl,2,FALSE)</f>
        <v>#N/A</v>
      </c>
      <c r="D193" s="815" t="s">
        <v>2255</v>
      </c>
      <c r="E193" s="570" t="s">
        <v>3454</v>
      </c>
    </row>
    <row r="194" spans="1:5">
      <c r="A194" s="816" t="s">
        <v>3455</v>
      </c>
      <c r="B194" s="815"/>
      <c r="C194" s="817" t="e">
        <f>VLOOKUP("Polymers - Mid Qty",chem_break_table_cl,2,FALSE)</f>
        <v>#N/A</v>
      </c>
      <c r="D194" s="815" t="s">
        <v>2255</v>
      </c>
      <c r="E194" s="570" t="s">
        <v>3454</v>
      </c>
    </row>
    <row r="195" spans="1:5">
      <c r="A195" s="816" t="s">
        <v>3456</v>
      </c>
      <c r="B195" s="815"/>
      <c r="C195" s="817" t="e">
        <f>VLOOKUP("Polymers - Small Qty",chem_break_table_cl,2,FALSE)</f>
        <v>#N/A</v>
      </c>
      <c r="D195" s="815" t="s">
        <v>2255</v>
      </c>
      <c r="E195" s="570" t="s">
        <v>3454</v>
      </c>
    </row>
    <row r="196" spans="1:5">
      <c r="A196" s="816" t="s">
        <v>3457</v>
      </c>
      <c r="B196" s="818" t="s">
        <v>3461</v>
      </c>
      <c r="C196" s="815" t="str">
        <f>IF(AND(ISNA(C193),ISNA(C194),ISNA(C195)),"",IF(polymer_storage_lbs&gt;=C193," - Large Qty",IF(polymer_storage_lbs&gt;=C194," - Mid Qty"," - Small Qty")))</f>
        <v/>
      </c>
      <c r="D196" s="815"/>
      <c r="E196" s="570" t="s">
        <v>3459</v>
      </c>
    </row>
    <row r="197" spans="1:5">
      <c r="A197" s="816"/>
      <c r="B197" s="818"/>
      <c r="C197" s="815"/>
      <c r="D197" s="815"/>
      <c r="E197" s="570"/>
    </row>
    <row r="198" spans="1:5">
      <c r="A198" s="574" t="s">
        <v>333</v>
      </c>
      <c r="B198" s="3"/>
    </row>
    <row r="199" spans="1:5">
      <c r="A199" s="127" t="s">
        <v>334</v>
      </c>
      <c r="B199" s="3" t="s">
        <v>335</v>
      </c>
      <c r="C199" s="38">
        <f>IF(res_holding&lt;&gt;"none",TSS_residuals*(1-IF(coag_res=1,coag_TSSrem,htank_TSSrem)),TSS_residuals)</f>
        <v>359.80891719745222</v>
      </c>
      <c r="D199" s="414" t="s">
        <v>1761</v>
      </c>
    </row>
    <row r="200" spans="1:5">
      <c r="A200" s="127" t="s">
        <v>354</v>
      </c>
      <c r="B200" s="3" t="s">
        <v>2531</v>
      </c>
      <c r="C200" s="46">
        <f>IF((TSS_residuals_dis-POTW_TSS_limit)*res_flow_annual*3.785/1000/453.59&gt;0,(TSS_residuals_dis-POTW_TSS_limit)*res_flow_annual*3.785/1000/453.59,0)</f>
        <v>2250.3794490304335</v>
      </c>
      <c r="D200" s="520" t="s">
        <v>365</v>
      </c>
    </row>
    <row r="201" spans="1:5">
      <c r="A201" s="475" t="s">
        <v>355</v>
      </c>
      <c r="B201" s="3"/>
      <c r="C201" s="44">
        <f>IF(POTW_rate_type=1,POTW_base_cost_avg_cl,IF(POTW_base_fee=1,POTW_base_cost_typ_cl,0))*12</f>
        <v>206.41019947671711</v>
      </c>
      <c r="D201" s="414" t="s">
        <v>366</v>
      </c>
    </row>
    <row r="202" spans="1:5">
      <c r="A202" s="475" t="s">
        <v>356</v>
      </c>
      <c r="B202" s="3"/>
      <c r="C202" s="44">
        <f>IF(POTW_rate_type=1,POTW_vol_cost_avg_cl,IF(POTW_volume_fee=1,POTW_vol_cost_typ_cl,0))*res_flow_annual/1000</f>
        <v>13648.488276845841</v>
      </c>
      <c r="D202" s="414" t="s">
        <v>366</v>
      </c>
      <c r="E202" s="7"/>
    </row>
    <row r="203" spans="1:5">
      <c r="A203" s="475" t="s">
        <v>357</v>
      </c>
      <c r="B203" s="3"/>
      <c r="C203" s="44">
        <f>IF(POTW_rate_type=1,POTW_TSS_cost_avg_cl,IF(POTW_TSS_fee=1,POTW_TSS_cost_typ_cl,0))*ex_TSS_total</f>
        <v>598.59662952093663</v>
      </c>
      <c r="D203" s="414" t="s">
        <v>366</v>
      </c>
    </row>
    <row r="204" spans="1:5">
      <c r="A204" s="475" t="s">
        <v>358</v>
      </c>
      <c r="B204" s="3" t="s">
        <v>359</v>
      </c>
      <c r="C204" s="79">
        <f>SUM(C201:C203)</f>
        <v>14453.495105843494</v>
      </c>
      <c r="D204" s="414" t="s">
        <v>366</v>
      </c>
    </row>
    <row r="205" spans="1:5">
      <c r="A205" s="127"/>
      <c r="B205" s="3"/>
      <c r="C205" s="31"/>
    </row>
    <row r="206" spans="1:5">
      <c r="A206" s="574" t="s">
        <v>360</v>
      </c>
      <c r="B206" s="5"/>
      <c r="C206" s="31"/>
    </row>
    <row r="207" spans="1:5">
      <c r="A207" s="127" t="s">
        <v>361</v>
      </c>
      <c r="B207" s="3"/>
      <c r="C207" s="55">
        <f>spent_media*disp_freq*CHOOSE(regen_type,0,0,nonhaz_disposal_cost_cl,0,haz_disposal_cost_cl,rad_disposal_cost_cl,hazrad_disposal_cost_cl)</f>
        <v>265007.85786891764</v>
      </c>
      <c r="D207" s="414" t="s">
        <v>366</v>
      </c>
      <c r="E207" s="496"/>
    </row>
    <row r="208" spans="1:5">
      <c r="A208" s="127" t="s">
        <v>2685</v>
      </c>
      <c r="B208" s="3" t="s">
        <v>3430</v>
      </c>
      <c r="C208" s="80">
        <f>IF(spent_media&gt;max_waste_ship,ROUNDUP(spent_media/max_waste_ship,0)*disp_freq,disp_freq)</f>
        <v>25.543429347161265</v>
      </c>
      <c r="D208" s="414" t="s">
        <v>4651</v>
      </c>
      <c r="E208" s="7"/>
    </row>
    <row r="209" spans="1:5">
      <c r="A209" s="575" t="s">
        <v>3390</v>
      </c>
      <c r="B209" s="3"/>
      <c r="C209" s="55">
        <f>CHOOSE(regen_type,0,0,nonhaz_transportation_cost_cl,0,haz_transportation_cost_cl,rad_transportation_cost_cl,hazrad_transportation_cost_cl)</f>
        <v>0.1333</v>
      </c>
      <c r="D209" s="414" t="s">
        <v>3391</v>
      </c>
      <c r="E209" s="7"/>
    </row>
    <row r="210" spans="1:5">
      <c r="A210" s="575" t="s">
        <v>3393</v>
      </c>
      <c r="B210" s="3"/>
      <c r="C210" s="55">
        <f>CHOOSE(regen_type,0,0,0,0,haz_trans_min_cost_cl,rad_trans_min_cost_cl,hazrad_trans_min_cost_cl)</f>
        <v>584.59</v>
      </c>
      <c r="D210" s="414" t="s">
        <v>3392</v>
      </c>
      <c r="E210" s="7"/>
    </row>
    <row r="211" spans="1:5">
      <c r="A211" s="575" t="s">
        <v>3394</v>
      </c>
      <c r="B211" s="3" t="s">
        <v>3431</v>
      </c>
      <c r="C211" s="38">
        <f>CHOOSE(regen_type,0,0,non_haz_miles,0,haz_miles,rad_miles,hazrad_miles)</f>
        <v>200</v>
      </c>
      <c r="D211" s="414" t="s">
        <v>2507</v>
      </c>
      <c r="E211" s="7"/>
    </row>
    <row r="212" spans="1:5">
      <c r="A212" s="127" t="s">
        <v>362</v>
      </c>
      <c r="B212" s="3"/>
      <c r="C212" s="55">
        <f>MAX(C208*C210,spent_media*disp_freq*disposal_miles*C209)</f>
        <v>14932.433362057005</v>
      </c>
      <c r="D212" s="414" t="s">
        <v>366</v>
      </c>
    </row>
    <row r="213" spans="1:5">
      <c r="A213" s="575" t="s">
        <v>3749</v>
      </c>
      <c r="B213" s="3"/>
      <c r="C213" s="55">
        <f>CHOOSE(regen_type,0,0,0,0,0,VLOOKUP(households*hh_size,rad_annual_fee_cl,2),VLOOKUP(households*hh_size,hazrad_annual_fee_cl,2))</f>
        <v>0</v>
      </c>
      <c r="D213" s="414" t="s">
        <v>366</v>
      </c>
    </row>
    <row r="214" spans="1:5">
      <c r="A214" s="127" t="s">
        <v>363</v>
      </c>
      <c r="B214" s="3" t="s">
        <v>364</v>
      </c>
      <c r="C214" s="55">
        <f>C212+C207+C213</f>
        <v>279940.29123097466</v>
      </c>
      <c r="D214" s="414" t="s">
        <v>366</v>
      </c>
      <c r="E214" s="594"/>
    </row>
    <row r="215" spans="1:5">
      <c r="A215" s="127"/>
      <c r="B215" s="3"/>
    </row>
    <row r="216" spans="1:5">
      <c r="A216" s="574" t="s">
        <v>833</v>
      </c>
      <c r="B216" s="5"/>
    </row>
    <row r="217" spans="1:5">
      <c r="A217" s="127" t="s">
        <v>361</v>
      </c>
      <c r="B217" s="3"/>
      <c r="C217" s="55">
        <f>res_solids*sol_disp_freq*CHOOSE(solids_haz,nonhaz_disposal_cost_cl,haz_disposal_cost_cl,rad_disposal_cost_cl,hazrad_disposal_cost_cl)</f>
        <v>1014.6318716021078</v>
      </c>
      <c r="D217" s="414" t="s">
        <v>366</v>
      </c>
    </row>
    <row r="218" spans="1:5">
      <c r="A218" s="127" t="s">
        <v>2685</v>
      </c>
      <c r="B218" s="3" t="s">
        <v>3432</v>
      </c>
      <c r="C218" s="80">
        <f>IF(res_solids&gt;max_waste_ship,ROUNDUP(res_solids/max_waste_ship,0)*sol_disp_freq,sol_disp_freq)</f>
        <v>1</v>
      </c>
      <c r="E218" s="7"/>
    </row>
    <row r="219" spans="1:5">
      <c r="A219" s="575" t="s">
        <v>3390</v>
      </c>
      <c r="B219" s="3"/>
      <c r="C219" s="55">
        <f>CHOOSE(solids_haz,nonhaz_transportation_cost_cl,haz_transportation_cost_cl,rad_transportation_cost_cl,hazrad_transportation_cost_cl)</f>
        <v>0.1333</v>
      </c>
      <c r="D219" s="414" t="s">
        <v>3391</v>
      </c>
      <c r="E219" s="7"/>
    </row>
    <row r="220" spans="1:5">
      <c r="A220" s="575" t="s">
        <v>3393</v>
      </c>
      <c r="B220" s="3"/>
      <c r="C220" s="55">
        <f>CHOOSE(solids_haz,0,haz_trans_min_cost_cl,rad_trans_min_cost_cl,hazrad_trans_min_cost_cl)</f>
        <v>584.59</v>
      </c>
      <c r="D220" s="414" t="s">
        <v>3392</v>
      </c>
      <c r="E220" s="7"/>
    </row>
    <row r="221" spans="1:5">
      <c r="A221" s="575" t="s">
        <v>3394</v>
      </c>
      <c r="B221" s="3" t="s">
        <v>3433</v>
      </c>
      <c r="C221" s="38">
        <f>CHOOSE(solids_haz,non_haz_miles,haz_miles,rad_miles,hazrad_miles)</f>
        <v>200</v>
      </c>
      <c r="D221" s="414" t="s">
        <v>2507</v>
      </c>
      <c r="E221" s="7"/>
    </row>
    <row r="222" spans="1:5">
      <c r="A222" s="127" t="s">
        <v>362</v>
      </c>
      <c r="B222" s="3"/>
      <c r="C222" s="55">
        <f>MAX(C218*C220,res_solids*sol_disp_freq*sol_disposal_miles*C219)</f>
        <v>584.59</v>
      </c>
      <c r="D222" s="414" t="s">
        <v>366</v>
      </c>
    </row>
    <row r="223" spans="1:5">
      <c r="A223" s="575" t="s">
        <v>3749</v>
      </c>
      <c r="B223" s="3"/>
      <c r="C223" s="55">
        <f>CHOOSE(solids_haz,0,0,VLOOKUP(households*hh_size,rad_annual_fee_cl,2),VLOOKUP(households*hh_size,hazrad_annual_fee_cl,2))</f>
        <v>0</v>
      </c>
      <c r="D223" s="414" t="s">
        <v>366</v>
      </c>
    </row>
    <row r="224" spans="1:5">
      <c r="A224" s="127" t="s">
        <v>834</v>
      </c>
      <c r="B224" s="3" t="s">
        <v>2462</v>
      </c>
      <c r="C224" s="59">
        <f>IF(AND(solids_haz=1,solids_method=2),0,C222+C217+C223)</f>
        <v>1599.221871602108</v>
      </c>
      <c r="D224" s="414" t="s">
        <v>366</v>
      </c>
      <c r="E224" s="414"/>
    </row>
    <row r="225" spans="1:5">
      <c r="A225" s="127"/>
      <c r="B225" s="3"/>
      <c r="C225" s="38"/>
    </row>
    <row r="226" spans="1:5">
      <c r="A226" s="574" t="s">
        <v>2945</v>
      </c>
      <c r="B226" s="5"/>
      <c r="C226" s="30"/>
    </row>
    <row r="227" spans="1:5">
      <c r="A227" s="127" t="s">
        <v>834</v>
      </c>
      <c r="B227" s="3" t="s">
        <v>2946</v>
      </c>
      <c r="C227" s="59">
        <f>num_sept_tanks*sept_tank_vol*septic_disp_freq*septic_disposal_cost_cl</f>
        <v>0</v>
      </c>
      <c r="D227" s="414" t="s">
        <v>366</v>
      </c>
    </row>
    <row r="228" spans="1:5">
      <c r="A228" s="574"/>
      <c r="B228" s="3"/>
    </row>
    <row r="229" spans="1:5">
      <c r="A229" s="574" t="s">
        <v>3140</v>
      </c>
      <c r="B229" s="3"/>
      <c r="C229" s="12"/>
      <c r="D229" s="544"/>
    </row>
    <row r="230" spans="1:5">
      <c r="A230" s="475" t="s">
        <v>3141</v>
      </c>
      <c r="B230" s="3"/>
      <c r="C230" s="41">
        <f>12/bed_life</f>
        <v>8.5144764490537543</v>
      </c>
      <c r="D230" s="544"/>
    </row>
    <row r="231" spans="1:5">
      <c r="A231" s="127" t="s">
        <v>2685</v>
      </c>
      <c r="B231" s="3"/>
      <c r="C231" s="80" t="str">
        <f>IF(regen_type=4,IF(regen_yr/2000&gt;max_waste_ship,ROUNDUP((regen_yr/2000)/max_waste_ship,0)*C230,C230),"NA")</f>
        <v>NA</v>
      </c>
      <c r="E231" s="7" t="s">
        <v>2461</v>
      </c>
    </row>
    <row r="232" spans="1:5">
      <c r="A232" s="127" t="s">
        <v>362</v>
      </c>
      <c r="B232" s="3" t="s">
        <v>3142</v>
      </c>
      <c r="C232" s="55">
        <f>IF(regen_type=4,MAX(C231*haz_trans_min_cost_cl,spent_media*C231*haz_miles*haz_transportation_cost_cl),0)</f>
        <v>0</v>
      </c>
      <c r="D232" s="414" t="s">
        <v>366</v>
      </c>
    </row>
    <row r="233" spans="1:5">
      <c r="A233" s="5"/>
      <c r="B233" s="3"/>
      <c r="C233" s="44"/>
    </row>
    <row r="234" spans="1:5">
      <c r="A234" s="5"/>
      <c r="B234" s="3"/>
      <c r="C234" s="79"/>
    </row>
    <row r="235" spans="1:5">
      <c r="B235" s="3"/>
    </row>
    <row r="236" spans="1:5">
      <c r="A236" s="2"/>
      <c r="B236" s="5"/>
    </row>
    <row r="237" spans="1:5">
      <c r="B237" s="3"/>
      <c r="C237" s="55"/>
    </row>
    <row r="238" spans="1:5">
      <c r="B238" s="3"/>
      <c r="C238" s="80"/>
      <c r="E238" s="7"/>
    </row>
    <row r="239" spans="1:5">
      <c r="B239" s="3"/>
      <c r="C239" s="55"/>
    </row>
    <row r="240" spans="1:5">
      <c r="B240" s="3"/>
      <c r="C240" s="59"/>
    </row>
    <row r="241" spans="1:5">
      <c r="C241" s="19"/>
    </row>
    <row r="242" spans="1:5">
      <c r="A242" s="2"/>
      <c r="B242" s="5"/>
    </row>
    <row r="243" spans="1:5">
      <c r="B243" s="3"/>
      <c r="C243" s="55"/>
    </row>
    <row r="244" spans="1:5">
      <c r="B244" s="3"/>
      <c r="C244" s="80"/>
      <c r="E244" s="7"/>
    </row>
    <row r="245" spans="1:5">
      <c r="B245" s="3"/>
      <c r="C245" s="55"/>
    </row>
    <row r="246" spans="1:5">
      <c r="B246" s="3"/>
      <c r="C246" s="59"/>
    </row>
    <row r="247" spans="1:5">
      <c r="D247" s="438"/>
      <c r="E247" s="81"/>
    </row>
    <row r="248" spans="1:5">
      <c r="D248" s="438"/>
      <c r="E248" s="81"/>
    </row>
    <row r="249" spans="1:5">
      <c r="D249" s="438"/>
      <c r="E249" s="81"/>
    </row>
    <row r="250" spans="1:5">
      <c r="D250" s="438"/>
      <c r="E250" s="81"/>
    </row>
    <row r="251" spans="1:5">
      <c r="D251" s="438"/>
      <c r="E251" s="81"/>
    </row>
    <row r="252" spans="1:5">
      <c r="D252" s="438"/>
      <c r="E252" s="81"/>
    </row>
    <row r="253" spans="1:5">
      <c r="D253" s="438"/>
      <c r="E253" s="81"/>
    </row>
    <row r="254" spans="1:5">
      <c r="D254" s="438"/>
      <c r="E254" s="81"/>
    </row>
    <row r="255" spans="1:5">
      <c r="D255" s="438"/>
      <c r="E255" s="81"/>
    </row>
    <row r="256" spans="1:5">
      <c r="D256" s="438"/>
      <c r="E256" s="81"/>
    </row>
    <row r="257" spans="4:5">
      <c r="D257" s="438"/>
      <c r="E257" s="81"/>
    </row>
    <row r="258" spans="4:5">
      <c r="D258" s="438"/>
      <c r="E258" s="81"/>
    </row>
    <row r="259" spans="4:5">
      <c r="D259" s="438"/>
      <c r="E259" s="81"/>
    </row>
    <row r="260" spans="4:5">
      <c r="D260" s="438"/>
      <c r="E260" s="81"/>
    </row>
    <row r="261" spans="4:5">
      <c r="D261" s="438"/>
      <c r="E261" s="81"/>
    </row>
    <row r="262" spans="4:5">
      <c r="D262" s="438"/>
      <c r="E262" s="81"/>
    </row>
    <row r="263" spans="4:5">
      <c r="D263" s="438"/>
      <c r="E263" s="81"/>
    </row>
    <row r="264" spans="4:5">
      <c r="D264" s="438"/>
      <c r="E264" s="81"/>
    </row>
    <row r="265" spans="4:5">
      <c r="D265" s="438"/>
      <c r="E265" s="81"/>
    </row>
    <row r="266" spans="4:5">
      <c r="D266" s="438"/>
      <c r="E266" s="81"/>
    </row>
    <row r="267" spans="4:5">
      <c r="D267" s="438"/>
      <c r="E267" s="81"/>
    </row>
    <row r="268" spans="4:5">
      <c r="D268" s="438"/>
      <c r="E268" s="81"/>
    </row>
    <row r="269" spans="4:5">
      <c r="D269" s="438"/>
      <c r="E269" s="81"/>
    </row>
    <row r="270" spans="4:5">
      <c r="D270" s="438"/>
      <c r="E270" s="81"/>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87CC5-2AC0-447E-A0E4-32E013828363}">
  <sheetPr codeName="Sheet25"/>
  <dimension ref="A1:G1604"/>
  <sheetViews>
    <sheetView workbookViewId="0">
      <pane ySplit="3" topLeftCell="A1265" activePane="bottomLeft" state="frozen"/>
      <selection pane="bottomLeft" activeCell="H1282" sqref="H1282"/>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3862</v>
      </c>
    </row>
    <row r="2" spans="1:6">
      <c r="A2" s="570" t="s">
        <v>4629</v>
      </c>
    </row>
    <row r="3" spans="1:6">
      <c r="A3" s="570" t="s">
        <v>4630</v>
      </c>
    </row>
    <row r="4" spans="1:6">
      <c r="A4" s="937" t="s">
        <v>3863</v>
      </c>
      <c r="B4" s="937" t="s">
        <v>3864</v>
      </c>
      <c r="C4" s="937"/>
      <c r="D4" s="937"/>
      <c r="E4" s="937"/>
      <c r="F4" s="937"/>
    </row>
    <row r="5" spans="1:6">
      <c r="A5" s="947">
        <v>43</v>
      </c>
      <c r="B5" s="73"/>
      <c r="C5" s="73"/>
      <c r="D5" s="73" t="s">
        <v>13</v>
      </c>
      <c r="E5" s="73" t="s">
        <v>3865</v>
      </c>
      <c r="F5" s="73" t="s">
        <v>3866</v>
      </c>
    </row>
    <row r="6" spans="1:6">
      <c r="A6" s="3" t="s">
        <v>3867</v>
      </c>
      <c r="B6">
        <v>0</v>
      </c>
      <c r="C6">
        <v>0</v>
      </c>
      <c r="D6" s="17">
        <v>600.18707669670891</v>
      </c>
      <c r="E6">
        <v>15</v>
      </c>
      <c r="F6">
        <v>14</v>
      </c>
    </row>
    <row r="9" spans="1:6">
      <c r="A9" s="937" t="s">
        <v>3868</v>
      </c>
      <c r="B9" s="937" t="s">
        <v>3869</v>
      </c>
      <c r="C9" s="937"/>
      <c r="D9" s="937"/>
      <c r="E9" s="937"/>
      <c r="F9" s="937"/>
    </row>
    <row r="10" spans="1:6">
      <c r="A10" s="947">
        <v>30</v>
      </c>
      <c r="B10" s="73" t="s">
        <v>3870</v>
      </c>
      <c r="C10" s="73" t="s">
        <v>3871</v>
      </c>
      <c r="D10" s="564" t="s">
        <v>3872</v>
      </c>
      <c r="E10" s="73" t="s">
        <v>3865</v>
      </c>
      <c r="F10" s="73" t="s">
        <v>3866</v>
      </c>
    </row>
    <row r="11" spans="1:6">
      <c r="A11" s="3" t="s">
        <v>3874</v>
      </c>
      <c r="B11">
        <v>0</v>
      </c>
      <c r="C11">
        <v>10</v>
      </c>
      <c r="D11" s="17">
        <v>3765.081740826402</v>
      </c>
      <c r="E11">
        <v>20</v>
      </c>
      <c r="F11">
        <v>17</v>
      </c>
    </row>
    <row r="12" spans="1:6">
      <c r="A12" s="3"/>
      <c r="B12">
        <v>11</v>
      </c>
      <c r="C12">
        <v>30</v>
      </c>
      <c r="D12" s="17">
        <v>4254.6995836907727</v>
      </c>
      <c r="E12">
        <v>20</v>
      </c>
      <c r="F12">
        <v>17</v>
      </c>
    </row>
    <row r="13" spans="1:6">
      <c r="A13" s="3"/>
      <c r="B13">
        <v>31</v>
      </c>
      <c r="C13">
        <v>200</v>
      </c>
      <c r="D13" s="17">
        <v>12125.919025502953</v>
      </c>
      <c r="E13">
        <v>20</v>
      </c>
      <c r="F13">
        <v>17</v>
      </c>
    </row>
    <row r="14" spans="1:6">
      <c r="A14" s="3"/>
      <c r="B14">
        <v>201</v>
      </c>
      <c r="C14">
        <v>500</v>
      </c>
      <c r="D14" s="17">
        <v>13969.613526038316</v>
      </c>
      <c r="E14">
        <v>20</v>
      </c>
      <c r="F14">
        <v>17</v>
      </c>
    </row>
    <row r="15" spans="1:6">
      <c r="A15" s="3"/>
      <c r="B15">
        <v>501</v>
      </c>
      <c r="C15">
        <v>750</v>
      </c>
      <c r="D15" s="17">
        <v>17759.918572183145</v>
      </c>
      <c r="E15">
        <v>20</v>
      </c>
      <c r="F15">
        <v>17</v>
      </c>
    </row>
    <row r="16" spans="1:6">
      <c r="A16" s="3"/>
      <c r="B16">
        <v>751</v>
      </c>
      <c r="C16">
        <v>1000</v>
      </c>
      <c r="D16" s="17">
        <v>18367.928438860366</v>
      </c>
      <c r="E16">
        <v>20</v>
      </c>
      <c r="F16">
        <v>17</v>
      </c>
    </row>
    <row r="17" spans="1:6">
      <c r="A17" s="3"/>
      <c r="B17">
        <v>1001</v>
      </c>
      <c r="C17">
        <v>1500</v>
      </c>
      <c r="D17" s="17">
        <v>23207.19064302601</v>
      </c>
      <c r="E17">
        <v>20</v>
      </c>
      <c r="F17">
        <v>17</v>
      </c>
    </row>
    <row r="18" spans="1:6">
      <c r="A18" s="3"/>
      <c r="B18">
        <v>1501</v>
      </c>
      <c r="C18">
        <v>2000</v>
      </c>
      <c r="D18" s="17">
        <v>33543.358376538781</v>
      </c>
      <c r="E18">
        <v>20</v>
      </c>
      <c r="F18">
        <v>17</v>
      </c>
    </row>
    <row r="19" spans="1:6">
      <c r="A19" s="3"/>
      <c r="B19">
        <v>2001</v>
      </c>
      <c r="C19">
        <v>3000</v>
      </c>
      <c r="D19" s="17">
        <v>38246.128569817702</v>
      </c>
      <c r="E19">
        <v>20</v>
      </c>
      <c r="F19">
        <v>17</v>
      </c>
    </row>
    <row r="20" spans="1:6">
      <c r="A20" s="3"/>
      <c r="B20">
        <v>3001</v>
      </c>
      <c r="C20">
        <v>3500</v>
      </c>
      <c r="D20" s="17">
        <v>41894.187769881028</v>
      </c>
      <c r="E20">
        <v>20</v>
      </c>
      <c r="F20">
        <v>17</v>
      </c>
    </row>
    <row r="21" spans="1:6">
      <c r="A21" s="3"/>
      <c r="B21">
        <v>3501</v>
      </c>
      <c r="C21">
        <v>4000</v>
      </c>
      <c r="D21" s="17">
        <v>44289.002142711717</v>
      </c>
      <c r="E21">
        <v>20</v>
      </c>
      <c r="F21">
        <v>17</v>
      </c>
    </row>
    <row r="22" spans="1:6">
      <c r="A22" s="3"/>
      <c r="B22">
        <v>4001</v>
      </c>
      <c r="C22">
        <v>6000</v>
      </c>
      <c r="D22" s="17">
        <v>82333.048086229319</v>
      </c>
      <c r="E22">
        <v>20</v>
      </c>
      <c r="F22">
        <v>17</v>
      </c>
    </row>
    <row r="23" spans="1:6">
      <c r="A23" s="3"/>
      <c r="B23">
        <v>6001</v>
      </c>
      <c r="C23">
        <v>10000</v>
      </c>
      <c r="D23" s="17">
        <v>89174.66776026864</v>
      </c>
      <c r="E23">
        <v>20</v>
      </c>
      <c r="F23">
        <v>17</v>
      </c>
    </row>
    <row r="24" spans="1:6">
      <c r="A24" s="3"/>
      <c r="B24">
        <v>10001</v>
      </c>
      <c r="C24" t="s">
        <v>3873</v>
      </c>
      <c r="D24" s="17" t="s">
        <v>3873</v>
      </c>
      <c r="E24">
        <v>20</v>
      </c>
      <c r="F24">
        <v>17</v>
      </c>
    </row>
    <row r="27" spans="1:6">
      <c r="A27" s="937" t="s">
        <v>3875</v>
      </c>
      <c r="B27" s="937" t="s">
        <v>1264</v>
      </c>
      <c r="C27" s="937"/>
      <c r="D27" s="937"/>
      <c r="E27" s="937"/>
      <c r="F27" s="937"/>
    </row>
    <row r="28" spans="1:6">
      <c r="A28" s="947">
        <v>3</v>
      </c>
      <c r="B28" s="73"/>
      <c r="C28" s="73"/>
      <c r="D28" s="73" t="s">
        <v>3876</v>
      </c>
      <c r="E28" s="73" t="s">
        <v>3865</v>
      </c>
      <c r="F28" s="73" t="s">
        <v>3866</v>
      </c>
    </row>
    <row r="29" spans="1:6">
      <c r="A29" s="3" t="s">
        <v>3878</v>
      </c>
      <c r="B29">
        <v>0</v>
      </c>
      <c r="C29">
        <v>0</v>
      </c>
      <c r="D29" s="948">
        <v>18.649999999999999</v>
      </c>
      <c r="E29" t="s">
        <v>3877</v>
      </c>
      <c r="F29" t="s">
        <v>3877</v>
      </c>
    </row>
    <row r="32" spans="1:6">
      <c r="A32" s="937" t="s">
        <v>3879</v>
      </c>
      <c r="B32" s="937" t="s">
        <v>3880</v>
      </c>
      <c r="C32" s="937"/>
      <c r="D32" s="937"/>
      <c r="E32" s="937"/>
      <c r="F32" s="937"/>
    </row>
    <row r="33" spans="1:6">
      <c r="A33" s="947">
        <v>2</v>
      </c>
      <c r="B33" s="73"/>
      <c r="C33" s="73"/>
      <c r="D33" s="73" t="s">
        <v>3881</v>
      </c>
      <c r="E33" s="73" t="s">
        <v>3865</v>
      </c>
      <c r="F33" s="73" t="s">
        <v>3866</v>
      </c>
    </row>
    <row r="34" spans="1:6">
      <c r="A34" s="3" t="s">
        <v>3882</v>
      </c>
      <c r="B34">
        <v>0</v>
      </c>
      <c r="C34">
        <v>0</v>
      </c>
      <c r="D34" s="948">
        <v>45.35</v>
      </c>
      <c r="E34" t="s">
        <v>3877</v>
      </c>
      <c r="F34" t="s">
        <v>3877</v>
      </c>
    </row>
    <row r="37" spans="1:6">
      <c r="A37" s="3" t="s">
        <v>3883</v>
      </c>
      <c r="B37">
        <v>0</v>
      </c>
      <c r="C37">
        <v>0</v>
      </c>
      <c r="D37" s="948">
        <v>2650</v>
      </c>
      <c r="E37" t="s">
        <v>3877</v>
      </c>
      <c r="F37" t="s">
        <v>3877</v>
      </c>
    </row>
    <row r="38" spans="1:6">
      <c r="A38" s="3"/>
      <c r="B38" t="s">
        <v>2482</v>
      </c>
      <c r="D38" t="s">
        <v>3884</v>
      </c>
      <c r="E38" t="s">
        <v>3865</v>
      </c>
      <c r="F38" t="s">
        <v>3866</v>
      </c>
    </row>
    <row r="39" spans="1:6">
      <c r="A39" s="3" t="s">
        <v>3886</v>
      </c>
      <c r="B39">
        <v>0</v>
      </c>
      <c r="C39">
        <v>0</v>
      </c>
      <c r="D39" s="948">
        <v>64</v>
      </c>
      <c r="E39" t="s">
        <v>3877</v>
      </c>
      <c r="F39" t="s">
        <v>3877</v>
      </c>
    </row>
    <row r="42" spans="1:6">
      <c r="A42" s="3" t="s">
        <v>3887</v>
      </c>
      <c r="B42">
        <v>0</v>
      </c>
      <c r="C42">
        <v>0</v>
      </c>
      <c r="D42" s="948">
        <v>1475</v>
      </c>
      <c r="E42" t="s">
        <v>3877</v>
      </c>
      <c r="F42" t="s">
        <v>3877</v>
      </c>
    </row>
    <row r="43" spans="1:6">
      <c r="A43" s="3"/>
      <c r="B43" s="438" t="s">
        <v>2845</v>
      </c>
      <c r="D43" t="s">
        <v>3888</v>
      </c>
      <c r="E43" t="s">
        <v>3865</v>
      </c>
      <c r="F43" t="s">
        <v>3866</v>
      </c>
    </row>
    <row r="44" spans="1:6">
      <c r="A44" s="3" t="s">
        <v>3890</v>
      </c>
      <c r="B44">
        <v>0</v>
      </c>
      <c r="C44">
        <v>0</v>
      </c>
      <c r="D44" s="948">
        <v>425</v>
      </c>
      <c r="E44" t="s">
        <v>3877</v>
      </c>
      <c r="F44" t="s">
        <v>3877</v>
      </c>
    </row>
    <row r="47" spans="1:6">
      <c r="A47" s="3" t="s">
        <v>3891</v>
      </c>
      <c r="B47">
        <v>0</v>
      </c>
      <c r="C47">
        <v>0</v>
      </c>
      <c r="D47" s="948">
        <v>970</v>
      </c>
      <c r="E47" t="s">
        <v>3877</v>
      </c>
      <c r="F47" t="s">
        <v>3877</v>
      </c>
    </row>
    <row r="48" spans="1:6">
      <c r="A48" s="3"/>
      <c r="B48" s="438" t="s">
        <v>2847</v>
      </c>
      <c r="D48" t="s">
        <v>3872</v>
      </c>
      <c r="E48" t="s">
        <v>3865</v>
      </c>
      <c r="F48" t="s">
        <v>3866</v>
      </c>
    </row>
    <row r="49" spans="1:6">
      <c r="A49" s="3" t="s">
        <v>3893</v>
      </c>
      <c r="B49">
        <v>0</v>
      </c>
      <c r="C49">
        <v>0</v>
      </c>
      <c r="D49" s="948">
        <v>660</v>
      </c>
      <c r="E49" t="s">
        <v>3877</v>
      </c>
      <c r="F49" t="s">
        <v>3877</v>
      </c>
    </row>
    <row r="52" spans="1:6">
      <c r="A52" s="3" t="s">
        <v>3889</v>
      </c>
      <c r="B52">
        <v>0</v>
      </c>
      <c r="C52">
        <v>0</v>
      </c>
      <c r="D52" s="948">
        <v>425</v>
      </c>
      <c r="E52" t="s">
        <v>3877</v>
      </c>
      <c r="F52" t="s">
        <v>3877</v>
      </c>
    </row>
    <row r="53" spans="1:6">
      <c r="A53" s="3"/>
      <c r="B53" s="438" t="s">
        <v>2846</v>
      </c>
      <c r="D53" t="s">
        <v>3888</v>
      </c>
      <c r="E53" t="s">
        <v>3865</v>
      </c>
      <c r="F53" t="s">
        <v>3866</v>
      </c>
    </row>
    <row r="54" spans="1:6">
      <c r="A54" s="3" t="s">
        <v>3894</v>
      </c>
      <c r="B54">
        <v>0</v>
      </c>
      <c r="C54">
        <v>0</v>
      </c>
      <c r="D54" s="948">
        <v>970</v>
      </c>
      <c r="E54" t="s">
        <v>3877</v>
      </c>
      <c r="F54" t="s">
        <v>3877</v>
      </c>
    </row>
    <row r="57" spans="1:6">
      <c r="A57" s="3" t="s">
        <v>3892</v>
      </c>
      <c r="B57">
        <v>0</v>
      </c>
      <c r="C57">
        <v>0</v>
      </c>
      <c r="D57" s="948">
        <v>660</v>
      </c>
      <c r="E57" t="s">
        <v>3877</v>
      </c>
      <c r="F57" t="s">
        <v>3877</v>
      </c>
    </row>
    <row r="58" spans="1:6">
      <c r="A58" s="3"/>
      <c r="B58" s="438" t="s">
        <v>799</v>
      </c>
      <c r="D58" t="s">
        <v>3881</v>
      </c>
      <c r="E58" t="s">
        <v>3865</v>
      </c>
      <c r="F58" t="s">
        <v>3866</v>
      </c>
    </row>
    <row r="59" spans="1:6">
      <c r="A59" s="3" t="s">
        <v>3895</v>
      </c>
      <c r="B59">
        <v>0</v>
      </c>
      <c r="C59">
        <v>0</v>
      </c>
      <c r="D59" s="948">
        <v>2650</v>
      </c>
      <c r="E59" t="s">
        <v>3877</v>
      </c>
      <c r="F59" t="s">
        <v>3877</v>
      </c>
    </row>
    <row r="62" spans="1:6">
      <c r="A62" s="949" t="s">
        <v>3896</v>
      </c>
      <c r="B62" s="937" t="s">
        <v>3897</v>
      </c>
      <c r="C62" s="950"/>
      <c r="D62" s="951"/>
      <c r="E62" s="950"/>
      <c r="F62" s="950"/>
    </row>
    <row r="63" spans="1:6">
      <c r="A63" s="947">
        <v>11</v>
      </c>
      <c r="B63" s="73" t="s">
        <v>3898</v>
      </c>
      <c r="C63" s="73" t="s">
        <v>1371</v>
      </c>
      <c r="D63" s="564" t="s">
        <v>3872</v>
      </c>
      <c r="E63" s="73" t="s">
        <v>3865</v>
      </c>
      <c r="F63" s="73" t="s">
        <v>3866</v>
      </c>
    </row>
    <row r="64" spans="1:6">
      <c r="A64" s="949" t="s">
        <v>3959</v>
      </c>
      <c r="B64" s="952" t="s">
        <v>3899</v>
      </c>
      <c r="C64" s="952" t="s">
        <v>3900</v>
      </c>
      <c r="D64" s="953">
        <v>0.25892298275361592</v>
      </c>
      <c r="E64" s="954" t="s">
        <v>3877</v>
      </c>
      <c r="F64" s="954" t="s">
        <v>3877</v>
      </c>
    </row>
    <row r="65" spans="2:6">
      <c r="B65" s="955" t="s">
        <v>3901</v>
      </c>
      <c r="C65" s="952" t="s">
        <v>3902</v>
      </c>
      <c r="D65" s="953">
        <v>379.67249647750987</v>
      </c>
      <c r="E65" s="954" t="s">
        <v>3877</v>
      </c>
      <c r="F65" s="954" t="s">
        <v>3877</v>
      </c>
    </row>
    <row r="66" spans="2:6">
      <c r="B66" s="952" t="s">
        <v>3903</v>
      </c>
      <c r="C66" s="952" t="s">
        <v>3900</v>
      </c>
      <c r="D66" s="953">
        <v>0.98400176743500989</v>
      </c>
      <c r="E66" s="954" t="s">
        <v>3877</v>
      </c>
      <c r="F66" s="954" t="s">
        <v>3877</v>
      </c>
    </row>
    <row r="67" spans="2:6">
      <c r="B67" s="950" t="s">
        <v>3904</v>
      </c>
      <c r="C67" s="950" t="s">
        <v>3900</v>
      </c>
      <c r="D67" s="956">
        <v>2.935905987838364</v>
      </c>
      <c r="E67" s="957" t="s">
        <v>3877</v>
      </c>
      <c r="F67" s="957" t="s">
        <v>3877</v>
      </c>
    </row>
    <row r="68" spans="2:6">
      <c r="B68" s="73" t="s">
        <v>3905</v>
      </c>
      <c r="C68" s="73" t="s">
        <v>3900</v>
      </c>
      <c r="D68" s="958">
        <v>4.298511395790559</v>
      </c>
      <c r="E68" s="959" t="s">
        <v>3877</v>
      </c>
      <c r="F68" s="959" t="s">
        <v>3877</v>
      </c>
    </row>
    <row r="69" spans="2:6">
      <c r="B69" s="960" t="s">
        <v>3906</v>
      </c>
      <c r="C69" s="950" t="s">
        <v>3900</v>
      </c>
      <c r="D69" s="956">
        <v>0.14933365711760807</v>
      </c>
      <c r="E69" s="957" t="s">
        <v>3877</v>
      </c>
      <c r="F69" s="957" t="s">
        <v>3877</v>
      </c>
    </row>
    <row r="70" spans="2:6">
      <c r="B70" s="564" t="s">
        <v>3907</v>
      </c>
      <c r="C70" s="73" t="s">
        <v>3900</v>
      </c>
      <c r="D70" s="958">
        <v>0.25092360451306417</v>
      </c>
      <c r="E70" s="959" t="s">
        <v>3877</v>
      </c>
      <c r="F70" s="959" t="s">
        <v>3877</v>
      </c>
    </row>
    <row r="71" spans="2:6">
      <c r="B71" s="414" t="s">
        <v>3908</v>
      </c>
      <c r="C71" t="s">
        <v>3900</v>
      </c>
      <c r="D71" s="948">
        <v>1.8076509548824649</v>
      </c>
      <c r="E71" s="42" t="s">
        <v>3877</v>
      </c>
      <c r="F71" s="42" t="s">
        <v>3877</v>
      </c>
    </row>
    <row r="72" spans="2:6">
      <c r="B72" s="564" t="s">
        <v>3909</v>
      </c>
      <c r="C72" s="73" t="s">
        <v>3900</v>
      </c>
      <c r="D72" s="958">
        <v>3.0195931290952047</v>
      </c>
      <c r="E72" s="959" t="s">
        <v>3877</v>
      </c>
      <c r="F72" s="959" t="s">
        <v>3877</v>
      </c>
    </row>
    <row r="73" spans="2:6">
      <c r="B73" s="73" t="s">
        <v>3910</v>
      </c>
      <c r="C73" s="73" t="s">
        <v>3902</v>
      </c>
      <c r="D73" s="958">
        <v>292.14602474409008</v>
      </c>
      <c r="E73" s="959" t="s">
        <v>3877</v>
      </c>
      <c r="F73" s="959" t="s">
        <v>3877</v>
      </c>
    </row>
    <row r="74" spans="2:6">
      <c r="B74" s="564" t="s">
        <v>3911</v>
      </c>
      <c r="C74" s="73" t="s">
        <v>3900</v>
      </c>
      <c r="D74" s="958">
        <v>1.2847889581924627</v>
      </c>
      <c r="E74" s="959" t="s">
        <v>3877</v>
      </c>
      <c r="F74" s="959" t="s">
        <v>3877</v>
      </c>
    </row>
    <row r="75" spans="2:6">
      <c r="B75" s="955" t="s">
        <v>3912</v>
      </c>
      <c r="C75" s="952" t="s">
        <v>2843</v>
      </c>
      <c r="D75" s="953">
        <v>4.5669105752706649</v>
      </c>
      <c r="E75" s="954" t="s">
        <v>3877</v>
      </c>
      <c r="F75" s="954" t="s">
        <v>3877</v>
      </c>
    </row>
    <row r="76" spans="2:6">
      <c r="B76" s="955" t="s">
        <v>2152</v>
      </c>
      <c r="C76" s="952" t="s">
        <v>3900</v>
      </c>
      <c r="D76" s="953">
        <v>0.16017416334156323</v>
      </c>
      <c r="E76" s="954" t="s">
        <v>3877</v>
      </c>
      <c r="F76" s="954" t="s">
        <v>3877</v>
      </c>
    </row>
    <row r="77" spans="2:6">
      <c r="B77" s="414" t="s">
        <v>3913</v>
      </c>
      <c r="C77" t="s">
        <v>3900</v>
      </c>
      <c r="D77" s="948">
        <v>0.14204018747082317</v>
      </c>
      <c r="E77" s="42" t="s">
        <v>3877</v>
      </c>
      <c r="F77" s="42" t="s">
        <v>3877</v>
      </c>
    </row>
    <row r="78" spans="2:6">
      <c r="B78" s="960" t="s">
        <v>3914</v>
      </c>
      <c r="C78" s="950" t="s">
        <v>3900</v>
      </c>
      <c r="D78" s="956">
        <v>1.4750000000000001</v>
      </c>
      <c r="E78" s="957" t="s">
        <v>3877</v>
      </c>
      <c r="F78" s="957" t="s">
        <v>3877</v>
      </c>
    </row>
    <row r="79" spans="2:6">
      <c r="B79" s="414" t="s">
        <v>3915</v>
      </c>
      <c r="C79" t="s">
        <v>3900</v>
      </c>
      <c r="D79" s="948">
        <v>1.1012</v>
      </c>
      <c r="E79" s="42" t="s">
        <v>3877</v>
      </c>
      <c r="F79" s="42" t="s">
        <v>3877</v>
      </c>
    </row>
    <row r="80" spans="2:6">
      <c r="B80" s="564" t="s">
        <v>3916</v>
      </c>
      <c r="C80" s="73" t="s">
        <v>3900</v>
      </c>
      <c r="D80" s="958">
        <v>0.91449999999999998</v>
      </c>
      <c r="E80" s="959" t="s">
        <v>3877</v>
      </c>
      <c r="F80" s="959" t="s">
        <v>3877</v>
      </c>
    </row>
    <row r="81" spans="2:6">
      <c r="B81" s="960" t="s">
        <v>3917</v>
      </c>
      <c r="C81" s="950" t="s">
        <v>3900</v>
      </c>
      <c r="D81" s="956">
        <v>0.49255463949257372</v>
      </c>
      <c r="E81" s="957" t="s">
        <v>3877</v>
      </c>
      <c r="F81" s="957" t="s">
        <v>3877</v>
      </c>
    </row>
    <row r="82" spans="2:6">
      <c r="B82" s="414" t="s">
        <v>3918</v>
      </c>
      <c r="C82" t="s">
        <v>3900</v>
      </c>
      <c r="D82" s="948">
        <v>0.57004275858817965</v>
      </c>
      <c r="E82" s="42" t="s">
        <v>3877</v>
      </c>
      <c r="F82" s="42" t="s">
        <v>3877</v>
      </c>
    </row>
    <row r="83" spans="2:6">
      <c r="B83" s="564" t="s">
        <v>3919</v>
      </c>
      <c r="C83" s="73" t="s">
        <v>3900</v>
      </c>
      <c r="D83" s="958">
        <v>0.93372617539628344</v>
      </c>
      <c r="E83" s="959" t="s">
        <v>3877</v>
      </c>
      <c r="F83" s="959" t="s">
        <v>3877</v>
      </c>
    </row>
    <row r="84" spans="2:6">
      <c r="B84" s="960" t="s">
        <v>3920</v>
      </c>
      <c r="C84" s="950" t="s">
        <v>3900</v>
      </c>
      <c r="D84" s="956">
        <v>0.3172018248175183</v>
      </c>
      <c r="E84" s="957" t="s">
        <v>3877</v>
      </c>
      <c r="F84" s="957" t="s">
        <v>3877</v>
      </c>
    </row>
    <row r="85" spans="2:6">
      <c r="B85" s="564" t="s">
        <v>3921</v>
      </c>
      <c r="C85" s="73" t="s">
        <v>3900</v>
      </c>
      <c r="D85" s="958">
        <v>0.47022883285981981</v>
      </c>
      <c r="E85" s="959" t="s">
        <v>3877</v>
      </c>
      <c r="F85" s="959" t="s">
        <v>3877</v>
      </c>
    </row>
    <row r="86" spans="2:6">
      <c r="B86" s="960" t="s">
        <v>3922</v>
      </c>
      <c r="C86" s="950" t="s">
        <v>3902</v>
      </c>
      <c r="D86" s="956">
        <v>78.476632289948313</v>
      </c>
      <c r="E86" s="957" t="s">
        <v>3877</v>
      </c>
      <c r="F86" s="957" t="s">
        <v>3877</v>
      </c>
    </row>
    <row r="87" spans="2:6">
      <c r="B87" s="414" t="s">
        <v>3923</v>
      </c>
      <c r="C87" t="s">
        <v>3902</v>
      </c>
      <c r="D87" s="948">
        <v>361.7648758605846</v>
      </c>
      <c r="E87" s="42" t="s">
        <v>3877</v>
      </c>
      <c r="F87" s="42" t="s">
        <v>3877</v>
      </c>
    </row>
    <row r="88" spans="2:6">
      <c r="B88" s="564" t="s">
        <v>3924</v>
      </c>
      <c r="C88" s="73" t="s">
        <v>3902</v>
      </c>
      <c r="D88" s="958">
        <v>811.40046895446164</v>
      </c>
      <c r="E88" s="959" t="s">
        <v>3877</v>
      </c>
      <c r="F88" s="959" t="s">
        <v>3877</v>
      </c>
    </row>
    <row r="89" spans="2:6">
      <c r="B89" s="950" t="s">
        <v>3925</v>
      </c>
      <c r="C89" s="950" t="s">
        <v>2843</v>
      </c>
      <c r="D89" s="956">
        <v>44.177656959004025</v>
      </c>
      <c r="E89" s="957" t="s">
        <v>3877</v>
      </c>
      <c r="F89" s="957" t="s">
        <v>3877</v>
      </c>
    </row>
    <row r="90" spans="2:6">
      <c r="B90" s="73" t="s">
        <v>3926</v>
      </c>
      <c r="C90" s="73" t="s">
        <v>2843</v>
      </c>
      <c r="D90" s="958">
        <v>38.525745847892914</v>
      </c>
      <c r="E90" s="959" t="s">
        <v>3877</v>
      </c>
      <c r="F90" s="959" t="s">
        <v>3877</v>
      </c>
    </row>
    <row r="91" spans="2:6">
      <c r="B91" s="414" t="s">
        <v>3927</v>
      </c>
      <c r="C91" t="s">
        <v>3900</v>
      </c>
      <c r="D91" s="948">
        <v>0.65600897434378369</v>
      </c>
      <c r="E91" s="42" t="s">
        <v>3877</v>
      </c>
      <c r="F91" s="42" t="s">
        <v>3877</v>
      </c>
    </row>
    <row r="92" spans="2:6">
      <c r="B92" s="414" t="s">
        <v>3928</v>
      </c>
      <c r="C92" t="s">
        <v>3900</v>
      </c>
      <c r="D92" s="948">
        <v>0.74193129494261945</v>
      </c>
      <c r="E92" s="42" t="s">
        <v>3877</v>
      </c>
      <c r="F92" s="42" t="s">
        <v>3877</v>
      </c>
    </row>
    <row r="93" spans="2:6">
      <c r="B93" s="564" t="s">
        <v>3929</v>
      </c>
      <c r="C93" s="73" t="s">
        <v>3900</v>
      </c>
      <c r="D93" s="958">
        <v>0.84674242280285039</v>
      </c>
      <c r="E93" s="959" t="s">
        <v>3877</v>
      </c>
      <c r="F93" s="959" t="s">
        <v>3877</v>
      </c>
    </row>
    <row r="94" spans="2:6">
      <c r="B94" s="414" t="s">
        <v>3930</v>
      </c>
      <c r="C94" t="s">
        <v>3900</v>
      </c>
      <c r="D94" s="948">
        <v>0.33234317417601811</v>
      </c>
      <c r="E94" s="42" t="s">
        <v>3877</v>
      </c>
      <c r="F94" s="42" t="s">
        <v>3877</v>
      </c>
    </row>
    <row r="95" spans="2:6">
      <c r="B95" s="564" t="s">
        <v>3931</v>
      </c>
      <c r="C95" s="73" t="s">
        <v>3900</v>
      </c>
      <c r="D95" s="958">
        <v>0.81370650744184447</v>
      </c>
      <c r="E95" s="959" t="s">
        <v>3877</v>
      </c>
      <c r="F95" s="959" t="s">
        <v>3877</v>
      </c>
    </row>
    <row r="96" spans="2:6">
      <c r="B96" s="414" t="s">
        <v>3932</v>
      </c>
      <c r="C96" t="s">
        <v>3900</v>
      </c>
      <c r="D96" s="948">
        <v>0.20438225614058614</v>
      </c>
      <c r="E96" s="42" t="s">
        <v>3877</v>
      </c>
      <c r="F96" s="42" t="s">
        <v>3877</v>
      </c>
    </row>
    <row r="97" spans="2:6">
      <c r="B97" s="564" t="s">
        <v>3933</v>
      </c>
      <c r="C97" s="73" t="s">
        <v>3900</v>
      </c>
      <c r="D97" s="958">
        <v>0.40812805824157544</v>
      </c>
      <c r="E97" s="959" t="s">
        <v>3877</v>
      </c>
      <c r="F97" s="959" t="s">
        <v>3877</v>
      </c>
    </row>
    <row r="98" spans="2:6">
      <c r="B98" s="952" t="s">
        <v>3211</v>
      </c>
      <c r="C98" s="952" t="s">
        <v>3900</v>
      </c>
      <c r="D98" s="953">
        <v>0.74137399196238118</v>
      </c>
      <c r="E98" s="954" t="s">
        <v>3877</v>
      </c>
      <c r="F98" s="954" t="s">
        <v>3877</v>
      </c>
    </row>
    <row r="99" spans="2:6">
      <c r="B99" s="414" t="s">
        <v>3934</v>
      </c>
      <c r="C99" t="s">
        <v>3900</v>
      </c>
      <c r="D99" s="948">
        <v>2.3881161426276218</v>
      </c>
      <c r="E99" s="42" t="s">
        <v>3877</v>
      </c>
      <c r="F99" s="42" t="s">
        <v>3877</v>
      </c>
    </row>
    <row r="100" spans="2:6">
      <c r="B100" s="952" t="s">
        <v>3935</v>
      </c>
      <c r="C100" s="952" t="s">
        <v>3900</v>
      </c>
      <c r="D100" s="953">
        <v>0.42575032116788325</v>
      </c>
      <c r="E100" s="954" t="s">
        <v>3877</v>
      </c>
      <c r="F100" s="954" t="s">
        <v>3877</v>
      </c>
    </row>
    <row r="101" spans="2:6">
      <c r="B101" s="952" t="s">
        <v>3936</v>
      </c>
      <c r="C101" s="952" t="s">
        <v>3900</v>
      </c>
      <c r="D101" s="953">
        <v>0.48694420796818616</v>
      </c>
      <c r="E101" s="954" t="s">
        <v>3877</v>
      </c>
      <c r="F101" s="954" t="s">
        <v>3877</v>
      </c>
    </row>
    <row r="102" spans="2:6">
      <c r="B102" s="952" t="s">
        <v>3937</v>
      </c>
      <c r="C102" s="952" t="s">
        <v>3900</v>
      </c>
      <c r="D102" s="953">
        <v>0.38999349762688967</v>
      </c>
      <c r="E102" s="954" t="s">
        <v>3877</v>
      </c>
      <c r="F102" s="954" t="s">
        <v>3877</v>
      </c>
    </row>
    <row r="103" spans="2:6">
      <c r="B103" s="414" t="s">
        <v>3938</v>
      </c>
      <c r="C103" t="s">
        <v>3900</v>
      </c>
      <c r="D103" s="948">
        <v>0.10445948132048184</v>
      </c>
      <c r="E103" s="42" t="s">
        <v>3877</v>
      </c>
      <c r="F103" s="42" t="s">
        <v>3877</v>
      </c>
    </row>
    <row r="104" spans="2:6">
      <c r="B104" s="414" t="s">
        <v>3939</v>
      </c>
      <c r="C104" t="s">
        <v>3900</v>
      </c>
      <c r="D104" s="948">
        <v>0.21448163524559982</v>
      </c>
      <c r="E104" s="42" t="s">
        <v>3877</v>
      </c>
      <c r="F104" s="42" t="s">
        <v>3877</v>
      </c>
    </row>
    <row r="105" spans="2:6">
      <c r="B105" s="564" t="s">
        <v>3940</v>
      </c>
      <c r="C105" s="73" t="s">
        <v>3900</v>
      </c>
      <c r="D105" s="958">
        <v>0.28961344000739103</v>
      </c>
      <c r="E105" s="959" t="s">
        <v>3877</v>
      </c>
      <c r="F105" s="959" t="s">
        <v>3877</v>
      </c>
    </row>
    <row r="106" spans="2:6">
      <c r="B106" s="960" t="s">
        <v>3941</v>
      </c>
      <c r="C106" s="950" t="s">
        <v>3900</v>
      </c>
      <c r="D106" s="956">
        <v>0.87543886696652329</v>
      </c>
      <c r="E106" s="957" t="s">
        <v>3877</v>
      </c>
      <c r="F106" s="957" t="s">
        <v>3877</v>
      </c>
    </row>
    <row r="107" spans="2:6">
      <c r="B107" s="564" t="s">
        <v>3942</v>
      </c>
      <c r="C107" s="73" t="s">
        <v>3900</v>
      </c>
      <c r="D107" s="958">
        <v>0.48591449775627299</v>
      </c>
      <c r="E107" s="959" t="s">
        <v>3877</v>
      </c>
      <c r="F107" s="959" t="s">
        <v>3877</v>
      </c>
    </row>
    <row r="108" spans="2:6">
      <c r="B108" s="952" t="s">
        <v>3943</v>
      </c>
      <c r="C108" s="952" t="s">
        <v>3900</v>
      </c>
      <c r="D108" s="953">
        <v>0.68255791765637375</v>
      </c>
      <c r="E108" s="954" t="s">
        <v>3877</v>
      </c>
      <c r="F108" s="954" t="s">
        <v>3877</v>
      </c>
    </row>
    <row r="109" spans="2:6">
      <c r="B109" s="414" t="s">
        <v>3944</v>
      </c>
      <c r="C109" t="s">
        <v>3900</v>
      </c>
      <c r="D109" s="948">
        <v>0.21325228017050835</v>
      </c>
      <c r="E109" s="42" t="s">
        <v>3877</v>
      </c>
      <c r="F109" s="42" t="s">
        <v>3877</v>
      </c>
    </row>
    <row r="110" spans="2:6">
      <c r="B110" s="414" t="s">
        <v>3945</v>
      </c>
      <c r="C110" t="s">
        <v>3900</v>
      </c>
      <c r="D110" s="948">
        <v>0.2558351123249763</v>
      </c>
      <c r="E110" s="42" t="s">
        <v>3877</v>
      </c>
      <c r="F110" s="42" t="s">
        <v>3877</v>
      </c>
    </row>
    <row r="111" spans="2:6">
      <c r="B111" s="564" t="s">
        <v>3946</v>
      </c>
      <c r="C111" s="73" t="s">
        <v>3900</v>
      </c>
      <c r="D111" s="958">
        <v>0.31827794416978772</v>
      </c>
      <c r="E111" s="959" t="s">
        <v>3877</v>
      </c>
      <c r="F111" s="959" t="s">
        <v>3877</v>
      </c>
    </row>
    <row r="112" spans="2:6">
      <c r="B112" s="414" t="s">
        <v>3947</v>
      </c>
      <c r="C112" t="s">
        <v>3900</v>
      </c>
      <c r="D112" s="948">
        <v>0.12531949821201241</v>
      </c>
      <c r="E112" s="42" t="s">
        <v>3877</v>
      </c>
      <c r="F112" s="42" t="s">
        <v>3877</v>
      </c>
    </row>
    <row r="113" spans="1:6">
      <c r="B113" s="414" t="s">
        <v>3948</v>
      </c>
      <c r="C113" t="s">
        <v>3900</v>
      </c>
      <c r="D113" s="948">
        <v>0.15728565790356952</v>
      </c>
      <c r="E113" s="42" t="s">
        <v>3877</v>
      </c>
      <c r="F113" s="42" t="s">
        <v>3877</v>
      </c>
    </row>
    <row r="114" spans="1:6">
      <c r="B114" s="564" t="s">
        <v>3949</v>
      </c>
      <c r="C114" s="73" t="s">
        <v>3900</v>
      </c>
      <c r="D114" s="958">
        <v>0.17978347397804662</v>
      </c>
      <c r="E114" s="959" t="s">
        <v>3877</v>
      </c>
      <c r="F114" s="959" t="s">
        <v>3877</v>
      </c>
    </row>
    <row r="115" spans="1:6">
      <c r="B115" t="s">
        <v>3950</v>
      </c>
      <c r="C115" t="s">
        <v>2843</v>
      </c>
      <c r="D115" s="948">
        <v>1.0111282050615207</v>
      </c>
      <c r="E115" s="42" t="s">
        <v>3877</v>
      </c>
      <c r="F115" s="42" t="s">
        <v>3877</v>
      </c>
    </row>
    <row r="116" spans="1:6">
      <c r="B116" s="414" t="s">
        <v>3951</v>
      </c>
      <c r="C116" t="s">
        <v>2843</v>
      </c>
      <c r="D116" s="948">
        <v>1.3708025989562564</v>
      </c>
      <c r="E116" s="42" t="s">
        <v>3877</v>
      </c>
      <c r="F116" s="42" t="s">
        <v>3877</v>
      </c>
    </row>
    <row r="117" spans="1:6">
      <c r="B117" s="73" t="s">
        <v>3952</v>
      </c>
      <c r="C117" s="73" t="s">
        <v>2843</v>
      </c>
      <c r="D117" s="958">
        <v>1.7203222705757928</v>
      </c>
      <c r="E117" s="959" t="s">
        <v>3877</v>
      </c>
      <c r="F117" s="959" t="s">
        <v>3877</v>
      </c>
    </row>
    <row r="118" spans="1:6">
      <c r="B118" s="414" t="s">
        <v>3953</v>
      </c>
      <c r="C118" t="s">
        <v>3900</v>
      </c>
      <c r="D118" s="948">
        <v>0.13709828619050735</v>
      </c>
      <c r="E118" s="42" t="s">
        <v>3877</v>
      </c>
      <c r="F118" s="42" t="s">
        <v>3877</v>
      </c>
    </row>
    <row r="119" spans="1:6">
      <c r="B119" s="564" t="s">
        <v>3954</v>
      </c>
      <c r="C119" s="73" t="s">
        <v>3900</v>
      </c>
      <c r="D119" s="958">
        <v>0.19509817893903403</v>
      </c>
      <c r="E119" s="959" t="s">
        <v>3877</v>
      </c>
      <c r="F119" s="959" t="s">
        <v>3877</v>
      </c>
    </row>
    <row r="120" spans="1:6">
      <c r="B120" s="955" t="s">
        <v>3955</v>
      </c>
      <c r="C120" s="952" t="s">
        <v>3900</v>
      </c>
      <c r="D120" s="953">
        <v>8.3511491937189888</v>
      </c>
      <c r="E120" s="954" t="s">
        <v>3877</v>
      </c>
      <c r="F120" s="954" t="s">
        <v>3877</v>
      </c>
    </row>
    <row r="121" spans="1:6">
      <c r="B121" s="414" t="s">
        <v>3956</v>
      </c>
      <c r="C121" t="s">
        <v>2843</v>
      </c>
      <c r="D121" s="948">
        <v>6.3109223358010995</v>
      </c>
      <c r="E121" s="42" t="s">
        <v>3877</v>
      </c>
      <c r="F121" s="42" t="s">
        <v>3877</v>
      </c>
    </row>
    <row r="122" spans="1:6">
      <c r="B122" s="414" t="s">
        <v>3957</v>
      </c>
      <c r="C122" t="s">
        <v>2843</v>
      </c>
      <c r="D122" s="948">
        <v>8.0362899049881236</v>
      </c>
      <c r="E122" s="42" t="s">
        <v>3877</v>
      </c>
      <c r="F122" s="42" t="s">
        <v>3877</v>
      </c>
    </row>
    <row r="123" spans="1:6">
      <c r="B123" s="564" t="s">
        <v>3958</v>
      </c>
      <c r="C123" s="73" t="s">
        <v>2843</v>
      </c>
      <c r="D123" s="958">
        <v>10.748262798053529</v>
      </c>
      <c r="E123" s="959" t="s">
        <v>3877</v>
      </c>
      <c r="F123" s="959" t="s">
        <v>3877</v>
      </c>
    </row>
    <row r="126" spans="1:6">
      <c r="A126" s="937" t="s">
        <v>3960</v>
      </c>
      <c r="B126" s="937" t="s">
        <v>3961</v>
      </c>
      <c r="C126" s="937"/>
      <c r="D126" s="937"/>
      <c r="E126" s="937"/>
      <c r="F126" s="937"/>
    </row>
    <row r="127" spans="1:6">
      <c r="A127" s="947">
        <v>35</v>
      </c>
      <c r="B127" s="73" t="s">
        <v>3962</v>
      </c>
      <c r="C127" s="73" t="s">
        <v>3963</v>
      </c>
      <c r="D127" s="564" t="s">
        <v>3872</v>
      </c>
      <c r="E127" s="73" t="s">
        <v>3865</v>
      </c>
      <c r="F127" s="73" t="s">
        <v>3866</v>
      </c>
    </row>
    <row r="128" spans="1:6">
      <c r="A128" s="3" t="s">
        <v>3965</v>
      </c>
      <c r="B128">
        <v>0</v>
      </c>
      <c r="C128">
        <v>2</v>
      </c>
      <c r="D128" s="17">
        <v>382.59443243243237</v>
      </c>
      <c r="E128">
        <v>25</v>
      </c>
      <c r="F128">
        <v>20</v>
      </c>
    </row>
    <row r="129" spans="1:6">
      <c r="A129" s="3"/>
      <c r="B129">
        <v>2.1</v>
      </c>
      <c r="C129">
        <v>2.5</v>
      </c>
      <c r="D129" s="17">
        <v>465.81371999999999</v>
      </c>
      <c r="E129">
        <v>25</v>
      </c>
      <c r="F129">
        <v>20</v>
      </c>
    </row>
    <row r="130" spans="1:6">
      <c r="A130" s="3"/>
      <c r="B130">
        <v>2.6</v>
      </c>
      <c r="C130">
        <v>3</v>
      </c>
      <c r="D130" s="17">
        <v>985.99555274261604</v>
      </c>
      <c r="E130">
        <v>25</v>
      </c>
      <c r="F130">
        <v>20</v>
      </c>
    </row>
    <row r="131" spans="1:6">
      <c r="A131" s="3"/>
      <c r="B131">
        <v>3.1</v>
      </c>
      <c r="C131">
        <v>4</v>
      </c>
      <c r="D131" s="17">
        <v>1175</v>
      </c>
      <c r="E131">
        <v>25</v>
      </c>
      <c r="F131">
        <v>20</v>
      </c>
    </row>
    <row r="132" spans="1:6">
      <c r="A132" s="3"/>
      <c r="B132">
        <v>4.0999999999999996</v>
      </c>
      <c r="C132">
        <v>8</v>
      </c>
      <c r="D132" s="17">
        <v>1725</v>
      </c>
      <c r="E132">
        <v>25</v>
      </c>
      <c r="F132">
        <v>20</v>
      </c>
    </row>
    <row r="133" spans="1:6">
      <c r="A133" s="3"/>
      <c r="B133">
        <v>8.1</v>
      </c>
      <c r="C133">
        <v>12</v>
      </c>
      <c r="D133" s="17">
        <v>2875</v>
      </c>
      <c r="E133">
        <v>25</v>
      </c>
      <c r="F133">
        <v>20</v>
      </c>
    </row>
    <row r="134" spans="1:6">
      <c r="A134" s="3" t="s">
        <v>3964</v>
      </c>
      <c r="B134">
        <v>12.1</v>
      </c>
      <c r="C134">
        <v>14</v>
      </c>
      <c r="D134" s="17">
        <v>5400</v>
      </c>
      <c r="E134">
        <v>25</v>
      </c>
      <c r="F134">
        <v>20</v>
      </c>
    </row>
    <row r="135" spans="1:6">
      <c r="A135" s="3"/>
      <c r="B135">
        <v>14.1</v>
      </c>
      <c r="C135">
        <v>18</v>
      </c>
      <c r="D135" s="17">
        <v>9700</v>
      </c>
      <c r="E135">
        <v>25</v>
      </c>
      <c r="F135">
        <v>20</v>
      </c>
    </row>
    <row r="136" spans="1:6">
      <c r="A136" s="3"/>
      <c r="B136">
        <v>18.100000000000001</v>
      </c>
      <c r="C136">
        <v>20</v>
      </c>
      <c r="D136" s="17">
        <v>12700</v>
      </c>
      <c r="E136">
        <v>25</v>
      </c>
      <c r="F136">
        <v>20</v>
      </c>
    </row>
    <row r="137" spans="1:6">
      <c r="A137" s="3"/>
      <c r="B137">
        <v>20.100000000000001</v>
      </c>
      <c r="C137">
        <v>24</v>
      </c>
      <c r="D137" s="17">
        <v>20900</v>
      </c>
      <c r="E137">
        <v>25</v>
      </c>
      <c r="F137">
        <v>20</v>
      </c>
    </row>
    <row r="138" spans="1:6">
      <c r="A138" s="3"/>
      <c r="B138">
        <v>24.1</v>
      </c>
      <c r="C138">
        <v>30</v>
      </c>
      <c r="D138" s="17">
        <v>17100</v>
      </c>
      <c r="E138">
        <v>25</v>
      </c>
      <c r="F138">
        <v>20</v>
      </c>
    </row>
    <row r="139" spans="1:6">
      <c r="A139" s="3"/>
      <c r="B139">
        <v>30.1</v>
      </c>
      <c r="C139">
        <v>36</v>
      </c>
      <c r="D139" s="17">
        <v>21100</v>
      </c>
      <c r="E139">
        <v>25</v>
      </c>
      <c r="F139">
        <v>20</v>
      </c>
    </row>
    <row r="140" spans="1:6">
      <c r="A140" s="3"/>
      <c r="B140">
        <v>36.1</v>
      </c>
      <c r="C140">
        <v>42</v>
      </c>
      <c r="D140" s="17">
        <v>26600</v>
      </c>
      <c r="E140">
        <v>25</v>
      </c>
      <c r="F140">
        <v>20</v>
      </c>
    </row>
    <row r="141" spans="1:6">
      <c r="A141" s="3"/>
      <c r="B141">
        <v>42.1</v>
      </c>
      <c r="C141">
        <v>48</v>
      </c>
      <c r="D141" s="17">
        <v>34100</v>
      </c>
      <c r="E141">
        <v>25</v>
      </c>
      <c r="F141">
        <v>20</v>
      </c>
    </row>
    <row r="142" spans="1:6">
      <c r="A142" s="3"/>
      <c r="B142">
        <v>48.1</v>
      </c>
      <c r="C142" t="s">
        <v>3873</v>
      </c>
      <c r="D142" s="17" t="s">
        <v>3873</v>
      </c>
      <c r="E142">
        <v>25</v>
      </c>
      <c r="F142">
        <v>20</v>
      </c>
    </row>
    <row r="145" spans="1:6">
      <c r="A145" s="937" t="s">
        <v>3960</v>
      </c>
      <c r="B145" s="937" t="s">
        <v>3966</v>
      </c>
      <c r="C145" s="937"/>
      <c r="D145" s="937"/>
      <c r="E145" s="937"/>
      <c r="F145" s="937"/>
    </row>
    <row r="146" spans="1:6">
      <c r="A146" s="947">
        <v>35</v>
      </c>
      <c r="B146" s="73" t="s">
        <v>3962</v>
      </c>
      <c r="C146" s="73" t="s">
        <v>3963</v>
      </c>
      <c r="D146" s="564" t="s">
        <v>3872</v>
      </c>
      <c r="E146" s="73" t="s">
        <v>3865</v>
      </c>
      <c r="F146" s="73" t="s">
        <v>3866</v>
      </c>
    </row>
    <row r="147" spans="1:6">
      <c r="A147" s="3" t="s">
        <v>3967</v>
      </c>
      <c r="B147">
        <v>0</v>
      </c>
      <c r="C147">
        <v>2</v>
      </c>
      <c r="D147" s="17">
        <v>727.99227027027018</v>
      </c>
      <c r="E147">
        <v>25</v>
      </c>
      <c r="F147">
        <v>20</v>
      </c>
    </row>
    <row r="148" spans="1:6">
      <c r="A148" s="3"/>
      <c r="B148">
        <v>2.1</v>
      </c>
      <c r="C148">
        <v>3</v>
      </c>
      <c r="D148" s="17">
        <v>906.87331645569623</v>
      </c>
      <c r="E148">
        <v>25</v>
      </c>
      <c r="F148">
        <v>20</v>
      </c>
    </row>
    <row r="149" spans="1:6">
      <c r="A149" s="3"/>
      <c r="B149">
        <v>3.1</v>
      </c>
      <c r="C149">
        <v>4</v>
      </c>
      <c r="D149" s="17">
        <v>1775</v>
      </c>
      <c r="E149">
        <v>25</v>
      </c>
      <c r="F149">
        <v>20</v>
      </c>
    </row>
    <row r="150" spans="1:6">
      <c r="A150" s="3"/>
      <c r="B150">
        <v>4.0999999999999996</v>
      </c>
      <c r="C150">
        <v>6</v>
      </c>
      <c r="D150" s="17">
        <v>2750</v>
      </c>
      <c r="E150">
        <v>25</v>
      </c>
      <c r="F150">
        <v>20</v>
      </c>
    </row>
    <row r="151" spans="1:6">
      <c r="A151" s="3"/>
      <c r="B151">
        <v>6.1</v>
      </c>
      <c r="C151">
        <v>8</v>
      </c>
      <c r="D151" s="17">
        <v>4850</v>
      </c>
      <c r="E151">
        <v>25</v>
      </c>
      <c r="F151">
        <v>20</v>
      </c>
    </row>
    <row r="152" spans="1:6">
      <c r="A152" s="3"/>
      <c r="B152">
        <v>8.1</v>
      </c>
      <c r="C152">
        <v>12</v>
      </c>
      <c r="D152" s="17">
        <v>12600</v>
      </c>
      <c r="E152">
        <v>25</v>
      </c>
      <c r="F152">
        <v>20</v>
      </c>
    </row>
    <row r="153" spans="1:6">
      <c r="A153" s="3"/>
      <c r="B153">
        <v>12.1</v>
      </c>
      <c r="C153">
        <v>18</v>
      </c>
      <c r="D153" s="17">
        <v>47100</v>
      </c>
      <c r="E153">
        <v>25</v>
      </c>
      <c r="F153">
        <v>20</v>
      </c>
    </row>
    <row r="154" spans="1:6">
      <c r="A154" s="3"/>
      <c r="B154">
        <v>18.100000000000001</v>
      </c>
      <c r="C154">
        <v>24</v>
      </c>
      <c r="D154" s="17">
        <v>66500</v>
      </c>
      <c r="E154">
        <v>25</v>
      </c>
      <c r="F154">
        <v>20</v>
      </c>
    </row>
    <row r="155" spans="1:6">
      <c r="A155" s="3"/>
      <c r="B155">
        <v>24.1</v>
      </c>
      <c r="C155" t="s">
        <v>3873</v>
      </c>
      <c r="D155" s="17" t="s">
        <v>3873</v>
      </c>
      <c r="E155">
        <v>25</v>
      </c>
      <c r="F155">
        <v>20</v>
      </c>
    </row>
    <row r="158" spans="1:6">
      <c r="A158" s="937" t="s">
        <v>3960</v>
      </c>
      <c r="B158" s="937" t="s">
        <v>3968</v>
      </c>
      <c r="C158" s="937"/>
      <c r="D158" s="937"/>
      <c r="E158" s="937"/>
      <c r="F158" s="937"/>
    </row>
    <row r="159" spans="1:6">
      <c r="A159" s="947">
        <v>35</v>
      </c>
      <c r="B159" s="73" t="s">
        <v>3962</v>
      </c>
      <c r="C159" s="73" t="s">
        <v>3963</v>
      </c>
      <c r="D159" s="564" t="s">
        <v>3872</v>
      </c>
      <c r="E159" s="73" t="s">
        <v>3865</v>
      </c>
      <c r="F159" s="73" t="s">
        <v>3866</v>
      </c>
    </row>
    <row r="160" spans="1:6">
      <c r="A160" s="3" t="s">
        <v>3969</v>
      </c>
      <c r="B160">
        <v>0</v>
      </c>
      <c r="C160">
        <v>1</v>
      </c>
      <c r="D160" s="17">
        <v>1344.7174074420614</v>
      </c>
      <c r="E160">
        <v>25</v>
      </c>
      <c r="F160">
        <v>20</v>
      </c>
    </row>
    <row r="161" spans="1:6">
      <c r="A161" s="3"/>
      <c r="B161">
        <v>1.1000000000000001</v>
      </c>
      <c r="C161">
        <v>2</v>
      </c>
      <c r="D161" s="17">
        <v>863.90978021978026</v>
      </c>
      <c r="E161">
        <v>25</v>
      </c>
      <c r="F161">
        <v>20</v>
      </c>
    </row>
    <row r="162" spans="1:6">
      <c r="A162" s="3"/>
      <c r="B162">
        <v>2.1</v>
      </c>
      <c r="C162">
        <v>3</v>
      </c>
      <c r="D162" s="17">
        <v>3473.2001649484537</v>
      </c>
      <c r="E162">
        <v>25</v>
      </c>
      <c r="F162">
        <v>20</v>
      </c>
    </row>
    <row r="163" spans="1:6">
      <c r="A163" s="3"/>
      <c r="B163">
        <v>3.1</v>
      </c>
      <c r="C163">
        <v>4</v>
      </c>
      <c r="D163" s="17">
        <v>4185.087896551724</v>
      </c>
      <c r="E163">
        <v>25</v>
      </c>
      <c r="F163">
        <v>20</v>
      </c>
    </row>
    <row r="164" spans="1:6">
      <c r="A164" s="3"/>
      <c r="B164">
        <v>4.0999999999999996</v>
      </c>
      <c r="C164">
        <v>6</v>
      </c>
      <c r="D164" s="17">
        <v>6000.7343666666675</v>
      </c>
      <c r="E164">
        <v>25</v>
      </c>
      <c r="F164">
        <v>20</v>
      </c>
    </row>
    <row r="165" spans="1:6">
      <c r="A165" s="3"/>
      <c r="B165">
        <v>6.1</v>
      </c>
      <c r="C165">
        <v>8</v>
      </c>
      <c r="D165" s="17">
        <v>11061.839595959596</v>
      </c>
      <c r="E165">
        <v>25</v>
      </c>
      <c r="F165">
        <v>20</v>
      </c>
    </row>
    <row r="166" spans="1:6">
      <c r="A166" s="3"/>
      <c r="B166">
        <v>8.1</v>
      </c>
      <c r="C166">
        <v>10</v>
      </c>
      <c r="D166" s="17">
        <v>14396.050612244897</v>
      </c>
      <c r="E166">
        <v>25</v>
      </c>
      <c r="F166">
        <v>20</v>
      </c>
    </row>
    <row r="167" spans="1:6">
      <c r="A167" s="3"/>
      <c r="B167">
        <v>10.1</v>
      </c>
      <c r="C167">
        <v>12</v>
      </c>
      <c r="D167" s="17">
        <v>16659.506451612902</v>
      </c>
      <c r="E167">
        <v>25</v>
      </c>
      <c r="F167">
        <v>20</v>
      </c>
    </row>
    <row r="168" spans="1:6">
      <c r="A168" s="3"/>
      <c r="B168">
        <v>12.1</v>
      </c>
      <c r="C168">
        <v>14</v>
      </c>
      <c r="D168" s="17">
        <v>19254.500240963855</v>
      </c>
      <c r="E168">
        <v>25</v>
      </c>
      <c r="F168">
        <v>20</v>
      </c>
    </row>
    <row r="169" spans="1:6">
      <c r="A169" s="3"/>
      <c r="B169">
        <v>14.1</v>
      </c>
      <c r="C169">
        <v>16</v>
      </c>
      <c r="D169" s="17">
        <v>26647.512289156628</v>
      </c>
      <c r="E169">
        <v>25</v>
      </c>
      <c r="F169">
        <v>20</v>
      </c>
    </row>
    <row r="170" spans="1:6">
      <c r="A170" s="3"/>
      <c r="B170">
        <v>16.100000000000001</v>
      </c>
      <c r="C170">
        <v>18</v>
      </c>
      <c r="D170" s="17">
        <v>33531.189219858155</v>
      </c>
      <c r="E170">
        <v>25</v>
      </c>
      <c r="F170">
        <v>20</v>
      </c>
    </row>
    <row r="171" spans="1:6">
      <c r="A171" s="3"/>
      <c r="B171">
        <v>18.100000000000001</v>
      </c>
      <c r="C171">
        <v>30</v>
      </c>
      <c r="D171" s="17">
        <v>42084.270140109402</v>
      </c>
      <c r="E171">
        <v>25</v>
      </c>
      <c r="F171">
        <v>20</v>
      </c>
    </row>
    <row r="172" spans="1:6">
      <c r="A172" s="3"/>
      <c r="B172">
        <v>30.1</v>
      </c>
      <c r="C172">
        <v>48</v>
      </c>
      <c r="D172" s="17">
        <v>59227.779900671587</v>
      </c>
      <c r="E172">
        <v>25</v>
      </c>
      <c r="F172">
        <v>20</v>
      </c>
    </row>
    <row r="173" spans="1:6">
      <c r="A173" s="3"/>
      <c r="B173">
        <v>48.1</v>
      </c>
      <c r="C173" t="s">
        <v>3873</v>
      </c>
      <c r="D173" s="17" t="s">
        <v>3873</v>
      </c>
      <c r="E173">
        <v>25</v>
      </c>
      <c r="F173">
        <v>20</v>
      </c>
    </row>
    <row r="176" spans="1:6">
      <c r="A176" s="937" t="s">
        <v>3875</v>
      </c>
      <c r="B176" s="937" t="s">
        <v>3970</v>
      </c>
      <c r="C176" s="937"/>
      <c r="D176" s="937"/>
      <c r="E176" s="937"/>
      <c r="F176" s="937"/>
    </row>
    <row r="177" spans="1:6">
      <c r="A177" s="947">
        <v>3</v>
      </c>
      <c r="B177" s="73"/>
      <c r="C177" s="73"/>
      <c r="D177" s="73" t="s">
        <v>3876</v>
      </c>
      <c r="E177" s="804" t="s">
        <v>3865</v>
      </c>
      <c r="F177" s="804" t="s">
        <v>3866</v>
      </c>
    </row>
    <row r="178" spans="1:6">
      <c r="A178" s="3" t="s">
        <v>3971</v>
      </c>
      <c r="B178">
        <v>0</v>
      </c>
      <c r="C178">
        <v>0</v>
      </c>
      <c r="D178" s="948">
        <v>739.60558874747949</v>
      </c>
      <c r="E178" s="414">
        <v>40</v>
      </c>
      <c r="F178" s="414">
        <v>37</v>
      </c>
    </row>
    <row r="181" spans="1:6">
      <c r="A181" s="937" t="s">
        <v>3896</v>
      </c>
      <c r="B181" s="937" t="s">
        <v>3972</v>
      </c>
      <c r="C181" s="937"/>
      <c r="D181" s="937"/>
      <c r="E181" s="937"/>
      <c r="F181" s="937"/>
    </row>
    <row r="182" spans="1:6">
      <c r="A182" s="947">
        <v>11</v>
      </c>
      <c r="B182" s="73"/>
      <c r="C182" s="73"/>
      <c r="D182" s="961" t="s">
        <v>3973</v>
      </c>
      <c r="E182" s="804" t="s">
        <v>3865</v>
      </c>
      <c r="F182" s="804" t="s">
        <v>3866</v>
      </c>
    </row>
    <row r="183" spans="1:6">
      <c r="A183" s="3" t="s">
        <v>3974</v>
      </c>
      <c r="B183">
        <v>0</v>
      </c>
      <c r="C183">
        <v>0</v>
      </c>
      <c r="D183" s="948">
        <v>389.13</v>
      </c>
      <c r="E183" s="414">
        <v>10</v>
      </c>
      <c r="F183" s="414">
        <v>10</v>
      </c>
    </row>
    <row r="186" spans="1:6">
      <c r="A186" s="937" t="s">
        <v>3875</v>
      </c>
      <c r="B186" s="937" t="s">
        <v>3507</v>
      </c>
      <c r="C186" s="937"/>
      <c r="D186" s="937"/>
      <c r="E186" s="937"/>
      <c r="F186" s="937"/>
    </row>
    <row r="187" spans="1:6">
      <c r="A187" s="947">
        <v>3</v>
      </c>
      <c r="B187" s="73"/>
      <c r="C187" s="73"/>
      <c r="D187" s="73" t="s">
        <v>3876</v>
      </c>
      <c r="E187" s="804" t="s">
        <v>3865</v>
      </c>
      <c r="F187" s="804" t="s">
        <v>3866</v>
      </c>
    </row>
    <row r="188" spans="1:6">
      <c r="A188" s="3" t="s">
        <v>3975</v>
      </c>
      <c r="B188">
        <v>0</v>
      </c>
      <c r="C188">
        <v>0</v>
      </c>
      <c r="D188" s="948">
        <v>492.74999999999994</v>
      </c>
      <c r="E188" s="414">
        <v>40</v>
      </c>
      <c r="F188" s="414">
        <v>37</v>
      </c>
    </row>
    <row r="191" spans="1:6">
      <c r="A191" s="937" t="s">
        <v>3976</v>
      </c>
      <c r="B191" s="937" t="s">
        <v>3977</v>
      </c>
      <c r="C191" s="937"/>
      <c r="D191" s="937"/>
      <c r="E191" s="937"/>
      <c r="F191" s="937"/>
    </row>
    <row r="192" spans="1:6">
      <c r="A192" s="947">
        <v>24</v>
      </c>
      <c r="B192" s="804" t="s">
        <v>3978</v>
      </c>
      <c r="C192" s="564" t="s">
        <v>3979</v>
      </c>
      <c r="D192" s="564" t="s">
        <v>3872</v>
      </c>
      <c r="E192" s="804" t="s">
        <v>3980</v>
      </c>
      <c r="F192" s="564" t="s">
        <v>3866</v>
      </c>
    </row>
    <row r="193" spans="1:6">
      <c r="A193" s="3" t="s">
        <v>3981</v>
      </c>
      <c r="B193" s="414">
        <v>0</v>
      </c>
      <c r="C193">
        <v>8</v>
      </c>
      <c r="D193" s="17">
        <v>56676.281085048002</v>
      </c>
      <c r="E193">
        <v>40</v>
      </c>
      <c r="F193">
        <v>37</v>
      </c>
    </row>
    <row r="194" spans="1:6">
      <c r="A194" s="3"/>
      <c r="B194" s="414">
        <v>9</v>
      </c>
      <c r="C194">
        <v>10</v>
      </c>
      <c r="D194" s="17">
        <v>59919.803195336892</v>
      </c>
      <c r="E194">
        <v>40</v>
      </c>
      <c r="F194">
        <v>37</v>
      </c>
    </row>
    <row r="195" spans="1:6">
      <c r="A195" s="3"/>
      <c r="B195" s="414">
        <v>11</v>
      </c>
      <c r="C195">
        <v>12</v>
      </c>
      <c r="D195" s="17">
        <v>63163.325305625782</v>
      </c>
      <c r="E195">
        <v>40</v>
      </c>
      <c r="F195">
        <v>37</v>
      </c>
    </row>
    <row r="196" spans="1:6">
      <c r="A196" s="3"/>
      <c r="B196" s="414">
        <v>13</v>
      </c>
      <c r="C196">
        <v>14</v>
      </c>
      <c r="D196" s="17">
        <v>79210.224167055057</v>
      </c>
      <c r="E196">
        <v>40</v>
      </c>
      <c r="F196">
        <v>37</v>
      </c>
    </row>
    <row r="197" spans="1:6">
      <c r="A197" s="3"/>
      <c r="B197" s="414">
        <v>15</v>
      </c>
      <c r="C197">
        <v>16</v>
      </c>
      <c r="D197" s="17">
        <v>83648.728107450355</v>
      </c>
      <c r="E197">
        <v>40</v>
      </c>
      <c r="F197">
        <v>37</v>
      </c>
    </row>
    <row r="198" spans="1:6">
      <c r="A198" s="3"/>
      <c r="B198" s="414">
        <v>17</v>
      </c>
      <c r="C198">
        <v>18</v>
      </c>
      <c r="D198" s="17">
        <v>107036.22963953343</v>
      </c>
      <c r="E198">
        <v>40</v>
      </c>
      <c r="F198">
        <v>37</v>
      </c>
    </row>
    <row r="199" spans="1:6">
      <c r="A199" s="3"/>
      <c r="B199" s="414">
        <v>19</v>
      </c>
      <c r="C199">
        <v>20</v>
      </c>
      <c r="D199" s="17">
        <v>112840.42710005038</v>
      </c>
      <c r="E199">
        <v>40</v>
      </c>
      <c r="F199">
        <v>37</v>
      </c>
    </row>
    <row r="200" spans="1:6">
      <c r="A200" s="3"/>
      <c r="B200" s="414">
        <v>21</v>
      </c>
      <c r="C200">
        <v>22</v>
      </c>
      <c r="D200" s="17">
        <v>126326.65061125156</v>
      </c>
      <c r="E200">
        <v>40</v>
      </c>
      <c r="F200">
        <v>37</v>
      </c>
    </row>
    <row r="201" spans="1:6">
      <c r="A201" s="3"/>
      <c r="B201" s="414">
        <v>23</v>
      </c>
      <c r="C201">
        <v>24</v>
      </c>
      <c r="D201" s="17">
        <v>130082.30779158608</v>
      </c>
      <c r="E201">
        <v>40</v>
      </c>
      <c r="F201">
        <v>37</v>
      </c>
    </row>
    <row r="202" spans="1:6">
      <c r="A202" s="3"/>
      <c r="B202" s="414">
        <v>25</v>
      </c>
      <c r="C202">
        <v>26</v>
      </c>
      <c r="D202" s="17">
        <v>160810.41199432296</v>
      </c>
      <c r="E202">
        <v>40</v>
      </c>
      <c r="F202">
        <v>37</v>
      </c>
    </row>
    <row r="203" spans="1:6">
      <c r="A203" s="3"/>
      <c r="B203" s="414">
        <v>27</v>
      </c>
      <c r="C203">
        <v>28</v>
      </c>
      <c r="D203" s="17">
        <v>185734.31873654283</v>
      </c>
      <c r="E203">
        <v>40</v>
      </c>
      <c r="F203">
        <v>37</v>
      </c>
    </row>
    <row r="204" spans="1:6">
      <c r="A204" s="3"/>
      <c r="B204" s="414">
        <v>29</v>
      </c>
      <c r="C204">
        <v>30</v>
      </c>
      <c r="D204" s="17">
        <v>192904.20971718145</v>
      </c>
      <c r="E204">
        <v>40</v>
      </c>
      <c r="F204">
        <v>37</v>
      </c>
    </row>
    <row r="205" spans="1:6">
      <c r="A205" s="3"/>
      <c r="B205" s="414">
        <v>31</v>
      </c>
      <c r="C205" t="s">
        <v>3873</v>
      </c>
      <c r="D205" s="948" t="s">
        <v>3873</v>
      </c>
      <c r="E205">
        <v>40</v>
      </c>
      <c r="F205">
        <v>37</v>
      </c>
    </row>
    <row r="208" spans="1:6">
      <c r="A208" s="937" t="s">
        <v>3982</v>
      </c>
      <c r="B208" s="937" t="s">
        <v>3983</v>
      </c>
      <c r="C208" s="937"/>
      <c r="D208" s="937"/>
      <c r="E208" s="937"/>
      <c r="F208" s="937"/>
    </row>
    <row r="209" spans="1:6">
      <c r="A209" s="947">
        <v>15</v>
      </c>
      <c r="B209" s="73" t="s">
        <v>3962</v>
      </c>
      <c r="C209" s="73" t="s">
        <v>3963</v>
      </c>
      <c r="D209" s="564" t="s">
        <v>3984</v>
      </c>
      <c r="E209" s="73" t="s">
        <v>3865</v>
      </c>
      <c r="F209" s="73" t="s">
        <v>3866</v>
      </c>
    </row>
    <row r="210" spans="1:6">
      <c r="A210" s="3" t="s">
        <v>3985</v>
      </c>
      <c r="B210">
        <v>0</v>
      </c>
      <c r="C210">
        <v>0.5</v>
      </c>
      <c r="D210" s="17">
        <v>2.6632135313802943</v>
      </c>
      <c r="E210">
        <v>22</v>
      </c>
      <c r="F210">
        <v>17</v>
      </c>
    </row>
    <row r="211" spans="1:6">
      <c r="A211" s="3"/>
      <c r="B211">
        <v>0.6</v>
      </c>
      <c r="C211">
        <v>0.75</v>
      </c>
      <c r="D211" s="17">
        <v>3.4161861313868607</v>
      </c>
      <c r="E211">
        <v>22</v>
      </c>
      <c r="F211">
        <v>17</v>
      </c>
    </row>
    <row r="212" spans="1:6">
      <c r="A212" s="3"/>
      <c r="B212">
        <v>0.76</v>
      </c>
      <c r="C212">
        <v>1</v>
      </c>
      <c r="D212" s="17">
        <v>4.6191902899139743</v>
      </c>
      <c r="E212">
        <v>22</v>
      </c>
      <c r="F212">
        <v>17</v>
      </c>
    </row>
    <row r="213" spans="1:6">
      <c r="A213" s="3"/>
      <c r="B213">
        <v>1.1000000000000001</v>
      </c>
      <c r="C213">
        <v>1.5</v>
      </c>
      <c r="D213" s="17">
        <v>6.9897382182847299</v>
      </c>
      <c r="E213">
        <v>22</v>
      </c>
      <c r="F213">
        <v>17</v>
      </c>
    </row>
    <row r="214" spans="1:6">
      <c r="A214" s="3"/>
      <c r="B214">
        <v>1.6</v>
      </c>
      <c r="C214">
        <v>2</v>
      </c>
      <c r="D214" s="17">
        <v>9.7307617597109495</v>
      </c>
      <c r="E214">
        <v>22</v>
      </c>
      <c r="F214">
        <v>17</v>
      </c>
    </row>
    <row r="215" spans="1:6">
      <c r="A215" s="3"/>
      <c r="B215">
        <v>2.1</v>
      </c>
      <c r="C215">
        <v>2.5</v>
      </c>
      <c r="D215" s="17">
        <v>13.9160178794061</v>
      </c>
      <c r="E215">
        <v>22</v>
      </c>
      <c r="F215">
        <v>17</v>
      </c>
    </row>
    <row r="216" spans="1:6">
      <c r="A216" s="3"/>
      <c r="B216">
        <v>2.6</v>
      </c>
      <c r="C216">
        <v>3</v>
      </c>
      <c r="D216" s="17">
        <v>15.479636354286573</v>
      </c>
      <c r="E216">
        <v>22</v>
      </c>
      <c r="F216">
        <v>17</v>
      </c>
    </row>
    <row r="217" spans="1:6">
      <c r="A217" s="3"/>
      <c r="B217">
        <v>3.1</v>
      </c>
      <c r="C217">
        <v>4</v>
      </c>
      <c r="D217" s="17">
        <v>27.687322631427584</v>
      </c>
      <c r="E217">
        <v>22</v>
      </c>
      <c r="F217">
        <v>17</v>
      </c>
    </row>
    <row r="218" spans="1:6">
      <c r="A218" s="3"/>
      <c r="B218">
        <v>4.0999999999999996</v>
      </c>
      <c r="C218">
        <v>6</v>
      </c>
      <c r="D218" s="17">
        <v>50.768846439169138</v>
      </c>
      <c r="E218">
        <v>22</v>
      </c>
      <c r="F218">
        <v>17</v>
      </c>
    </row>
    <row r="219" spans="1:6">
      <c r="A219" s="3"/>
      <c r="B219">
        <v>6.1</v>
      </c>
      <c r="C219">
        <v>8</v>
      </c>
      <c r="D219" s="17">
        <v>60.907083897837325</v>
      </c>
      <c r="E219">
        <v>22</v>
      </c>
      <c r="F219">
        <v>17</v>
      </c>
    </row>
    <row r="220" spans="1:6">
      <c r="A220" s="3"/>
      <c r="B220">
        <v>8.1</v>
      </c>
      <c r="C220">
        <v>10</v>
      </c>
      <c r="D220" s="17">
        <v>120.49246198157502</v>
      </c>
      <c r="E220">
        <v>22</v>
      </c>
      <c r="F220">
        <v>17</v>
      </c>
    </row>
    <row r="221" spans="1:6">
      <c r="A221" s="3"/>
      <c r="B221">
        <v>10.1</v>
      </c>
      <c r="C221">
        <v>12</v>
      </c>
      <c r="D221" s="17">
        <v>157.99898111173229</v>
      </c>
      <c r="E221">
        <v>22</v>
      </c>
      <c r="F221">
        <v>17</v>
      </c>
    </row>
    <row r="222" spans="1:6">
      <c r="A222" s="3"/>
      <c r="B222">
        <v>12.1</v>
      </c>
      <c r="C222">
        <v>14</v>
      </c>
      <c r="D222" s="17">
        <v>232.01930337969426</v>
      </c>
      <c r="E222">
        <v>22</v>
      </c>
      <c r="F222">
        <v>17</v>
      </c>
    </row>
    <row r="223" spans="1:6">
      <c r="A223" s="3"/>
      <c r="B223">
        <v>14.1</v>
      </c>
      <c r="C223">
        <v>16</v>
      </c>
      <c r="D223" s="17">
        <v>296.65379213483146</v>
      </c>
      <c r="E223">
        <v>22</v>
      </c>
      <c r="F223">
        <v>17</v>
      </c>
    </row>
    <row r="224" spans="1:6">
      <c r="A224" s="3"/>
      <c r="B224">
        <v>16.100000000000001</v>
      </c>
      <c r="C224">
        <v>18</v>
      </c>
      <c r="D224" s="17">
        <v>297.3340569345113</v>
      </c>
      <c r="E224">
        <v>22</v>
      </c>
      <c r="F224">
        <v>17</v>
      </c>
    </row>
    <row r="225" spans="1:6">
      <c r="A225" s="3"/>
      <c r="B225">
        <v>18.100000000000001</v>
      </c>
      <c r="C225" t="s">
        <v>3873</v>
      </c>
      <c r="D225" s="17" t="s">
        <v>3873</v>
      </c>
      <c r="E225">
        <v>22</v>
      </c>
      <c r="F225">
        <v>17</v>
      </c>
    </row>
    <row r="228" spans="1:6">
      <c r="A228" s="937" t="s">
        <v>3986</v>
      </c>
      <c r="B228" s="937" t="s">
        <v>3987</v>
      </c>
      <c r="C228" s="937"/>
      <c r="D228" s="937"/>
      <c r="E228" s="937"/>
      <c r="F228" s="937"/>
    </row>
    <row r="229" spans="1:6">
      <c r="A229" s="947">
        <v>23</v>
      </c>
      <c r="B229" s="73" t="s">
        <v>3988</v>
      </c>
      <c r="C229" s="73" t="s">
        <v>3989</v>
      </c>
      <c r="D229" s="73" t="s">
        <v>3872</v>
      </c>
      <c r="E229" s="73" t="s">
        <v>3865</v>
      </c>
      <c r="F229" s="73" t="s">
        <v>3866</v>
      </c>
    </row>
    <row r="230" spans="1:6">
      <c r="A230" s="3" t="s">
        <v>3990</v>
      </c>
      <c r="B230">
        <v>0</v>
      </c>
      <c r="C230" s="414">
        <v>180</v>
      </c>
      <c r="D230" s="17">
        <v>18903.617325224444</v>
      </c>
      <c r="E230">
        <v>35</v>
      </c>
      <c r="F230">
        <v>30</v>
      </c>
    </row>
    <row r="231" spans="1:6">
      <c r="A231" s="3"/>
      <c r="B231">
        <v>181</v>
      </c>
      <c r="C231" s="414">
        <v>1400</v>
      </c>
      <c r="D231" s="17">
        <v>37307.291561729398</v>
      </c>
      <c r="E231">
        <v>35</v>
      </c>
      <c r="F231">
        <v>30</v>
      </c>
    </row>
    <row r="232" spans="1:6">
      <c r="A232" s="3"/>
      <c r="B232">
        <v>1401</v>
      </c>
      <c r="C232" s="414">
        <v>2000</v>
      </c>
      <c r="D232" s="17">
        <v>56179.431524547799</v>
      </c>
      <c r="E232">
        <v>35</v>
      </c>
      <c r="F232">
        <v>30</v>
      </c>
    </row>
    <row r="233" spans="1:6">
      <c r="A233" s="3"/>
      <c r="B233">
        <v>2001</v>
      </c>
      <c r="C233" s="414">
        <v>6800</v>
      </c>
      <c r="D233" s="17">
        <v>86885.007846737135</v>
      </c>
      <c r="E233">
        <v>35</v>
      </c>
      <c r="F233">
        <v>30</v>
      </c>
    </row>
    <row r="234" spans="1:6">
      <c r="A234" s="3"/>
      <c r="B234">
        <v>6801</v>
      </c>
      <c r="C234" s="414">
        <v>27100</v>
      </c>
      <c r="D234" s="17">
        <v>188661.29032258067</v>
      </c>
      <c r="E234">
        <v>35</v>
      </c>
      <c r="F234">
        <v>30</v>
      </c>
    </row>
    <row r="235" spans="1:6">
      <c r="A235" s="3"/>
      <c r="B235">
        <v>27101</v>
      </c>
      <c r="C235" t="s">
        <v>3873</v>
      </c>
      <c r="D235" s="17" t="s">
        <v>3873</v>
      </c>
      <c r="E235">
        <v>35</v>
      </c>
      <c r="F235">
        <v>30</v>
      </c>
    </row>
    <row r="238" spans="1:6">
      <c r="A238" s="937" t="s">
        <v>3986</v>
      </c>
      <c r="B238" s="937" t="s">
        <v>3991</v>
      </c>
      <c r="C238" s="937"/>
      <c r="D238" s="937"/>
      <c r="E238" s="937"/>
      <c r="F238" s="937"/>
    </row>
    <row r="239" spans="1:6">
      <c r="A239" s="947">
        <v>23</v>
      </c>
      <c r="B239" s="73" t="s">
        <v>3988</v>
      </c>
      <c r="C239" s="73" t="s">
        <v>3989</v>
      </c>
      <c r="D239" s="73" t="s">
        <v>3872</v>
      </c>
      <c r="E239" s="73" t="s">
        <v>3865</v>
      </c>
      <c r="F239" s="73" t="s">
        <v>3866</v>
      </c>
    </row>
    <row r="240" spans="1:6">
      <c r="A240" s="3" t="s">
        <v>3992</v>
      </c>
      <c r="B240">
        <v>0</v>
      </c>
      <c r="C240" s="414">
        <v>180</v>
      </c>
      <c r="D240" s="17">
        <v>17250.424316108834</v>
      </c>
      <c r="E240">
        <v>35</v>
      </c>
      <c r="F240">
        <v>30</v>
      </c>
    </row>
    <row r="241" spans="1:6">
      <c r="A241" s="3"/>
      <c r="B241">
        <v>181</v>
      </c>
      <c r="C241" s="414">
        <v>1400</v>
      </c>
      <c r="D241" s="17">
        <v>32550.197998383468</v>
      </c>
      <c r="E241">
        <v>35</v>
      </c>
      <c r="F241">
        <v>30</v>
      </c>
    </row>
    <row r="242" spans="1:6">
      <c r="A242" s="3"/>
      <c r="B242">
        <v>1701</v>
      </c>
      <c r="C242" s="414">
        <v>2000</v>
      </c>
      <c r="D242" s="17">
        <v>49233.695090439272</v>
      </c>
      <c r="E242">
        <v>35</v>
      </c>
      <c r="F242">
        <v>30</v>
      </c>
    </row>
    <row r="243" spans="1:6">
      <c r="A243" s="3"/>
      <c r="B243">
        <v>1401</v>
      </c>
      <c r="C243" s="414">
        <v>6800</v>
      </c>
      <c r="D243" s="17">
        <v>71941.198515468393</v>
      </c>
      <c r="E243">
        <v>35</v>
      </c>
      <c r="F243">
        <v>30</v>
      </c>
    </row>
    <row r="244" spans="1:6">
      <c r="A244" s="3"/>
      <c r="B244">
        <v>6801</v>
      </c>
      <c r="C244" s="414">
        <v>27100</v>
      </c>
      <c r="D244" s="17">
        <v>142935.48387096776</v>
      </c>
      <c r="E244">
        <v>35</v>
      </c>
      <c r="F244">
        <v>30</v>
      </c>
    </row>
    <row r="245" spans="1:6">
      <c r="A245" s="3"/>
      <c r="B245">
        <v>27101</v>
      </c>
      <c r="C245" t="s">
        <v>3873</v>
      </c>
      <c r="D245" s="17" t="s">
        <v>3873</v>
      </c>
      <c r="E245">
        <v>35</v>
      </c>
      <c r="F245">
        <v>30</v>
      </c>
    </row>
    <row r="248" spans="1:6">
      <c r="A248" s="3"/>
    </row>
    <row r="249" spans="1:6">
      <c r="A249" s="962" t="s">
        <v>3993</v>
      </c>
      <c r="B249" s="405" t="s">
        <v>3994</v>
      </c>
      <c r="C249" s="963">
        <v>2021</v>
      </c>
    </row>
    <row r="252" spans="1:6">
      <c r="A252" s="937" t="s">
        <v>3995</v>
      </c>
      <c r="B252" s="937" t="s">
        <v>3996</v>
      </c>
      <c r="C252" s="937"/>
      <c r="D252" s="937"/>
      <c r="E252" s="937"/>
      <c r="F252" s="937"/>
    </row>
    <row r="253" spans="1:6">
      <c r="A253" s="947">
        <v>19</v>
      </c>
      <c r="B253" s="73" t="s">
        <v>3962</v>
      </c>
      <c r="C253" s="73" t="s">
        <v>3963</v>
      </c>
      <c r="D253" s="564" t="s">
        <v>3984</v>
      </c>
      <c r="E253" s="73" t="s">
        <v>3865</v>
      </c>
      <c r="F253" s="73" t="s">
        <v>3866</v>
      </c>
    </row>
    <row r="254" spans="1:6">
      <c r="A254" s="3" t="s">
        <v>3997</v>
      </c>
      <c r="B254">
        <v>0</v>
      </c>
      <c r="C254">
        <v>4</v>
      </c>
      <c r="D254" s="17">
        <v>75</v>
      </c>
      <c r="E254">
        <v>40</v>
      </c>
      <c r="F254">
        <v>35</v>
      </c>
    </row>
    <row r="255" spans="1:6">
      <c r="A255" s="3"/>
      <c r="B255">
        <v>4.0999999999999996</v>
      </c>
      <c r="C255">
        <v>6</v>
      </c>
      <c r="D255" s="17">
        <v>92.5</v>
      </c>
      <c r="E255">
        <v>40</v>
      </c>
      <c r="F255">
        <v>35</v>
      </c>
    </row>
    <row r="256" spans="1:6">
      <c r="A256" s="3"/>
      <c r="B256">
        <v>6.1</v>
      </c>
      <c r="C256">
        <v>8</v>
      </c>
      <c r="D256" s="17">
        <v>126</v>
      </c>
      <c r="E256">
        <v>40</v>
      </c>
      <c r="F256">
        <v>35</v>
      </c>
    </row>
    <row r="257" spans="1:6">
      <c r="A257" s="3"/>
      <c r="B257">
        <v>8.1</v>
      </c>
      <c r="C257">
        <v>10</v>
      </c>
      <c r="D257" s="17">
        <v>161</v>
      </c>
      <c r="E257">
        <v>40</v>
      </c>
      <c r="F257">
        <v>35</v>
      </c>
    </row>
    <row r="258" spans="1:6">
      <c r="A258" s="3"/>
      <c r="B258">
        <v>10.1</v>
      </c>
      <c r="C258">
        <v>12</v>
      </c>
      <c r="D258" s="17">
        <v>197</v>
      </c>
      <c r="E258">
        <v>40</v>
      </c>
      <c r="F258">
        <v>35</v>
      </c>
    </row>
    <row r="259" spans="1:6">
      <c r="A259" s="3"/>
      <c r="B259">
        <v>12.1</v>
      </c>
      <c r="C259">
        <v>14</v>
      </c>
      <c r="D259" s="17">
        <v>157</v>
      </c>
      <c r="E259">
        <v>40</v>
      </c>
      <c r="F259">
        <v>35</v>
      </c>
    </row>
    <row r="260" spans="1:6">
      <c r="A260" s="3"/>
      <c r="B260">
        <v>14.1</v>
      </c>
      <c r="C260">
        <v>16</v>
      </c>
      <c r="D260" s="17">
        <v>169</v>
      </c>
      <c r="E260">
        <v>40</v>
      </c>
      <c r="F260">
        <v>35</v>
      </c>
    </row>
    <row r="261" spans="1:6">
      <c r="A261" s="3"/>
      <c r="B261">
        <v>16.100000000000001</v>
      </c>
      <c r="C261">
        <v>18</v>
      </c>
      <c r="D261" s="17">
        <v>216</v>
      </c>
      <c r="E261">
        <v>40</v>
      </c>
      <c r="F261">
        <v>35</v>
      </c>
    </row>
    <row r="262" spans="1:6">
      <c r="A262" s="3"/>
      <c r="B262">
        <v>18.100000000000001</v>
      </c>
      <c r="C262">
        <v>20</v>
      </c>
      <c r="D262" s="17">
        <v>225</v>
      </c>
      <c r="E262">
        <v>40</v>
      </c>
      <c r="F262">
        <v>35</v>
      </c>
    </row>
    <row r="263" spans="1:6">
      <c r="A263" s="3"/>
      <c r="B263">
        <v>20.100000000000001</v>
      </c>
      <c r="C263">
        <v>24</v>
      </c>
      <c r="D263" s="17">
        <v>254</v>
      </c>
      <c r="E263">
        <v>40</v>
      </c>
      <c r="F263">
        <v>35</v>
      </c>
    </row>
    <row r="264" spans="1:6">
      <c r="A264" s="3"/>
      <c r="B264">
        <v>24.1</v>
      </c>
      <c r="C264">
        <v>30</v>
      </c>
      <c r="D264" s="17">
        <v>345.13777777777773</v>
      </c>
      <c r="E264">
        <v>40</v>
      </c>
      <c r="F264">
        <v>35</v>
      </c>
    </row>
    <row r="265" spans="1:6">
      <c r="A265" s="3"/>
      <c r="B265">
        <v>30.1</v>
      </c>
      <c r="C265">
        <v>36</v>
      </c>
      <c r="D265" s="17">
        <v>451.23555555555549</v>
      </c>
      <c r="E265">
        <v>40</v>
      </c>
      <c r="F265">
        <v>35</v>
      </c>
    </row>
    <row r="266" spans="1:6">
      <c r="A266" s="3"/>
      <c r="B266">
        <v>36.1</v>
      </c>
      <c r="C266">
        <v>42</v>
      </c>
      <c r="D266" s="17">
        <v>628.76444444444439</v>
      </c>
      <c r="E266">
        <v>40</v>
      </c>
      <c r="F266">
        <v>35</v>
      </c>
    </row>
    <row r="267" spans="1:6">
      <c r="A267" s="3"/>
      <c r="B267">
        <v>42.1</v>
      </c>
      <c r="C267">
        <v>48</v>
      </c>
      <c r="D267" s="17">
        <v>816.64</v>
      </c>
      <c r="E267">
        <v>40</v>
      </c>
      <c r="F267">
        <v>35</v>
      </c>
    </row>
    <row r="268" spans="1:6">
      <c r="A268" s="3"/>
      <c r="B268">
        <v>48.1</v>
      </c>
      <c r="C268" t="s">
        <v>3873</v>
      </c>
      <c r="D268" s="17" t="s">
        <v>3873</v>
      </c>
      <c r="E268">
        <v>40</v>
      </c>
      <c r="F268">
        <v>35</v>
      </c>
    </row>
    <row r="271" spans="1:6">
      <c r="A271" s="937" t="s">
        <v>3863</v>
      </c>
      <c r="B271" s="937" t="s">
        <v>3998</v>
      </c>
      <c r="C271" s="937"/>
      <c r="D271" s="937"/>
      <c r="E271" s="937"/>
      <c r="F271" s="937"/>
    </row>
    <row r="272" spans="1:6">
      <c r="A272" s="947">
        <v>43</v>
      </c>
      <c r="B272" s="73"/>
      <c r="C272" s="73"/>
      <c r="D272" s="564" t="s">
        <v>3872</v>
      </c>
      <c r="E272" s="73" t="s">
        <v>3865</v>
      </c>
      <c r="F272" s="73" t="s">
        <v>3866</v>
      </c>
    </row>
    <row r="273" spans="1:6">
      <c r="A273" s="3" t="s">
        <v>3999</v>
      </c>
      <c r="B273">
        <v>0</v>
      </c>
      <c r="C273">
        <v>0</v>
      </c>
      <c r="D273" s="17">
        <v>1400</v>
      </c>
      <c r="E273">
        <v>22</v>
      </c>
      <c r="F273">
        <v>17</v>
      </c>
    </row>
    <row r="276" spans="1:6">
      <c r="A276" s="947">
        <v>3</v>
      </c>
      <c r="B276" s="73"/>
      <c r="C276" s="74"/>
      <c r="D276" s="564" t="s">
        <v>3876</v>
      </c>
      <c r="E276" s="564" t="s">
        <v>3865</v>
      </c>
    </row>
    <row r="277" spans="1:6">
      <c r="A277" s="3" t="s">
        <v>4001</v>
      </c>
      <c r="B277" s="414" t="s">
        <v>4000</v>
      </c>
      <c r="C277" s="3" t="s">
        <v>4001</v>
      </c>
      <c r="D277" s="948">
        <v>8.19</v>
      </c>
      <c r="E277" t="s">
        <v>720</v>
      </c>
    </row>
    <row r="280" spans="1:6">
      <c r="A280" s="937" t="s">
        <v>4002</v>
      </c>
      <c r="B280" s="937" t="s">
        <v>4003</v>
      </c>
      <c r="C280" s="937"/>
      <c r="D280" s="937"/>
      <c r="E280" s="937"/>
      <c r="F280" s="937"/>
    </row>
    <row r="281" spans="1:6">
      <c r="A281" s="947">
        <v>16</v>
      </c>
      <c r="B281" s="73"/>
      <c r="C281" s="74"/>
      <c r="D281" s="564" t="s">
        <v>4004</v>
      </c>
      <c r="E281" s="564" t="s">
        <v>3865</v>
      </c>
      <c r="F281" s="564" t="s">
        <v>3866</v>
      </c>
    </row>
    <row r="282" spans="1:6">
      <c r="A282" s="3" t="s">
        <v>4005</v>
      </c>
      <c r="B282">
        <v>0</v>
      </c>
      <c r="C282">
        <v>0</v>
      </c>
      <c r="D282" s="948">
        <v>2.7</v>
      </c>
      <c r="E282" s="414">
        <v>10</v>
      </c>
      <c r="F282" s="414">
        <v>10</v>
      </c>
    </row>
    <row r="285" spans="1:6">
      <c r="A285" s="937" t="s">
        <v>3875</v>
      </c>
      <c r="B285" s="937" t="s">
        <v>1263</v>
      </c>
      <c r="C285" s="937"/>
      <c r="D285" s="937"/>
      <c r="E285" s="937"/>
      <c r="F285" s="937"/>
    </row>
    <row r="286" spans="1:6">
      <c r="A286" s="947">
        <v>3</v>
      </c>
      <c r="B286" s="73"/>
      <c r="C286" s="73"/>
      <c r="D286" s="73" t="s">
        <v>3876</v>
      </c>
      <c r="E286" s="73" t="s">
        <v>3865</v>
      </c>
      <c r="F286" s="73" t="s">
        <v>3866</v>
      </c>
    </row>
    <row r="287" spans="1:6">
      <c r="A287" s="3" t="s">
        <v>4006</v>
      </c>
      <c r="B287">
        <v>0</v>
      </c>
      <c r="C287">
        <v>0</v>
      </c>
      <c r="D287" s="948">
        <v>30.879999999999995</v>
      </c>
      <c r="E287" t="s">
        <v>3877</v>
      </c>
      <c r="F287" t="s">
        <v>3877</v>
      </c>
    </row>
    <row r="290" spans="1:6">
      <c r="A290" s="937" t="s">
        <v>4002</v>
      </c>
      <c r="B290" s="937" t="s">
        <v>4007</v>
      </c>
      <c r="C290" s="937"/>
      <c r="D290" s="937"/>
      <c r="E290" s="937"/>
      <c r="F290" s="937"/>
    </row>
    <row r="291" spans="1:6">
      <c r="A291" s="947">
        <v>16</v>
      </c>
      <c r="B291" s="73" t="s">
        <v>3988</v>
      </c>
      <c r="C291" s="73" t="s">
        <v>3989</v>
      </c>
      <c r="D291" s="73" t="s">
        <v>3872</v>
      </c>
      <c r="E291" s="73" t="s">
        <v>3865</v>
      </c>
      <c r="F291" s="73" t="s">
        <v>3866</v>
      </c>
    </row>
    <row r="292" spans="1:6">
      <c r="A292" s="3" t="s">
        <v>4008</v>
      </c>
      <c r="B292">
        <v>0</v>
      </c>
      <c r="C292">
        <v>564</v>
      </c>
      <c r="D292" s="17">
        <v>7145.2205882352946</v>
      </c>
      <c r="E292">
        <v>25</v>
      </c>
      <c r="F292">
        <v>20</v>
      </c>
    </row>
    <row r="293" spans="1:6">
      <c r="A293" s="3"/>
      <c r="B293">
        <v>565</v>
      </c>
      <c r="C293">
        <v>600</v>
      </c>
      <c r="D293" s="17">
        <v>18678.227941176472</v>
      </c>
      <c r="E293">
        <v>25</v>
      </c>
      <c r="F293">
        <v>20</v>
      </c>
    </row>
    <row r="294" spans="1:6">
      <c r="A294" s="3"/>
      <c r="B294">
        <v>601</v>
      </c>
      <c r="C294">
        <v>1000</v>
      </c>
      <c r="D294" s="17">
        <v>28419.964285714283</v>
      </c>
      <c r="E294">
        <v>25</v>
      </c>
      <c r="F294">
        <v>20</v>
      </c>
    </row>
    <row r="295" spans="1:6">
      <c r="A295" s="3"/>
      <c r="B295">
        <v>1001</v>
      </c>
      <c r="C295">
        <v>1470</v>
      </c>
      <c r="D295" s="17">
        <v>8733.9285714285706</v>
      </c>
      <c r="E295">
        <v>25</v>
      </c>
      <c r="F295">
        <v>20</v>
      </c>
    </row>
    <row r="296" spans="1:6">
      <c r="A296" s="3"/>
      <c r="B296">
        <v>1471</v>
      </c>
      <c r="C296">
        <v>1500</v>
      </c>
      <c r="D296" s="17">
        <v>24998.206896551721</v>
      </c>
      <c r="E296">
        <v>25</v>
      </c>
      <c r="F296">
        <v>20</v>
      </c>
    </row>
    <row r="297" spans="1:6">
      <c r="A297" s="3"/>
      <c r="B297">
        <v>1501</v>
      </c>
      <c r="C297">
        <v>2000</v>
      </c>
      <c r="D297" s="17">
        <v>28731.03875968992</v>
      </c>
      <c r="E297">
        <v>25</v>
      </c>
      <c r="F297">
        <v>20</v>
      </c>
    </row>
    <row r="298" spans="1:6">
      <c r="A298" s="3"/>
      <c r="B298">
        <v>2001</v>
      </c>
      <c r="C298">
        <v>3000</v>
      </c>
      <c r="D298" s="17">
        <v>30053.043927648578</v>
      </c>
      <c r="E298">
        <v>25</v>
      </c>
      <c r="F298">
        <v>20</v>
      </c>
    </row>
    <row r="299" spans="1:6">
      <c r="A299" s="3"/>
      <c r="B299">
        <v>3001</v>
      </c>
      <c r="C299">
        <v>4000</v>
      </c>
      <c r="D299" s="17">
        <v>33272.392764857876</v>
      </c>
      <c r="E299">
        <v>25</v>
      </c>
      <c r="F299">
        <v>20</v>
      </c>
    </row>
    <row r="300" spans="1:6">
      <c r="A300" s="3"/>
      <c r="B300">
        <v>4001</v>
      </c>
      <c r="C300">
        <v>4500</v>
      </c>
      <c r="D300" s="17">
        <v>12994.315245478036</v>
      </c>
      <c r="E300">
        <v>25</v>
      </c>
      <c r="F300">
        <v>20</v>
      </c>
    </row>
    <row r="301" spans="1:6">
      <c r="A301" s="3"/>
      <c r="B301">
        <v>4501</v>
      </c>
      <c r="C301">
        <v>5000</v>
      </c>
      <c r="D301" s="17">
        <v>36466.366492146597</v>
      </c>
      <c r="E301">
        <v>25</v>
      </c>
      <c r="F301">
        <v>20</v>
      </c>
    </row>
    <row r="302" spans="1:6">
      <c r="A302" s="3"/>
      <c r="B302">
        <v>5001</v>
      </c>
      <c r="C302">
        <v>6000</v>
      </c>
      <c r="D302" s="17">
        <v>40172.167539267015</v>
      </c>
      <c r="E302">
        <v>25</v>
      </c>
      <c r="F302">
        <v>20</v>
      </c>
    </row>
    <row r="303" spans="1:6">
      <c r="A303" s="3"/>
      <c r="B303">
        <v>6001</v>
      </c>
      <c r="C303">
        <v>7000</v>
      </c>
      <c r="D303" s="17">
        <v>43357.41361256544</v>
      </c>
      <c r="E303">
        <v>25</v>
      </c>
      <c r="F303">
        <v>20</v>
      </c>
    </row>
    <row r="304" spans="1:6">
      <c r="A304" s="3"/>
      <c r="B304">
        <v>7001</v>
      </c>
      <c r="C304">
        <v>8000</v>
      </c>
      <c r="D304" s="17">
        <v>46547.246073298425</v>
      </c>
      <c r="E304">
        <v>25</v>
      </c>
      <c r="F304">
        <v>20</v>
      </c>
    </row>
    <row r="305" spans="1:6">
      <c r="A305" s="3"/>
      <c r="B305">
        <v>8001</v>
      </c>
      <c r="C305">
        <v>9000</v>
      </c>
      <c r="D305" s="17">
        <v>49390.806282722508</v>
      </c>
      <c r="E305">
        <v>25</v>
      </c>
      <c r="F305">
        <v>20</v>
      </c>
    </row>
    <row r="306" spans="1:6">
      <c r="A306" s="3"/>
      <c r="B306">
        <v>9001</v>
      </c>
      <c r="C306">
        <v>10000</v>
      </c>
      <c r="D306" s="17">
        <v>58598.51880877743</v>
      </c>
      <c r="E306">
        <v>25</v>
      </c>
      <c r="F306">
        <v>20</v>
      </c>
    </row>
    <row r="307" spans="1:6">
      <c r="A307" s="3"/>
      <c r="B307">
        <v>10001</v>
      </c>
      <c r="C307">
        <v>11000</v>
      </c>
      <c r="D307" s="17">
        <v>55237.429467084643</v>
      </c>
      <c r="E307">
        <v>25</v>
      </c>
      <c r="F307">
        <v>20</v>
      </c>
    </row>
    <row r="308" spans="1:6">
      <c r="A308" s="3"/>
      <c r="B308">
        <v>11001</v>
      </c>
      <c r="C308">
        <v>11750</v>
      </c>
      <c r="D308" s="17">
        <v>26877.272727272728</v>
      </c>
      <c r="E308">
        <v>25</v>
      </c>
      <c r="F308">
        <v>20</v>
      </c>
    </row>
    <row r="309" spans="1:6">
      <c r="A309" s="3"/>
      <c r="B309">
        <v>11751</v>
      </c>
      <c r="C309">
        <v>12000</v>
      </c>
      <c r="D309" s="17">
        <v>58195.188087774295</v>
      </c>
      <c r="E309">
        <v>25</v>
      </c>
      <c r="F309">
        <v>20</v>
      </c>
    </row>
    <row r="310" spans="1:6">
      <c r="A310" s="3"/>
      <c r="B310">
        <v>12001</v>
      </c>
      <c r="C310">
        <v>13000</v>
      </c>
      <c r="D310" s="17">
        <v>67522.711598746086</v>
      </c>
      <c r="E310">
        <v>25</v>
      </c>
      <c r="F310">
        <v>20</v>
      </c>
    </row>
    <row r="311" spans="1:6">
      <c r="A311" s="3"/>
      <c r="B311">
        <v>13001</v>
      </c>
      <c r="C311">
        <v>14000</v>
      </c>
      <c r="D311" s="17">
        <v>74843.307210031358</v>
      </c>
      <c r="E311">
        <v>25</v>
      </c>
      <c r="F311">
        <v>20</v>
      </c>
    </row>
    <row r="312" spans="1:6">
      <c r="A312" s="3"/>
      <c r="B312">
        <v>14001</v>
      </c>
      <c r="C312">
        <v>15000</v>
      </c>
      <c r="D312" s="17">
        <v>73837.256097560967</v>
      </c>
      <c r="E312">
        <v>25</v>
      </c>
      <c r="F312">
        <v>20</v>
      </c>
    </row>
    <row r="313" spans="1:6">
      <c r="A313" s="3"/>
      <c r="B313">
        <v>15001</v>
      </c>
      <c r="C313">
        <v>20000</v>
      </c>
      <c r="D313" s="17">
        <v>103145.65094339623</v>
      </c>
      <c r="E313">
        <v>25</v>
      </c>
      <c r="F313">
        <v>20</v>
      </c>
    </row>
    <row r="314" spans="1:6">
      <c r="A314" s="3"/>
      <c r="B314">
        <v>20001</v>
      </c>
      <c r="C314">
        <v>20300</v>
      </c>
      <c r="D314" s="17">
        <v>37943.773584905663</v>
      </c>
      <c r="E314">
        <v>25</v>
      </c>
      <c r="F314">
        <v>20</v>
      </c>
    </row>
    <row r="315" spans="1:6">
      <c r="A315" s="3"/>
      <c r="B315">
        <v>20001</v>
      </c>
      <c r="C315">
        <v>22000</v>
      </c>
      <c r="D315" s="17">
        <v>115906.58490566039</v>
      </c>
      <c r="E315">
        <v>25</v>
      </c>
      <c r="F315">
        <v>20</v>
      </c>
    </row>
    <row r="316" spans="1:6">
      <c r="A316" s="3"/>
      <c r="B316">
        <v>20001</v>
      </c>
      <c r="C316">
        <v>25000</v>
      </c>
      <c r="D316" s="17">
        <v>134954.3548387097</v>
      </c>
      <c r="E316">
        <v>25</v>
      </c>
      <c r="F316">
        <v>20</v>
      </c>
    </row>
    <row r="317" spans="1:6">
      <c r="A317" s="3"/>
      <c r="B317">
        <v>20001</v>
      </c>
      <c r="C317">
        <v>30000</v>
      </c>
      <c r="D317" s="17">
        <v>163190.43243243243</v>
      </c>
      <c r="E317">
        <v>25</v>
      </c>
      <c r="F317">
        <v>20</v>
      </c>
    </row>
    <row r="318" spans="1:6">
      <c r="A318" s="3"/>
      <c r="B318">
        <v>20001</v>
      </c>
      <c r="C318">
        <v>35000</v>
      </c>
      <c r="D318" s="17">
        <v>177220.13513513512</v>
      </c>
      <c r="E318">
        <v>25</v>
      </c>
      <c r="F318">
        <v>20</v>
      </c>
    </row>
    <row r="319" spans="1:6">
      <c r="A319" s="3"/>
      <c r="B319">
        <v>20001</v>
      </c>
      <c r="C319">
        <v>40000</v>
      </c>
      <c r="D319" s="17">
        <v>222109.6216216216</v>
      </c>
      <c r="E319">
        <v>25</v>
      </c>
      <c r="F319">
        <v>20</v>
      </c>
    </row>
    <row r="320" spans="1:6">
      <c r="A320" s="3"/>
      <c r="B320">
        <v>20001</v>
      </c>
      <c r="C320">
        <v>45000</v>
      </c>
      <c r="D320" s="17">
        <v>254334.97297297296</v>
      </c>
      <c r="E320">
        <v>25</v>
      </c>
      <c r="F320">
        <v>20</v>
      </c>
    </row>
    <row r="321" spans="1:6">
      <c r="A321" s="3"/>
      <c r="B321">
        <v>20001</v>
      </c>
      <c r="C321">
        <v>48000</v>
      </c>
      <c r="D321" s="17">
        <v>271073.67567567568</v>
      </c>
      <c r="E321">
        <v>25</v>
      </c>
      <c r="F321">
        <v>20</v>
      </c>
    </row>
    <row r="322" spans="1:6">
      <c r="A322" s="3"/>
      <c r="B322">
        <v>20001</v>
      </c>
      <c r="C322">
        <v>50000</v>
      </c>
      <c r="D322" s="17">
        <v>203871.02702702701</v>
      </c>
      <c r="E322">
        <v>25</v>
      </c>
      <c r="F322">
        <v>20</v>
      </c>
    </row>
    <row r="323" spans="1:6">
      <c r="A323" s="3"/>
      <c r="B323">
        <v>20001</v>
      </c>
      <c r="C323" t="s">
        <v>3873</v>
      </c>
      <c r="D323" s="17" t="s">
        <v>3873</v>
      </c>
      <c r="E323">
        <v>25</v>
      </c>
      <c r="F323">
        <v>20</v>
      </c>
    </row>
    <row r="326" spans="1:6">
      <c r="A326" s="937" t="s">
        <v>4002</v>
      </c>
      <c r="B326" s="937" t="s">
        <v>4009</v>
      </c>
      <c r="C326" s="937"/>
      <c r="D326" s="937"/>
      <c r="E326" s="937"/>
      <c r="F326" s="937"/>
    </row>
    <row r="327" spans="1:6">
      <c r="A327" s="947">
        <v>16</v>
      </c>
      <c r="B327" s="804" t="s">
        <v>4010</v>
      </c>
      <c r="C327" s="564" t="s">
        <v>4011</v>
      </c>
      <c r="D327" s="73" t="s">
        <v>3872</v>
      </c>
      <c r="E327" s="73" t="s">
        <v>3865</v>
      </c>
      <c r="F327" s="73" t="s">
        <v>3866</v>
      </c>
    </row>
    <row r="328" spans="1:6">
      <c r="A328" s="3" t="s">
        <v>4012</v>
      </c>
      <c r="B328">
        <v>0</v>
      </c>
      <c r="C328">
        <v>564</v>
      </c>
      <c r="D328" s="17">
        <v>10643.27205882353</v>
      </c>
      <c r="E328">
        <v>10</v>
      </c>
      <c r="F328">
        <v>7</v>
      </c>
    </row>
    <row r="329" spans="1:6">
      <c r="A329" s="3"/>
      <c r="B329">
        <v>565</v>
      </c>
      <c r="C329">
        <v>600</v>
      </c>
      <c r="D329" s="17">
        <v>9872.8308823529405</v>
      </c>
      <c r="E329">
        <v>10</v>
      </c>
      <c r="F329">
        <v>7</v>
      </c>
    </row>
    <row r="330" spans="1:6">
      <c r="A330" s="3"/>
      <c r="B330">
        <v>601</v>
      </c>
      <c r="C330">
        <v>625</v>
      </c>
      <c r="D330" s="17">
        <v>10625.875</v>
      </c>
      <c r="E330">
        <v>10</v>
      </c>
      <c r="F330">
        <v>7</v>
      </c>
    </row>
    <row r="331" spans="1:6">
      <c r="A331" s="3"/>
      <c r="B331">
        <v>626</v>
      </c>
      <c r="C331">
        <v>1000</v>
      </c>
      <c r="D331" s="17">
        <v>12232.285714285714</v>
      </c>
      <c r="E331">
        <v>10</v>
      </c>
      <c r="F331">
        <v>7</v>
      </c>
    </row>
    <row r="332" spans="1:6">
      <c r="A332" s="3"/>
      <c r="B332">
        <v>1001</v>
      </c>
      <c r="C332">
        <v>1470</v>
      </c>
      <c r="D332" s="17">
        <v>12855.625</v>
      </c>
      <c r="E332">
        <v>10</v>
      </c>
      <c r="F332">
        <v>7</v>
      </c>
    </row>
    <row r="333" spans="1:6">
      <c r="A333" s="3"/>
      <c r="B333">
        <v>1471</v>
      </c>
      <c r="C333">
        <v>1500</v>
      </c>
      <c r="D333" s="17">
        <v>15064.344827586207</v>
      </c>
      <c r="E333">
        <v>10</v>
      </c>
      <c r="F333">
        <v>7</v>
      </c>
    </row>
    <row r="334" spans="1:6">
      <c r="A334" s="3"/>
      <c r="B334">
        <v>1501</v>
      </c>
      <c r="C334">
        <v>2000</v>
      </c>
      <c r="D334" s="17">
        <v>18487.235142118861</v>
      </c>
      <c r="E334">
        <v>10</v>
      </c>
      <c r="F334">
        <v>7</v>
      </c>
    </row>
    <row r="335" spans="1:6">
      <c r="A335" s="3"/>
      <c r="B335">
        <v>2001</v>
      </c>
      <c r="C335">
        <v>2150</v>
      </c>
      <c r="D335" s="17">
        <v>12954.956072351421</v>
      </c>
      <c r="E335">
        <v>10</v>
      </c>
      <c r="F335">
        <v>7</v>
      </c>
    </row>
    <row r="336" spans="1:6">
      <c r="A336" s="3"/>
      <c r="B336">
        <v>2151</v>
      </c>
      <c r="C336">
        <v>3000</v>
      </c>
      <c r="D336" s="17">
        <v>19159.81395348837</v>
      </c>
      <c r="E336">
        <v>10</v>
      </c>
      <c r="F336">
        <v>7</v>
      </c>
    </row>
    <row r="337" spans="1:6">
      <c r="A337" s="3"/>
      <c r="B337">
        <v>3001</v>
      </c>
      <c r="C337">
        <v>4000</v>
      </c>
      <c r="D337" s="17">
        <v>21829.291989664081</v>
      </c>
      <c r="E337">
        <v>10</v>
      </c>
      <c r="F337">
        <v>7</v>
      </c>
    </row>
    <row r="338" spans="1:6">
      <c r="A338" s="3"/>
      <c r="B338">
        <v>4001</v>
      </c>
      <c r="C338">
        <v>4500</v>
      </c>
      <c r="D338" s="17">
        <v>39689.09560723514</v>
      </c>
      <c r="E338">
        <v>10</v>
      </c>
      <c r="F338">
        <v>7</v>
      </c>
    </row>
    <row r="339" spans="1:6">
      <c r="A339" s="3"/>
      <c r="B339">
        <v>4501</v>
      </c>
      <c r="C339">
        <v>5000</v>
      </c>
      <c r="D339" s="17">
        <v>24602.528795811515</v>
      </c>
      <c r="E339">
        <v>10</v>
      </c>
      <c r="F339">
        <v>7</v>
      </c>
    </row>
    <row r="340" spans="1:6">
      <c r="A340" s="3"/>
      <c r="B340">
        <v>5001</v>
      </c>
      <c r="C340">
        <v>6000</v>
      </c>
      <c r="D340" s="17">
        <v>27770.575916230366</v>
      </c>
      <c r="E340">
        <v>10</v>
      </c>
      <c r="F340">
        <v>7</v>
      </c>
    </row>
    <row r="341" spans="1:6">
      <c r="A341" s="3"/>
      <c r="B341">
        <v>6001</v>
      </c>
      <c r="C341">
        <v>7000</v>
      </c>
      <c r="D341" s="17">
        <v>30351.565445026175</v>
      </c>
      <c r="E341">
        <v>10</v>
      </c>
      <c r="F341">
        <v>7</v>
      </c>
    </row>
    <row r="342" spans="1:6">
      <c r="A342" s="3"/>
      <c r="B342">
        <v>7001</v>
      </c>
      <c r="C342">
        <v>8000</v>
      </c>
      <c r="D342" s="17">
        <v>32931.408376963351</v>
      </c>
      <c r="E342">
        <v>10</v>
      </c>
      <c r="F342">
        <v>7</v>
      </c>
    </row>
    <row r="343" spans="1:6">
      <c r="A343" s="3"/>
      <c r="B343">
        <v>8001</v>
      </c>
      <c r="C343">
        <v>9000</v>
      </c>
      <c r="D343" s="17">
        <v>35253.267015706806</v>
      </c>
      <c r="E343">
        <v>10</v>
      </c>
      <c r="F343">
        <v>7</v>
      </c>
    </row>
    <row r="344" spans="1:6">
      <c r="A344" s="3"/>
      <c r="B344">
        <v>9001</v>
      </c>
      <c r="C344">
        <v>10000</v>
      </c>
      <c r="D344" s="17">
        <v>37624.749216300945</v>
      </c>
      <c r="E344">
        <v>10</v>
      </c>
      <c r="F344">
        <v>7</v>
      </c>
    </row>
    <row r="345" spans="1:6">
      <c r="A345" s="3"/>
      <c r="B345">
        <v>10001</v>
      </c>
      <c r="C345">
        <v>10100</v>
      </c>
      <c r="D345" s="17">
        <v>18617.288401253922</v>
      </c>
      <c r="E345">
        <v>10</v>
      </c>
      <c r="F345">
        <v>7</v>
      </c>
    </row>
    <row r="346" spans="1:6">
      <c r="A346" s="3"/>
      <c r="B346">
        <v>10101</v>
      </c>
      <c r="C346">
        <v>11000</v>
      </c>
      <c r="D346" s="17">
        <v>39992.100313479626</v>
      </c>
      <c r="E346">
        <v>10</v>
      </c>
      <c r="F346">
        <v>7</v>
      </c>
    </row>
    <row r="347" spans="1:6">
      <c r="A347" s="3"/>
      <c r="B347">
        <v>11001</v>
      </c>
      <c r="C347">
        <v>11750</v>
      </c>
      <c r="D347" s="17">
        <v>55751.175548589345</v>
      </c>
      <c r="E347">
        <v>10</v>
      </c>
      <c r="F347">
        <v>7</v>
      </c>
    </row>
    <row r="348" spans="1:6">
      <c r="A348" s="3"/>
      <c r="B348">
        <v>11751</v>
      </c>
      <c r="C348">
        <v>12000</v>
      </c>
      <c r="D348" s="17">
        <v>42353.730407523515</v>
      </c>
      <c r="E348">
        <v>10</v>
      </c>
      <c r="F348">
        <v>7</v>
      </c>
    </row>
    <row r="349" spans="1:6">
      <c r="A349" s="3"/>
      <c r="B349">
        <v>12001</v>
      </c>
      <c r="C349">
        <v>13000</v>
      </c>
      <c r="D349" s="17">
        <v>49086.206896551725</v>
      </c>
      <c r="E349">
        <v>10</v>
      </c>
      <c r="F349">
        <v>7</v>
      </c>
    </row>
    <row r="350" spans="1:6">
      <c r="A350" s="3"/>
      <c r="B350">
        <v>13001</v>
      </c>
      <c r="C350">
        <v>14000</v>
      </c>
      <c r="D350" s="17">
        <v>55803.808777429469</v>
      </c>
      <c r="E350">
        <v>10</v>
      </c>
      <c r="F350">
        <v>7</v>
      </c>
    </row>
    <row r="351" spans="1:6">
      <c r="A351" s="3"/>
      <c r="B351">
        <v>14001</v>
      </c>
      <c r="C351">
        <v>15000</v>
      </c>
      <c r="D351" s="17">
        <v>59147.258536585359</v>
      </c>
      <c r="E351">
        <v>10</v>
      </c>
      <c r="F351">
        <v>7</v>
      </c>
    </row>
    <row r="352" spans="1:6">
      <c r="A352" s="3"/>
      <c r="B352">
        <v>15001</v>
      </c>
      <c r="C352">
        <v>20000</v>
      </c>
      <c r="D352" s="17">
        <v>75892.113207547169</v>
      </c>
      <c r="E352">
        <v>10</v>
      </c>
      <c r="F352">
        <v>7</v>
      </c>
    </row>
    <row r="353" spans="1:6">
      <c r="A353" s="3"/>
      <c r="B353">
        <v>20001</v>
      </c>
      <c r="C353">
        <v>22000</v>
      </c>
      <c r="D353" s="17">
        <v>95701.867924528313</v>
      </c>
      <c r="E353">
        <v>10</v>
      </c>
      <c r="F353">
        <v>7</v>
      </c>
    </row>
    <row r="354" spans="1:6">
      <c r="A354" s="3"/>
      <c r="B354">
        <v>22001</v>
      </c>
      <c r="C354">
        <v>25000</v>
      </c>
      <c r="D354" s="17">
        <v>111582.25806451614</v>
      </c>
      <c r="E354">
        <v>10</v>
      </c>
      <c r="F354">
        <v>7</v>
      </c>
    </row>
    <row r="355" spans="1:6">
      <c r="A355" s="3"/>
      <c r="B355">
        <v>25001</v>
      </c>
      <c r="C355">
        <v>29610</v>
      </c>
      <c r="D355" s="17">
        <v>34484.032258064522</v>
      </c>
      <c r="E355">
        <v>10</v>
      </c>
      <c r="F355">
        <v>7</v>
      </c>
    </row>
    <row r="356" spans="1:6">
      <c r="A356" s="3"/>
      <c r="B356">
        <v>29611</v>
      </c>
      <c r="C356">
        <v>30000</v>
      </c>
      <c r="D356" s="17">
        <v>135622.54054054053</v>
      </c>
      <c r="E356">
        <v>10</v>
      </c>
      <c r="F356">
        <v>7</v>
      </c>
    </row>
    <row r="357" spans="1:6">
      <c r="A357" s="3"/>
      <c r="B357">
        <v>30001</v>
      </c>
      <c r="C357" t="s">
        <v>3873</v>
      </c>
      <c r="D357" s="17" t="s">
        <v>3873</v>
      </c>
      <c r="E357">
        <v>10</v>
      </c>
      <c r="F357">
        <v>7</v>
      </c>
    </row>
    <row r="360" spans="1:6">
      <c r="A360" s="937" t="s">
        <v>4002</v>
      </c>
      <c r="B360" s="937" t="s">
        <v>4013</v>
      </c>
      <c r="C360" s="937"/>
      <c r="D360" s="937"/>
      <c r="E360" s="937"/>
      <c r="F360" s="937"/>
    </row>
    <row r="361" spans="1:6">
      <c r="A361" s="947">
        <v>16</v>
      </c>
      <c r="B361" s="73" t="s">
        <v>3988</v>
      </c>
      <c r="C361" s="73" t="s">
        <v>3989</v>
      </c>
      <c r="D361" s="73" t="s">
        <v>3872</v>
      </c>
      <c r="E361" s="73" t="s">
        <v>3865</v>
      </c>
      <c r="F361" s="73" t="s">
        <v>3866</v>
      </c>
    </row>
    <row r="362" spans="1:6">
      <c r="A362" s="3" t="s">
        <v>4014</v>
      </c>
      <c r="B362">
        <v>0</v>
      </c>
      <c r="C362">
        <v>187</v>
      </c>
      <c r="D362" s="17">
        <v>3564.9366552509068</v>
      </c>
      <c r="E362">
        <v>25</v>
      </c>
      <c r="F362">
        <v>20</v>
      </c>
    </row>
    <row r="363" spans="1:6">
      <c r="A363" s="3"/>
      <c r="B363">
        <v>188</v>
      </c>
      <c r="C363">
        <v>264</v>
      </c>
      <c r="D363" s="17">
        <v>4715.9393278960542</v>
      </c>
      <c r="E363">
        <v>25</v>
      </c>
      <c r="F363">
        <v>20</v>
      </c>
    </row>
    <row r="364" spans="1:6">
      <c r="A364" s="3"/>
      <c r="B364">
        <v>265</v>
      </c>
      <c r="C364">
        <v>345</v>
      </c>
      <c r="D364" s="17">
        <v>6699.5778154536429</v>
      </c>
      <c r="E364">
        <v>25</v>
      </c>
      <c r="F364">
        <v>20</v>
      </c>
    </row>
    <row r="365" spans="1:6">
      <c r="A365" s="3"/>
      <c r="B365">
        <v>346</v>
      </c>
      <c r="C365">
        <v>463</v>
      </c>
      <c r="D365" s="17">
        <v>8437.1019714039867</v>
      </c>
      <c r="E365">
        <v>25</v>
      </c>
      <c r="F365">
        <v>20</v>
      </c>
    </row>
    <row r="366" spans="1:6">
      <c r="A366" s="3"/>
      <c r="B366">
        <v>464</v>
      </c>
      <c r="C366">
        <v>900</v>
      </c>
      <c r="D366" s="17">
        <v>17867.134000531456</v>
      </c>
      <c r="E366">
        <v>25</v>
      </c>
      <c r="F366">
        <v>20</v>
      </c>
    </row>
    <row r="367" spans="1:6">
      <c r="A367" s="3"/>
      <c r="B367">
        <v>901</v>
      </c>
      <c r="C367" t="s">
        <v>3873</v>
      </c>
      <c r="D367" s="17" t="s">
        <v>3873</v>
      </c>
      <c r="E367">
        <v>25</v>
      </c>
      <c r="F367">
        <v>20</v>
      </c>
    </row>
    <row r="370" spans="1:6">
      <c r="A370" s="937" t="s">
        <v>4015</v>
      </c>
      <c r="B370" s="937" t="s">
        <v>4016</v>
      </c>
      <c r="C370" s="937"/>
      <c r="D370" s="937"/>
      <c r="E370" s="937"/>
      <c r="F370" s="937"/>
    </row>
    <row r="371" spans="1:6">
      <c r="A371" s="947">
        <v>45</v>
      </c>
      <c r="B371" s="804" t="s">
        <v>4017</v>
      </c>
      <c r="C371" s="73" t="s">
        <v>4018</v>
      </c>
      <c r="D371" s="564" t="s">
        <v>4019</v>
      </c>
      <c r="E371" s="804" t="s">
        <v>3980</v>
      </c>
      <c r="F371" s="564" t="s">
        <v>3866</v>
      </c>
    </row>
    <row r="372" spans="1:6">
      <c r="A372" s="3" t="s">
        <v>4650</v>
      </c>
      <c r="B372" s="414">
        <v>0</v>
      </c>
      <c r="C372">
        <v>1000</v>
      </c>
      <c r="D372" s="948">
        <v>2.0869886872323238</v>
      </c>
      <c r="E372" s="523" t="s">
        <v>3877</v>
      </c>
      <c r="F372" s="523" t="s">
        <v>3877</v>
      </c>
    </row>
    <row r="373" spans="1:6">
      <c r="A373" s="3"/>
      <c r="B373">
        <v>2000</v>
      </c>
      <c r="C373">
        <v>21000</v>
      </c>
      <c r="D373" s="948">
        <v>1.8722121571268042</v>
      </c>
      <c r="E373" s="42" t="s">
        <v>3877</v>
      </c>
      <c r="F373" s="42" t="s">
        <v>3877</v>
      </c>
    </row>
    <row r="374" spans="1:6">
      <c r="A374" s="3"/>
      <c r="B374" s="1018">
        <v>40000</v>
      </c>
      <c r="C374" s="1018">
        <v>40000</v>
      </c>
      <c r="D374" s="1025">
        <v>0.94</v>
      </c>
      <c r="E374" s="42" t="s">
        <v>3877</v>
      </c>
      <c r="F374" s="42" t="s">
        <v>3877</v>
      </c>
    </row>
    <row r="377" spans="1:6">
      <c r="A377" s="937" t="s">
        <v>3868</v>
      </c>
      <c r="B377" s="937" t="s">
        <v>4020</v>
      </c>
      <c r="C377" s="937"/>
      <c r="D377" s="937"/>
      <c r="E377" s="937"/>
      <c r="F377" s="937"/>
    </row>
    <row r="378" spans="1:6">
      <c r="A378" s="947">
        <v>30</v>
      </c>
      <c r="B378" s="804" t="s">
        <v>4021</v>
      </c>
      <c r="C378" s="73" t="s">
        <v>4022</v>
      </c>
      <c r="D378" s="564" t="s">
        <v>3872</v>
      </c>
      <c r="E378" s="804" t="s">
        <v>3980</v>
      </c>
      <c r="F378" s="564" t="s">
        <v>3866</v>
      </c>
    </row>
    <row r="379" spans="1:6">
      <c r="A379" s="3" t="s">
        <v>4023</v>
      </c>
      <c r="B379">
        <v>0</v>
      </c>
      <c r="C379">
        <v>3369</v>
      </c>
      <c r="D379" s="17">
        <v>2695.6790639301639</v>
      </c>
      <c r="E379">
        <v>20</v>
      </c>
      <c r="F379">
        <v>15</v>
      </c>
    </row>
    <row r="380" spans="1:6">
      <c r="A380" s="3"/>
      <c r="B380">
        <v>3370</v>
      </c>
      <c r="C380">
        <v>8422</v>
      </c>
      <c r="D380" s="17">
        <v>3397.7395118773702</v>
      </c>
      <c r="E380">
        <v>20</v>
      </c>
      <c r="F380">
        <v>15</v>
      </c>
    </row>
    <row r="381" spans="1:6">
      <c r="A381" s="3"/>
      <c r="B381">
        <v>8423</v>
      </c>
      <c r="C381">
        <v>12513</v>
      </c>
      <c r="D381" s="17">
        <v>4485.1233552826388</v>
      </c>
      <c r="E381">
        <v>20</v>
      </c>
      <c r="F381">
        <v>15</v>
      </c>
    </row>
    <row r="382" spans="1:6">
      <c r="A382" s="3"/>
      <c r="B382">
        <v>12514</v>
      </c>
      <c r="C382">
        <v>21658</v>
      </c>
      <c r="D382" s="17">
        <v>5623.1498382603413</v>
      </c>
      <c r="E382">
        <v>20</v>
      </c>
      <c r="F382">
        <v>15</v>
      </c>
    </row>
    <row r="383" spans="1:6">
      <c r="A383" s="3"/>
      <c r="B383">
        <v>21659</v>
      </c>
      <c r="C383">
        <v>24064</v>
      </c>
      <c r="D383" s="17">
        <v>5503.1934667585701</v>
      </c>
      <c r="E383">
        <v>20</v>
      </c>
      <c r="F383">
        <v>15</v>
      </c>
    </row>
    <row r="384" spans="1:6">
      <c r="A384" s="3"/>
      <c r="B384">
        <v>24065</v>
      </c>
      <c r="C384">
        <v>29599</v>
      </c>
      <c r="D384" s="17">
        <v>7395.6437375098158</v>
      </c>
      <c r="E384">
        <v>20</v>
      </c>
      <c r="F384">
        <v>15</v>
      </c>
    </row>
    <row r="385" spans="1:6">
      <c r="A385" s="3"/>
      <c r="B385">
        <v>29600</v>
      </c>
      <c r="C385">
        <v>36096</v>
      </c>
      <c r="D385" s="17">
        <v>8157.4375622864745</v>
      </c>
      <c r="E385">
        <v>20</v>
      </c>
      <c r="F385">
        <v>15</v>
      </c>
    </row>
    <row r="386" spans="1:6">
      <c r="A386" s="3"/>
      <c r="B386">
        <v>36097</v>
      </c>
      <c r="C386">
        <v>41390</v>
      </c>
      <c r="D386" s="17">
        <v>12412.345463578609</v>
      </c>
      <c r="E386">
        <v>20</v>
      </c>
      <c r="F386">
        <v>15</v>
      </c>
    </row>
    <row r="387" spans="1:6">
      <c r="A387" s="3"/>
      <c r="B387">
        <v>41391</v>
      </c>
      <c r="C387">
        <v>57032</v>
      </c>
      <c r="D387" s="17">
        <v>15312.983296187971</v>
      </c>
      <c r="E387">
        <v>20</v>
      </c>
      <c r="F387">
        <v>15</v>
      </c>
    </row>
    <row r="388" spans="1:6">
      <c r="A388" s="3"/>
      <c r="B388">
        <v>57033</v>
      </c>
      <c r="C388">
        <v>66176</v>
      </c>
      <c r="D388" s="17">
        <v>16434.285464427834</v>
      </c>
      <c r="E388">
        <v>20</v>
      </c>
      <c r="F388">
        <v>15</v>
      </c>
    </row>
    <row r="389" spans="1:6">
      <c r="A389" s="3"/>
      <c r="B389">
        <v>66177</v>
      </c>
      <c r="C389">
        <v>72193</v>
      </c>
      <c r="D389" s="17">
        <v>16931.904693619013</v>
      </c>
      <c r="E389">
        <v>20</v>
      </c>
      <c r="F389">
        <v>15</v>
      </c>
    </row>
    <row r="390" spans="1:6">
      <c r="A390" s="3"/>
      <c r="B390">
        <v>72194</v>
      </c>
      <c r="C390">
        <v>108289</v>
      </c>
      <c r="D390" s="17">
        <v>16394.998463315911</v>
      </c>
      <c r="E390">
        <v>20</v>
      </c>
      <c r="F390">
        <v>15</v>
      </c>
    </row>
    <row r="391" spans="1:6">
      <c r="A391" s="3"/>
      <c r="B391">
        <v>108290</v>
      </c>
      <c r="C391" t="s">
        <v>3873</v>
      </c>
      <c r="D391" s="17" t="s">
        <v>3873</v>
      </c>
      <c r="E391">
        <v>20</v>
      </c>
      <c r="F391">
        <v>15</v>
      </c>
    </row>
    <row r="394" spans="1:6">
      <c r="A394" s="937" t="s">
        <v>4002</v>
      </c>
      <c r="B394" s="937" t="s">
        <v>4024</v>
      </c>
      <c r="C394" s="937"/>
      <c r="D394" s="937"/>
      <c r="E394" s="937"/>
      <c r="F394" s="937"/>
    </row>
    <row r="395" spans="1:6">
      <c r="A395" s="947">
        <v>16</v>
      </c>
      <c r="B395" s="804" t="s">
        <v>4010</v>
      </c>
      <c r="C395" s="564" t="s">
        <v>4011</v>
      </c>
      <c r="D395" s="73" t="s">
        <v>3872</v>
      </c>
      <c r="E395" s="73" t="s">
        <v>3865</v>
      </c>
      <c r="F395" s="73" t="s">
        <v>3866</v>
      </c>
    </row>
    <row r="396" spans="1:6">
      <c r="A396" s="3" t="s">
        <v>4025</v>
      </c>
      <c r="B396" s="523">
        <v>0</v>
      </c>
      <c r="C396" s="414">
        <v>300</v>
      </c>
      <c r="D396" s="17">
        <v>1386.5477871292217</v>
      </c>
      <c r="E396">
        <v>25</v>
      </c>
      <c r="F396">
        <v>20</v>
      </c>
    </row>
    <row r="397" spans="1:6">
      <c r="A397" s="3"/>
      <c r="B397" s="523">
        <v>301</v>
      </c>
      <c r="C397" s="414">
        <v>550</v>
      </c>
      <c r="D397" s="17">
        <v>1384.7996533333639</v>
      </c>
      <c r="E397">
        <v>25</v>
      </c>
      <c r="F397">
        <v>20</v>
      </c>
    </row>
    <row r="398" spans="1:6">
      <c r="B398" s="523">
        <v>551</v>
      </c>
      <c r="C398">
        <v>850</v>
      </c>
      <c r="D398" s="17">
        <v>2146.4226420816422</v>
      </c>
      <c r="E398">
        <v>25</v>
      </c>
      <c r="F398">
        <v>20</v>
      </c>
    </row>
    <row r="399" spans="1:6">
      <c r="B399" s="523">
        <v>851</v>
      </c>
      <c r="C399">
        <v>1000</v>
      </c>
      <c r="D399" s="17">
        <v>1995.7016566438342</v>
      </c>
      <c r="E399">
        <v>25</v>
      </c>
      <c r="F399">
        <v>20</v>
      </c>
    </row>
    <row r="400" spans="1:6">
      <c r="B400" s="523">
        <v>1001</v>
      </c>
      <c r="C400">
        <v>1200</v>
      </c>
      <c r="D400" s="17">
        <v>3130.7544642857142</v>
      </c>
      <c r="E400">
        <v>25</v>
      </c>
      <c r="F400">
        <v>20</v>
      </c>
    </row>
    <row r="401" spans="1:6">
      <c r="B401" s="523">
        <v>1201</v>
      </c>
      <c r="C401">
        <v>1500</v>
      </c>
      <c r="D401" s="17">
        <v>3408.9308352781204</v>
      </c>
      <c r="E401">
        <v>25</v>
      </c>
      <c r="F401">
        <v>20</v>
      </c>
    </row>
    <row r="402" spans="1:6">
      <c r="B402" s="523">
        <v>1501</v>
      </c>
      <c r="C402">
        <v>2000</v>
      </c>
      <c r="D402" s="17">
        <v>4730.5117831880343</v>
      </c>
      <c r="E402">
        <v>25</v>
      </c>
      <c r="F402">
        <v>20</v>
      </c>
    </row>
    <row r="403" spans="1:6">
      <c r="B403" s="523">
        <v>2001</v>
      </c>
      <c r="C403">
        <v>2500</v>
      </c>
      <c r="D403" s="17">
        <v>5435.1240971303132</v>
      </c>
      <c r="E403">
        <v>25</v>
      </c>
      <c r="F403">
        <v>20</v>
      </c>
    </row>
    <row r="404" spans="1:6">
      <c r="B404" s="523">
        <v>2501</v>
      </c>
      <c r="C404">
        <v>3000</v>
      </c>
      <c r="D404" s="17">
        <v>6806.9102726329838</v>
      </c>
      <c r="E404">
        <v>25</v>
      </c>
      <c r="F404">
        <v>20</v>
      </c>
    </row>
    <row r="405" spans="1:6">
      <c r="B405" s="523">
        <v>3001</v>
      </c>
      <c r="C405">
        <v>4200</v>
      </c>
      <c r="D405" s="17">
        <v>11072.07111111111</v>
      </c>
      <c r="E405">
        <v>25</v>
      </c>
      <c r="F405">
        <v>20</v>
      </c>
    </row>
    <row r="406" spans="1:6">
      <c r="B406" s="523">
        <v>4201</v>
      </c>
      <c r="C406">
        <v>5200</v>
      </c>
      <c r="D406" s="17">
        <v>12227.704476439791</v>
      </c>
      <c r="E406">
        <v>25</v>
      </c>
      <c r="F406">
        <v>20</v>
      </c>
    </row>
    <row r="407" spans="1:6">
      <c r="B407" s="523">
        <v>5201</v>
      </c>
      <c r="C407">
        <v>6500</v>
      </c>
      <c r="D407" s="17">
        <v>15376.40342557439</v>
      </c>
      <c r="E407">
        <v>25</v>
      </c>
      <c r="F407">
        <v>20</v>
      </c>
    </row>
    <row r="408" spans="1:6">
      <c r="B408" s="523">
        <v>6501</v>
      </c>
      <c r="C408">
        <v>8000</v>
      </c>
      <c r="D408" s="17">
        <v>14636.079581151831</v>
      </c>
      <c r="E408">
        <v>25</v>
      </c>
      <c r="F408">
        <v>20</v>
      </c>
    </row>
    <row r="409" spans="1:6">
      <c r="B409" s="523">
        <v>8001</v>
      </c>
      <c r="C409">
        <v>10500</v>
      </c>
      <c r="D409" s="17">
        <v>17612.96962298809</v>
      </c>
      <c r="E409">
        <v>25</v>
      </c>
      <c r="F409">
        <v>20</v>
      </c>
    </row>
    <row r="410" spans="1:6">
      <c r="B410" s="523">
        <v>10501</v>
      </c>
      <c r="C410">
        <v>12500</v>
      </c>
      <c r="D410" s="17">
        <v>28047.512796129413</v>
      </c>
      <c r="E410">
        <v>25</v>
      </c>
      <c r="F410">
        <v>20</v>
      </c>
    </row>
    <row r="411" spans="1:6">
      <c r="B411" s="523">
        <v>12501</v>
      </c>
      <c r="C411">
        <v>15000</v>
      </c>
      <c r="D411" s="17">
        <v>28077.508317844786</v>
      </c>
      <c r="E411">
        <v>25</v>
      </c>
      <c r="F411">
        <v>20</v>
      </c>
    </row>
    <row r="412" spans="1:6">
      <c r="B412" s="523">
        <v>15001</v>
      </c>
      <c r="C412">
        <v>16501</v>
      </c>
      <c r="D412" s="17">
        <v>53210.572999570199</v>
      </c>
      <c r="E412">
        <v>25</v>
      </c>
      <c r="F412">
        <v>20</v>
      </c>
    </row>
    <row r="413" spans="1:6">
      <c r="B413" s="523">
        <v>16502</v>
      </c>
      <c r="C413" t="s">
        <v>3873</v>
      </c>
      <c r="D413" s="17" t="s">
        <v>3873</v>
      </c>
      <c r="E413">
        <v>25</v>
      </c>
      <c r="F413">
        <v>20</v>
      </c>
    </row>
    <row r="416" spans="1:6">
      <c r="A416" s="937" t="s">
        <v>3863</v>
      </c>
      <c r="B416" s="937" t="s">
        <v>4026</v>
      </c>
      <c r="C416" s="937"/>
      <c r="D416" s="937"/>
      <c r="E416" s="937"/>
      <c r="F416" s="937"/>
    </row>
    <row r="417" spans="1:6">
      <c r="A417" s="947">
        <v>43</v>
      </c>
      <c r="B417" s="73"/>
      <c r="C417" s="73"/>
      <c r="D417" s="73" t="s">
        <v>13</v>
      </c>
      <c r="E417" s="73" t="s">
        <v>3865</v>
      </c>
      <c r="F417" s="73" t="s">
        <v>3866</v>
      </c>
    </row>
    <row r="418" spans="1:6">
      <c r="A418" s="3" t="s">
        <v>4027</v>
      </c>
      <c r="B418">
        <v>0</v>
      </c>
      <c r="C418">
        <v>0</v>
      </c>
      <c r="D418" s="17">
        <v>2388.9364733422249</v>
      </c>
      <c r="E418">
        <v>15</v>
      </c>
      <c r="F418">
        <v>14</v>
      </c>
    </row>
    <row r="421" spans="1:6">
      <c r="A421" s="937" t="s">
        <v>4028</v>
      </c>
      <c r="B421" s="937" t="s">
        <v>4029</v>
      </c>
      <c r="C421" s="937"/>
      <c r="D421" s="937"/>
      <c r="E421" s="937"/>
      <c r="F421" s="937"/>
    </row>
    <row r="422" spans="1:6">
      <c r="A422" s="947">
        <v>29</v>
      </c>
      <c r="B422" s="73" t="s">
        <v>4030</v>
      </c>
      <c r="C422" s="564" t="s">
        <v>4031</v>
      </c>
      <c r="D422" s="564" t="s">
        <v>3872</v>
      </c>
      <c r="E422" s="73" t="s">
        <v>3865</v>
      </c>
      <c r="F422" s="73" t="s">
        <v>3866</v>
      </c>
    </row>
    <row r="423" spans="1:6">
      <c r="A423" s="3" t="s">
        <v>4032</v>
      </c>
      <c r="B423">
        <v>0</v>
      </c>
      <c r="C423">
        <v>1</v>
      </c>
      <c r="D423" s="17">
        <v>5215.639311849045</v>
      </c>
      <c r="E423">
        <v>25</v>
      </c>
      <c r="F423">
        <v>20</v>
      </c>
    </row>
    <row r="424" spans="1:6">
      <c r="A424" s="3"/>
      <c r="B424">
        <v>1.1000000000000001</v>
      </c>
      <c r="C424">
        <v>1.5</v>
      </c>
      <c r="D424" s="17">
        <v>5974.8263252684128</v>
      </c>
      <c r="E424">
        <v>25</v>
      </c>
      <c r="F424">
        <v>20</v>
      </c>
    </row>
    <row r="425" spans="1:6">
      <c r="A425" s="3"/>
      <c r="B425">
        <v>1.6</v>
      </c>
      <c r="C425">
        <v>2</v>
      </c>
      <c r="D425" s="17">
        <v>6068.3450523109377</v>
      </c>
      <c r="E425">
        <v>25</v>
      </c>
      <c r="F425">
        <v>20</v>
      </c>
    </row>
    <row r="426" spans="1:6">
      <c r="A426" s="3"/>
      <c r="B426">
        <v>2.1</v>
      </c>
      <c r="C426">
        <v>3</v>
      </c>
      <c r="D426" s="17">
        <v>7378.3626076365754</v>
      </c>
      <c r="E426">
        <v>25</v>
      </c>
      <c r="F426">
        <v>20</v>
      </c>
    </row>
    <row r="427" spans="1:6">
      <c r="A427" s="3"/>
      <c r="B427">
        <v>3.1</v>
      </c>
      <c r="C427">
        <v>5</v>
      </c>
      <c r="D427" s="17">
        <v>8134.7527370290263</v>
      </c>
      <c r="E427">
        <v>25</v>
      </c>
      <c r="F427">
        <v>20</v>
      </c>
    </row>
    <row r="428" spans="1:6">
      <c r="A428" s="3"/>
      <c r="B428">
        <v>5.0999999999999996</v>
      </c>
      <c r="C428">
        <v>7.5</v>
      </c>
      <c r="D428" s="17">
        <v>11316.307504296892</v>
      </c>
      <c r="E428">
        <v>25</v>
      </c>
      <c r="F428">
        <v>20</v>
      </c>
    </row>
    <row r="429" spans="1:6">
      <c r="A429" s="3"/>
      <c r="B429">
        <v>7.6</v>
      </c>
      <c r="C429">
        <v>10</v>
      </c>
      <c r="D429" s="17">
        <v>14374.813447090328</v>
      </c>
      <c r="E429">
        <v>25</v>
      </c>
      <c r="F429">
        <v>20</v>
      </c>
    </row>
    <row r="430" spans="1:6">
      <c r="A430" s="3"/>
      <c r="B430">
        <v>10.1</v>
      </c>
      <c r="C430">
        <v>20</v>
      </c>
      <c r="D430" s="17">
        <v>25944.468684113283</v>
      </c>
      <c r="E430">
        <v>25</v>
      </c>
      <c r="F430">
        <v>20</v>
      </c>
    </row>
    <row r="431" spans="1:6">
      <c r="A431" s="3"/>
      <c r="B431">
        <v>20.100000000000001</v>
      </c>
      <c r="C431">
        <v>30</v>
      </c>
      <c r="D431" s="17">
        <v>39315.823046232101</v>
      </c>
      <c r="E431">
        <v>25</v>
      </c>
      <c r="F431">
        <v>20</v>
      </c>
    </row>
    <row r="432" spans="1:6">
      <c r="A432" s="3"/>
      <c r="B432">
        <v>30.1</v>
      </c>
      <c r="C432" t="s">
        <v>3873</v>
      </c>
      <c r="D432" s="17" t="s">
        <v>3873</v>
      </c>
      <c r="E432">
        <v>25</v>
      </c>
      <c r="F432">
        <v>20</v>
      </c>
    </row>
    <row r="435" spans="1:6">
      <c r="A435" s="937" t="s">
        <v>4033</v>
      </c>
      <c r="B435" s="937" t="s">
        <v>4034</v>
      </c>
      <c r="C435" s="937"/>
      <c r="D435" s="937"/>
      <c r="E435" s="937"/>
      <c r="F435" s="937"/>
    </row>
    <row r="436" spans="1:6">
      <c r="A436" s="947">
        <v>38</v>
      </c>
      <c r="B436" s="73"/>
      <c r="C436" s="73"/>
      <c r="D436" s="564" t="s">
        <v>3872</v>
      </c>
      <c r="E436" s="73" t="s">
        <v>3865</v>
      </c>
      <c r="F436" s="73" t="s">
        <v>3866</v>
      </c>
    </row>
    <row r="437" spans="1:6">
      <c r="A437" s="3" t="s">
        <v>4035</v>
      </c>
      <c r="B437">
        <v>0</v>
      </c>
      <c r="C437">
        <v>0</v>
      </c>
      <c r="D437" s="17">
        <v>373.99500000000006</v>
      </c>
      <c r="E437">
        <v>10</v>
      </c>
      <c r="F437">
        <v>8</v>
      </c>
    </row>
    <row r="440" spans="1:6">
      <c r="A440" s="937" t="s">
        <v>3863</v>
      </c>
      <c r="B440" s="937" t="s">
        <v>4036</v>
      </c>
      <c r="C440" s="937"/>
      <c r="D440" s="937"/>
      <c r="E440" s="937"/>
      <c r="F440" s="937"/>
    </row>
    <row r="441" spans="1:6">
      <c r="A441" s="947">
        <v>43</v>
      </c>
      <c r="B441" s="73" t="s">
        <v>3962</v>
      </c>
      <c r="C441" s="73" t="s">
        <v>3963</v>
      </c>
      <c r="D441" s="564" t="s">
        <v>3872</v>
      </c>
      <c r="E441" s="73" t="s">
        <v>3865</v>
      </c>
      <c r="F441" s="73" t="s">
        <v>3866</v>
      </c>
    </row>
    <row r="442" spans="1:6">
      <c r="A442" s="3" t="s">
        <v>4037</v>
      </c>
      <c r="B442">
        <v>0</v>
      </c>
      <c r="C442">
        <v>0.75</v>
      </c>
      <c r="D442" s="17">
        <v>5046.2119844357976</v>
      </c>
      <c r="E442">
        <v>15</v>
      </c>
      <c r="F442">
        <v>14</v>
      </c>
    </row>
    <row r="443" spans="1:6">
      <c r="A443" s="3"/>
      <c r="B443">
        <v>0.76</v>
      </c>
      <c r="C443">
        <v>1</v>
      </c>
      <c r="D443" s="17">
        <v>3719.3050000000003</v>
      </c>
      <c r="E443">
        <v>15</v>
      </c>
      <c r="F443">
        <v>14</v>
      </c>
    </row>
    <row r="444" spans="1:6">
      <c r="A444" s="3"/>
      <c r="B444">
        <v>1.1000000000000001</v>
      </c>
      <c r="C444">
        <v>1.5</v>
      </c>
      <c r="D444" s="17">
        <v>3762.3734647887327</v>
      </c>
      <c r="E444">
        <v>15</v>
      </c>
      <c r="F444">
        <v>14</v>
      </c>
    </row>
    <row r="445" spans="1:6">
      <c r="A445" s="3"/>
      <c r="B445">
        <v>1.6</v>
      </c>
      <c r="C445">
        <v>2</v>
      </c>
      <c r="D445" s="17">
        <v>3899.756109589041</v>
      </c>
      <c r="E445">
        <v>15</v>
      </c>
      <c r="F445">
        <v>14</v>
      </c>
    </row>
    <row r="446" spans="1:6">
      <c r="A446" s="3"/>
      <c r="B446">
        <v>2.1</v>
      </c>
      <c r="C446">
        <v>2.5</v>
      </c>
      <c r="D446" s="17">
        <v>3894.0035399999997</v>
      </c>
      <c r="E446">
        <v>15</v>
      </c>
      <c r="F446">
        <v>14</v>
      </c>
    </row>
    <row r="447" spans="1:6">
      <c r="A447" s="3"/>
      <c r="B447">
        <v>2.6</v>
      </c>
      <c r="C447">
        <v>3</v>
      </c>
      <c r="D447" s="17">
        <v>4108.8077378640774</v>
      </c>
      <c r="E447">
        <v>15</v>
      </c>
      <c r="F447">
        <v>14</v>
      </c>
    </row>
    <row r="448" spans="1:6">
      <c r="A448" s="3"/>
      <c r="B448">
        <v>3.1</v>
      </c>
      <c r="C448">
        <v>4</v>
      </c>
      <c r="D448" s="17">
        <v>4281.420210752688</v>
      </c>
      <c r="E448">
        <v>15</v>
      </c>
      <c r="F448">
        <v>14</v>
      </c>
    </row>
    <row r="449" spans="1:6">
      <c r="A449" s="3"/>
      <c r="B449">
        <v>4.0999999999999996</v>
      </c>
      <c r="C449">
        <v>6</v>
      </c>
      <c r="D449" s="17">
        <v>6813.2262666666675</v>
      </c>
      <c r="E449">
        <v>15</v>
      </c>
      <c r="F449">
        <v>14</v>
      </c>
    </row>
    <row r="450" spans="1:6">
      <c r="A450" s="3"/>
      <c r="B450">
        <v>6.1</v>
      </c>
      <c r="C450">
        <v>8</v>
      </c>
      <c r="D450" s="17">
        <v>9089.8655287356323</v>
      </c>
      <c r="E450">
        <v>15</v>
      </c>
      <c r="F450">
        <v>14</v>
      </c>
    </row>
    <row r="451" spans="1:6">
      <c r="A451" s="3"/>
      <c r="B451">
        <v>8.1</v>
      </c>
      <c r="C451">
        <v>10</v>
      </c>
      <c r="D451" s="17">
        <v>12176.345693430656</v>
      </c>
      <c r="E451">
        <v>15</v>
      </c>
      <c r="F451">
        <v>14</v>
      </c>
    </row>
    <row r="452" spans="1:6">
      <c r="A452" s="3"/>
      <c r="B452">
        <v>10.1</v>
      </c>
      <c r="C452">
        <v>12</v>
      </c>
      <c r="D452" s="17">
        <v>12145.340729927009</v>
      </c>
      <c r="E452">
        <v>15</v>
      </c>
      <c r="F452">
        <v>14</v>
      </c>
    </row>
    <row r="453" spans="1:6">
      <c r="A453" s="3"/>
      <c r="B453">
        <v>12.1</v>
      </c>
      <c r="C453">
        <v>14</v>
      </c>
      <c r="D453" s="17">
        <v>10284.360875912409</v>
      </c>
      <c r="E453">
        <v>15</v>
      </c>
      <c r="F453">
        <v>14</v>
      </c>
    </row>
    <row r="454" spans="1:6">
      <c r="A454" s="3"/>
      <c r="B454">
        <v>14.1</v>
      </c>
      <c r="C454">
        <v>16</v>
      </c>
      <c r="D454" s="17">
        <v>12564.606131386863</v>
      </c>
      <c r="E454">
        <v>15</v>
      </c>
      <c r="F454">
        <v>14</v>
      </c>
    </row>
    <row r="455" spans="1:6">
      <c r="A455" s="3"/>
      <c r="B455">
        <v>16.100000000000001</v>
      </c>
      <c r="C455">
        <v>18</v>
      </c>
      <c r="D455" s="17">
        <v>10867.900729927009</v>
      </c>
      <c r="E455">
        <v>15</v>
      </c>
      <c r="F455">
        <v>14</v>
      </c>
    </row>
    <row r="456" spans="1:6">
      <c r="A456" s="3"/>
      <c r="B456">
        <v>18.100000000000001</v>
      </c>
      <c r="C456">
        <v>20</v>
      </c>
      <c r="D456" s="17">
        <v>14743.154452554745</v>
      </c>
      <c r="E456">
        <v>15</v>
      </c>
      <c r="F456">
        <v>14</v>
      </c>
    </row>
    <row r="457" spans="1:6">
      <c r="A457" s="3"/>
      <c r="B457">
        <v>20.100000000000001</v>
      </c>
      <c r="C457">
        <v>24</v>
      </c>
      <c r="D457" s="17">
        <v>19627.052846715331</v>
      </c>
      <c r="E457">
        <v>15</v>
      </c>
      <c r="F457">
        <v>14</v>
      </c>
    </row>
    <row r="458" spans="1:6">
      <c r="A458" s="3"/>
      <c r="B458">
        <v>24.1</v>
      </c>
      <c r="C458">
        <v>30</v>
      </c>
      <c r="D458" s="17">
        <v>22949.66189781022</v>
      </c>
      <c r="E458">
        <v>15</v>
      </c>
      <c r="F458">
        <v>14</v>
      </c>
    </row>
    <row r="459" spans="1:6">
      <c r="A459" s="3"/>
      <c r="B459">
        <v>30.1</v>
      </c>
      <c r="C459">
        <v>36</v>
      </c>
      <c r="D459" s="17">
        <v>30908.188029197081</v>
      </c>
      <c r="E459">
        <v>15</v>
      </c>
      <c r="F459">
        <v>14</v>
      </c>
    </row>
    <row r="460" spans="1:6">
      <c r="A460" s="3"/>
      <c r="B460">
        <v>36.1</v>
      </c>
      <c r="C460" t="s">
        <v>3873</v>
      </c>
      <c r="D460" s="17" t="s">
        <v>3873</v>
      </c>
      <c r="E460">
        <v>15</v>
      </c>
      <c r="F460">
        <v>14</v>
      </c>
    </row>
    <row r="463" spans="1:6">
      <c r="A463" s="937" t="s">
        <v>3879</v>
      </c>
      <c r="B463" s="937" t="s">
        <v>4038</v>
      </c>
      <c r="C463" s="937"/>
      <c r="D463" s="937"/>
      <c r="E463" s="937"/>
      <c r="F463" s="937"/>
    </row>
    <row r="464" spans="1:6">
      <c r="A464" s="947">
        <v>2</v>
      </c>
      <c r="B464" s="73"/>
      <c r="C464" s="73" t="s">
        <v>1371</v>
      </c>
      <c r="D464" s="73" t="s">
        <v>3872</v>
      </c>
      <c r="E464" s="73" t="s">
        <v>3865</v>
      </c>
      <c r="F464" s="73" t="s">
        <v>3866</v>
      </c>
    </row>
    <row r="465" spans="1:6">
      <c r="A465" s="3" t="s">
        <v>4042</v>
      </c>
      <c r="B465" t="s">
        <v>1261</v>
      </c>
      <c r="C465" t="s">
        <v>2526</v>
      </c>
      <c r="D465" s="948">
        <v>44</v>
      </c>
      <c r="E465" s="414">
        <v>40</v>
      </c>
      <c r="F465" s="414">
        <v>35</v>
      </c>
    </row>
    <row r="466" spans="1:6">
      <c r="A466" s="3"/>
      <c r="B466" t="s">
        <v>1262</v>
      </c>
      <c r="C466" t="s">
        <v>4039</v>
      </c>
      <c r="D466" s="948">
        <v>460</v>
      </c>
      <c r="E466" s="414">
        <v>40</v>
      </c>
      <c r="F466" s="414">
        <v>35</v>
      </c>
    </row>
    <row r="467" spans="1:6">
      <c r="A467" s="3"/>
      <c r="B467" t="s">
        <v>4040</v>
      </c>
      <c r="C467" t="s">
        <v>2856</v>
      </c>
      <c r="D467" s="948">
        <v>47.774999999999999</v>
      </c>
      <c r="E467" s="414">
        <v>40</v>
      </c>
      <c r="F467" s="414">
        <v>35</v>
      </c>
    </row>
    <row r="468" spans="1:6">
      <c r="A468" s="3"/>
      <c r="B468" t="s">
        <v>4041</v>
      </c>
      <c r="C468" t="s">
        <v>2856</v>
      </c>
      <c r="D468" s="948">
        <v>43.491623083060013</v>
      </c>
      <c r="E468" s="414">
        <v>40</v>
      </c>
      <c r="F468" s="414">
        <v>35</v>
      </c>
    </row>
    <row r="471" spans="1:6">
      <c r="A471" s="937" t="s">
        <v>4028</v>
      </c>
      <c r="B471" s="937" t="s">
        <v>4043</v>
      </c>
      <c r="C471" s="937"/>
      <c r="D471" s="937"/>
      <c r="E471" s="937"/>
      <c r="F471" s="937"/>
    </row>
    <row r="472" spans="1:6">
      <c r="A472" s="947">
        <v>29</v>
      </c>
      <c r="B472" s="73" t="s">
        <v>4030</v>
      </c>
      <c r="C472" s="73" t="s">
        <v>4044</v>
      </c>
      <c r="D472" s="564" t="s">
        <v>3872</v>
      </c>
      <c r="E472" s="73" t="s">
        <v>3865</v>
      </c>
      <c r="F472" s="73" t="s">
        <v>3866</v>
      </c>
    </row>
    <row r="473" spans="1:6">
      <c r="A473" s="3" t="s">
        <v>4045</v>
      </c>
      <c r="B473">
        <v>0</v>
      </c>
      <c r="C473">
        <v>0.33333333333333331</v>
      </c>
      <c r="D473" s="17">
        <v>2576.0571507413197</v>
      </c>
      <c r="E473">
        <v>25</v>
      </c>
      <c r="F473">
        <v>22</v>
      </c>
    </row>
    <row r="474" spans="1:6">
      <c r="A474" s="3"/>
      <c r="B474">
        <v>0.34</v>
      </c>
      <c r="C474">
        <v>0.5</v>
      </c>
      <c r="D474" s="17">
        <v>3281.4726797331573</v>
      </c>
      <c r="E474">
        <v>25</v>
      </c>
      <c r="F474">
        <v>22</v>
      </c>
    </row>
    <row r="475" spans="1:6">
      <c r="A475" s="3"/>
      <c r="B475">
        <v>0.51</v>
      </c>
      <c r="C475">
        <v>0.75</v>
      </c>
      <c r="D475" s="17">
        <v>2703.2428881584933</v>
      </c>
      <c r="E475">
        <v>25</v>
      </c>
      <c r="F475">
        <v>22</v>
      </c>
    </row>
    <row r="476" spans="1:6">
      <c r="A476" s="3"/>
      <c r="B476">
        <v>0.76</v>
      </c>
      <c r="C476">
        <v>1</v>
      </c>
      <c r="D476" s="17">
        <v>3740.58217089759</v>
      </c>
      <c r="E476">
        <v>25</v>
      </c>
      <c r="F476">
        <v>22</v>
      </c>
    </row>
    <row r="477" spans="1:6">
      <c r="A477" s="3"/>
      <c r="B477">
        <v>1.1000000000000001</v>
      </c>
      <c r="C477">
        <v>1.5</v>
      </c>
      <c r="D477" s="17">
        <v>3059.3629529265804</v>
      </c>
      <c r="E477">
        <v>25</v>
      </c>
      <c r="F477">
        <v>22</v>
      </c>
    </row>
    <row r="478" spans="1:6">
      <c r="A478" s="3"/>
      <c r="B478">
        <v>1.6</v>
      </c>
      <c r="C478">
        <v>2</v>
      </c>
      <c r="D478" s="17">
        <v>3689.7078759307205</v>
      </c>
      <c r="E478">
        <v>25</v>
      </c>
      <c r="F478">
        <v>22</v>
      </c>
    </row>
    <row r="479" spans="1:6">
      <c r="A479" s="3"/>
      <c r="B479">
        <v>2.1</v>
      </c>
      <c r="C479">
        <v>4</v>
      </c>
      <c r="D479" s="17">
        <v>3958.3489700850441</v>
      </c>
      <c r="E479">
        <v>25</v>
      </c>
      <c r="F479">
        <v>22</v>
      </c>
    </row>
    <row r="480" spans="1:6">
      <c r="A480" s="3"/>
      <c r="B480">
        <v>4.0999999999999996</v>
      </c>
      <c r="C480" t="s">
        <v>3873</v>
      </c>
      <c r="D480" s="17" t="s">
        <v>3873</v>
      </c>
      <c r="E480">
        <v>25</v>
      </c>
      <c r="F480">
        <v>22</v>
      </c>
    </row>
    <row r="483" spans="1:6">
      <c r="A483" s="937" t="s">
        <v>4046</v>
      </c>
      <c r="B483" s="937" t="s">
        <v>4047</v>
      </c>
      <c r="C483" s="937"/>
      <c r="D483" s="937"/>
      <c r="E483" s="937"/>
      <c r="F483" s="937"/>
    </row>
    <row r="484" spans="1:6">
      <c r="A484" s="947">
        <v>5</v>
      </c>
      <c r="B484" s="804" t="s">
        <v>4017</v>
      </c>
      <c r="C484" s="73" t="s">
        <v>4018</v>
      </c>
      <c r="D484" s="564" t="s">
        <v>4019</v>
      </c>
      <c r="E484" s="804" t="s">
        <v>3980</v>
      </c>
      <c r="F484" s="564" t="s">
        <v>3866</v>
      </c>
    </row>
    <row r="485" spans="1:6">
      <c r="A485" s="3" t="s">
        <v>4048</v>
      </c>
      <c r="B485" s="414">
        <v>0</v>
      </c>
      <c r="C485">
        <v>1000</v>
      </c>
      <c r="D485" s="948">
        <v>2.02575791736697</v>
      </c>
      <c r="E485" s="523" t="s">
        <v>3877</v>
      </c>
      <c r="F485" s="523" t="s">
        <v>3877</v>
      </c>
    </row>
    <row r="486" spans="1:6">
      <c r="A486" s="3"/>
      <c r="B486" s="414">
        <v>2000</v>
      </c>
      <c r="C486">
        <v>21000</v>
      </c>
      <c r="D486" s="948">
        <v>1.4185954564464454</v>
      </c>
      <c r="E486" s="523" t="s">
        <v>3877</v>
      </c>
      <c r="F486" s="523" t="s">
        <v>3877</v>
      </c>
    </row>
    <row r="487" spans="1:6">
      <c r="A487" s="3"/>
      <c r="B487" s="414">
        <v>40000</v>
      </c>
      <c r="C487">
        <v>40000</v>
      </c>
      <c r="D487" s="948">
        <v>1.2114329955259204</v>
      </c>
      <c r="E487" s="523" t="s">
        <v>3877</v>
      </c>
      <c r="F487" s="523" t="s">
        <v>3877</v>
      </c>
    </row>
    <row r="490" spans="1:6">
      <c r="A490" s="937" t="s">
        <v>4049</v>
      </c>
      <c r="B490" s="937" t="s">
        <v>4050</v>
      </c>
      <c r="C490" s="937"/>
      <c r="D490" s="937"/>
      <c r="E490" s="937"/>
      <c r="F490" s="937"/>
    </row>
    <row r="491" spans="1:6">
      <c r="A491" s="947">
        <v>28</v>
      </c>
      <c r="B491" s="804" t="s">
        <v>4051</v>
      </c>
      <c r="C491" s="73" t="s">
        <v>4052</v>
      </c>
      <c r="D491" s="564" t="s">
        <v>3872</v>
      </c>
      <c r="E491" s="804" t="s">
        <v>3980</v>
      </c>
      <c r="F491" s="564" t="s">
        <v>3866</v>
      </c>
    </row>
    <row r="492" spans="1:6">
      <c r="A492" s="3" t="s">
        <v>4053</v>
      </c>
      <c r="B492">
        <v>0</v>
      </c>
      <c r="C492">
        <v>2500</v>
      </c>
      <c r="D492" s="17">
        <v>1888357.1428571427</v>
      </c>
      <c r="E492">
        <v>20</v>
      </c>
      <c r="F492">
        <v>20</v>
      </c>
    </row>
    <row r="493" spans="1:6">
      <c r="A493" s="3"/>
      <c r="B493">
        <v>2501</v>
      </c>
      <c r="C493">
        <v>5000</v>
      </c>
      <c r="D493" s="17">
        <v>2599321.4285714286</v>
      </c>
      <c r="E493">
        <v>20</v>
      </c>
      <c r="F493">
        <v>20</v>
      </c>
    </row>
    <row r="494" spans="1:6">
      <c r="A494" s="3"/>
      <c r="B494">
        <v>5001</v>
      </c>
      <c r="C494">
        <v>10000</v>
      </c>
      <c r="D494" s="17">
        <v>3543500</v>
      </c>
      <c r="E494">
        <v>20</v>
      </c>
      <c r="F494">
        <v>20</v>
      </c>
    </row>
    <row r="495" spans="1:6">
      <c r="A495" s="3"/>
      <c r="B495">
        <v>10001</v>
      </c>
      <c r="C495">
        <v>25000</v>
      </c>
      <c r="D495" s="17">
        <v>4487678.5714285709</v>
      </c>
      <c r="E495">
        <v>20</v>
      </c>
      <c r="F495">
        <v>20</v>
      </c>
    </row>
    <row r="496" spans="1:6">
      <c r="A496" s="3"/>
      <c r="B496">
        <v>25001</v>
      </c>
      <c r="C496">
        <v>50000</v>
      </c>
      <c r="D496" s="17">
        <v>6131500</v>
      </c>
      <c r="E496">
        <v>20</v>
      </c>
      <c r="F496">
        <v>20</v>
      </c>
    </row>
    <row r="497" spans="1:6">
      <c r="A497" s="3"/>
      <c r="B497">
        <v>50001</v>
      </c>
      <c r="C497">
        <v>75000</v>
      </c>
      <c r="D497" s="17">
        <v>7308892.8571428563</v>
      </c>
      <c r="E497">
        <v>20</v>
      </c>
      <c r="F497">
        <v>20</v>
      </c>
    </row>
    <row r="498" spans="1:6">
      <c r="A498" s="3"/>
      <c r="B498">
        <v>75001</v>
      </c>
      <c r="C498">
        <v>100000</v>
      </c>
      <c r="D498" s="17">
        <v>8019857.1428571427</v>
      </c>
      <c r="E498">
        <v>20</v>
      </c>
      <c r="F498">
        <v>20</v>
      </c>
    </row>
    <row r="499" spans="1:6">
      <c r="A499" s="3"/>
      <c r="B499">
        <v>100001</v>
      </c>
      <c r="C499" t="s">
        <v>3873</v>
      </c>
      <c r="D499" s="17" t="s">
        <v>3873</v>
      </c>
    </row>
    <row r="502" spans="1:6">
      <c r="A502" s="937" t="s">
        <v>3863</v>
      </c>
      <c r="B502" s="937" t="s">
        <v>4054</v>
      </c>
      <c r="C502" s="937"/>
      <c r="D502" s="937"/>
      <c r="E502" s="937"/>
      <c r="F502" s="937"/>
    </row>
    <row r="503" spans="1:6">
      <c r="A503" s="947">
        <v>43</v>
      </c>
      <c r="B503" s="73" t="s">
        <v>3962</v>
      </c>
      <c r="C503" s="73" t="s">
        <v>3963</v>
      </c>
      <c r="D503" s="564" t="s">
        <v>3872</v>
      </c>
      <c r="E503" s="73" t="s">
        <v>3865</v>
      </c>
      <c r="F503" s="73" t="s">
        <v>3866</v>
      </c>
    </row>
    <row r="504" spans="1:6">
      <c r="A504" s="3" t="s">
        <v>4055</v>
      </c>
      <c r="B504">
        <v>0</v>
      </c>
      <c r="C504">
        <v>2</v>
      </c>
      <c r="D504" s="17">
        <v>1917.9132555761435</v>
      </c>
      <c r="E504">
        <v>15</v>
      </c>
      <c r="F504">
        <v>14</v>
      </c>
    </row>
    <row r="505" spans="1:6">
      <c r="A505" s="3"/>
      <c r="B505">
        <v>2.1</v>
      </c>
      <c r="C505">
        <v>3</v>
      </c>
      <c r="D505" s="17">
        <v>2012.2775307939435</v>
      </c>
      <c r="E505">
        <v>15</v>
      </c>
      <c r="F505">
        <v>14</v>
      </c>
    </row>
    <row r="506" spans="1:6">
      <c r="A506" s="3"/>
      <c r="B506">
        <v>3.1</v>
      </c>
      <c r="C506">
        <v>6</v>
      </c>
      <c r="D506" s="17">
        <v>3229.2703536375971</v>
      </c>
      <c r="E506">
        <v>15</v>
      </c>
      <c r="F506">
        <v>14</v>
      </c>
    </row>
    <row r="507" spans="1:6">
      <c r="A507" s="3"/>
      <c r="B507">
        <v>6.1</v>
      </c>
      <c r="C507">
        <v>12</v>
      </c>
      <c r="D507" s="17">
        <v>5131.3008277058216</v>
      </c>
      <c r="E507">
        <v>15</v>
      </c>
      <c r="F507">
        <v>14</v>
      </c>
    </row>
    <row r="508" spans="1:6">
      <c r="A508" s="3"/>
      <c r="B508">
        <v>12.1</v>
      </c>
      <c r="C508">
        <v>16</v>
      </c>
      <c r="D508" s="17">
        <v>6932.5703263810165</v>
      </c>
      <c r="E508">
        <v>15</v>
      </c>
      <c r="F508">
        <v>14</v>
      </c>
    </row>
    <row r="509" spans="1:6">
      <c r="A509" s="3"/>
      <c r="B509">
        <v>16.100000000000001</v>
      </c>
      <c r="C509">
        <v>24</v>
      </c>
      <c r="D509" s="17">
        <v>6272.4431261963609</v>
      </c>
      <c r="E509">
        <v>15</v>
      </c>
      <c r="F509">
        <v>14</v>
      </c>
    </row>
    <row r="510" spans="1:6">
      <c r="A510" s="3"/>
      <c r="B510">
        <v>48.1</v>
      </c>
      <c r="C510">
        <v>60</v>
      </c>
      <c r="D510" s="17">
        <v>25150.900552878997</v>
      </c>
      <c r="E510">
        <v>15</v>
      </c>
      <c r="F510">
        <v>14</v>
      </c>
    </row>
    <row r="511" spans="1:6">
      <c r="A511" s="3"/>
      <c r="B511">
        <v>60.1</v>
      </c>
      <c r="C511" t="s">
        <v>3873</v>
      </c>
      <c r="D511" s="17" t="s">
        <v>3873</v>
      </c>
      <c r="E511">
        <v>15</v>
      </c>
      <c r="F511">
        <v>14</v>
      </c>
    </row>
    <row r="514" spans="1:6">
      <c r="A514" s="937" t="s">
        <v>4056</v>
      </c>
      <c r="B514" s="937" t="s">
        <v>4057</v>
      </c>
      <c r="C514" s="937"/>
      <c r="D514" s="937"/>
      <c r="E514" s="937"/>
      <c r="F514" s="937"/>
    </row>
    <row r="515" spans="1:6">
      <c r="A515" s="947">
        <v>42</v>
      </c>
      <c r="B515" s="73"/>
      <c r="C515" s="73"/>
      <c r="D515" s="564" t="s">
        <v>3872</v>
      </c>
      <c r="E515" s="73" t="s">
        <v>3865</v>
      </c>
      <c r="F515" s="73" t="s">
        <v>3866</v>
      </c>
    </row>
    <row r="516" spans="1:6">
      <c r="A516" s="3" t="s">
        <v>4058</v>
      </c>
      <c r="B516">
        <v>0</v>
      </c>
      <c r="C516">
        <v>0</v>
      </c>
      <c r="D516" s="17">
        <v>40.5</v>
      </c>
      <c r="E516">
        <v>10</v>
      </c>
      <c r="F516">
        <v>8</v>
      </c>
    </row>
    <row r="519" spans="1:6">
      <c r="A519" s="937" t="s">
        <v>4059</v>
      </c>
      <c r="B519" s="937" t="s">
        <v>4060</v>
      </c>
      <c r="C519" s="937"/>
      <c r="D519" s="937"/>
      <c r="E519" s="937"/>
      <c r="F519" s="937"/>
    </row>
    <row r="520" spans="1:6">
      <c r="A520" s="947">
        <v>37</v>
      </c>
      <c r="B520" s="73"/>
      <c r="C520" s="73"/>
      <c r="D520" s="564" t="s">
        <v>3872</v>
      </c>
      <c r="E520" s="73" t="s">
        <v>3865</v>
      </c>
      <c r="F520" s="73" t="s">
        <v>3866</v>
      </c>
    </row>
    <row r="521" spans="1:6">
      <c r="A521" s="3" t="s">
        <v>4061</v>
      </c>
      <c r="B521">
        <v>0</v>
      </c>
      <c r="C521">
        <v>0</v>
      </c>
      <c r="D521" s="17">
        <v>1325.79</v>
      </c>
      <c r="E521">
        <v>10</v>
      </c>
      <c r="F521">
        <v>8</v>
      </c>
    </row>
    <row r="524" spans="1:6">
      <c r="A524" s="937" t="s">
        <v>3863</v>
      </c>
      <c r="B524" s="937" t="s">
        <v>4062</v>
      </c>
      <c r="C524" s="937"/>
      <c r="D524" s="937"/>
      <c r="E524" s="937"/>
      <c r="F524" s="937"/>
    </row>
    <row r="525" spans="1:6">
      <c r="A525" s="947">
        <v>43</v>
      </c>
      <c r="B525" s="73"/>
      <c r="C525" s="73"/>
      <c r="D525" s="564" t="s">
        <v>3872</v>
      </c>
      <c r="E525" s="73" t="s">
        <v>3865</v>
      </c>
      <c r="F525" s="73" t="s">
        <v>3866</v>
      </c>
    </row>
    <row r="526" spans="1:6">
      <c r="A526" s="3" t="s">
        <v>4063</v>
      </c>
      <c r="B526">
        <v>0</v>
      </c>
      <c r="C526">
        <v>0</v>
      </c>
      <c r="D526" s="17">
        <v>3047.1155477538618</v>
      </c>
      <c r="E526">
        <v>15</v>
      </c>
      <c r="F526">
        <v>14</v>
      </c>
    </row>
    <row r="529" spans="1:6">
      <c r="A529" s="3" t="s">
        <v>3885</v>
      </c>
      <c r="B529">
        <v>0</v>
      </c>
      <c r="C529">
        <v>0</v>
      </c>
      <c r="D529" s="948">
        <v>64</v>
      </c>
      <c r="E529" t="s">
        <v>3877</v>
      </c>
      <c r="F529" t="s">
        <v>3877</v>
      </c>
    </row>
    <row r="530" spans="1:6">
      <c r="A530" s="3"/>
      <c r="B530" t="s">
        <v>4064</v>
      </c>
      <c r="D530" t="s">
        <v>3876</v>
      </c>
      <c r="E530" t="s">
        <v>3865</v>
      </c>
      <c r="F530" t="s">
        <v>3866</v>
      </c>
    </row>
    <row r="531" spans="1:6">
      <c r="A531" s="74" t="s">
        <v>4065</v>
      </c>
      <c r="B531" s="73">
        <v>0</v>
      </c>
      <c r="C531" s="73">
        <v>0</v>
      </c>
      <c r="D531" s="958">
        <v>284.5</v>
      </c>
      <c r="E531" s="73" t="s">
        <v>3877</v>
      </c>
      <c r="F531" s="73" t="s">
        <v>3877</v>
      </c>
    </row>
    <row r="534" spans="1:6">
      <c r="A534" s="937" t="s">
        <v>4002</v>
      </c>
      <c r="B534" s="937" t="s">
        <v>4066</v>
      </c>
      <c r="C534" s="937"/>
      <c r="D534" s="937"/>
      <c r="E534" s="937"/>
      <c r="F534" s="937"/>
    </row>
    <row r="535" spans="1:6">
      <c r="A535" s="947">
        <v>16</v>
      </c>
      <c r="B535" s="804" t="s">
        <v>4010</v>
      </c>
      <c r="C535" s="564" t="s">
        <v>4011</v>
      </c>
      <c r="D535" s="73" t="s">
        <v>3872</v>
      </c>
      <c r="E535" s="73" t="s">
        <v>3865</v>
      </c>
      <c r="F535" s="73" t="s">
        <v>3866</v>
      </c>
    </row>
    <row r="536" spans="1:6">
      <c r="A536" s="3" t="s">
        <v>4067</v>
      </c>
      <c r="B536">
        <v>0</v>
      </c>
      <c r="C536">
        <v>60</v>
      </c>
      <c r="D536" s="17">
        <v>648.92857142857144</v>
      </c>
      <c r="E536">
        <v>10</v>
      </c>
      <c r="F536">
        <v>7</v>
      </c>
    </row>
    <row r="537" spans="1:6">
      <c r="A537" s="3"/>
      <c r="B537">
        <v>61</v>
      </c>
      <c r="C537">
        <v>100</v>
      </c>
      <c r="D537" s="17">
        <v>1067.8571428571429</v>
      </c>
      <c r="E537">
        <v>10</v>
      </c>
      <c r="F537">
        <v>7</v>
      </c>
    </row>
    <row r="538" spans="1:6">
      <c r="A538" s="3"/>
      <c r="B538">
        <v>101</v>
      </c>
      <c r="C538">
        <v>120</v>
      </c>
      <c r="D538" s="17">
        <v>745.85714285714289</v>
      </c>
      <c r="E538">
        <v>10</v>
      </c>
      <c r="F538">
        <v>7</v>
      </c>
    </row>
    <row r="539" spans="1:6">
      <c r="A539" s="3"/>
      <c r="B539">
        <v>121</v>
      </c>
      <c r="C539">
        <v>155</v>
      </c>
      <c r="D539" s="17">
        <v>821.42857142857133</v>
      </c>
      <c r="E539">
        <v>10</v>
      </c>
      <c r="F539">
        <v>7</v>
      </c>
    </row>
    <row r="540" spans="1:6">
      <c r="A540" s="3"/>
      <c r="B540">
        <v>156</v>
      </c>
      <c r="C540">
        <v>200</v>
      </c>
      <c r="D540" s="17">
        <v>903.57142857142856</v>
      </c>
      <c r="E540">
        <v>10</v>
      </c>
      <c r="F540">
        <v>7</v>
      </c>
    </row>
    <row r="541" spans="1:6">
      <c r="A541" s="3"/>
      <c r="B541">
        <v>201</v>
      </c>
      <c r="C541">
        <v>205</v>
      </c>
      <c r="D541" s="17">
        <v>1412.8571428571427</v>
      </c>
      <c r="E541">
        <v>10</v>
      </c>
      <c r="F541">
        <v>7</v>
      </c>
    </row>
    <row r="542" spans="1:6">
      <c r="A542" s="3"/>
      <c r="B542">
        <v>206</v>
      </c>
      <c r="C542">
        <v>295</v>
      </c>
      <c r="D542" s="17">
        <v>1150</v>
      </c>
      <c r="E542">
        <v>10</v>
      </c>
      <c r="F542">
        <v>7</v>
      </c>
    </row>
    <row r="543" spans="1:6">
      <c r="A543" s="3"/>
      <c r="B543">
        <v>296</v>
      </c>
      <c r="C543">
        <v>300</v>
      </c>
      <c r="D543" s="17">
        <v>1288</v>
      </c>
      <c r="E543">
        <v>10</v>
      </c>
      <c r="F543">
        <v>7</v>
      </c>
    </row>
    <row r="544" spans="1:6">
      <c r="A544" s="3"/>
      <c r="B544">
        <v>301</v>
      </c>
      <c r="C544">
        <v>540</v>
      </c>
      <c r="D544" s="17">
        <v>1827.6785714285716</v>
      </c>
      <c r="E544">
        <v>10</v>
      </c>
      <c r="F544">
        <v>7</v>
      </c>
    </row>
    <row r="545" spans="1:6">
      <c r="A545" s="3"/>
      <c r="B545">
        <v>541</v>
      </c>
      <c r="C545">
        <v>550</v>
      </c>
      <c r="D545" s="17">
        <v>1339.5735294117649</v>
      </c>
      <c r="E545">
        <v>10</v>
      </c>
      <c r="F545">
        <v>7</v>
      </c>
    </row>
    <row r="546" spans="1:6">
      <c r="A546" s="3"/>
      <c r="B546">
        <v>551</v>
      </c>
      <c r="C546">
        <v>850</v>
      </c>
      <c r="D546" s="17">
        <v>1913.6764705882354</v>
      </c>
      <c r="E546">
        <v>10</v>
      </c>
      <c r="F546">
        <v>7</v>
      </c>
    </row>
    <row r="547" spans="1:6">
      <c r="A547" s="3"/>
      <c r="B547">
        <v>851</v>
      </c>
      <c r="C547">
        <v>1000</v>
      </c>
      <c r="D547" s="17">
        <v>1653.4642857142858</v>
      </c>
      <c r="E547">
        <v>10</v>
      </c>
      <c r="F547">
        <v>7</v>
      </c>
    </row>
    <row r="548" spans="1:6">
      <c r="A548" s="3"/>
      <c r="B548">
        <v>1001</v>
      </c>
      <c r="C548">
        <v>1050</v>
      </c>
      <c r="D548" s="17">
        <v>3015</v>
      </c>
      <c r="E548">
        <v>10</v>
      </c>
      <c r="F548">
        <v>7</v>
      </c>
    </row>
    <row r="549" spans="1:6">
      <c r="A549" s="3"/>
      <c r="B549">
        <v>1051</v>
      </c>
      <c r="C549">
        <v>1200</v>
      </c>
      <c r="D549" s="17">
        <v>2413.1964285714284</v>
      </c>
      <c r="E549">
        <v>10</v>
      </c>
      <c r="F549">
        <v>7</v>
      </c>
    </row>
    <row r="550" spans="1:6">
      <c r="A550" s="3"/>
      <c r="B550">
        <v>1201</v>
      </c>
      <c r="C550">
        <v>1450</v>
      </c>
      <c r="D550" s="17">
        <v>1917.875</v>
      </c>
      <c r="E550">
        <v>10</v>
      </c>
      <c r="F550">
        <v>7</v>
      </c>
    </row>
    <row r="551" spans="1:6">
      <c r="A551" s="3"/>
      <c r="B551">
        <v>1451</v>
      </c>
      <c r="C551">
        <v>1500</v>
      </c>
      <c r="D551" s="17">
        <v>3619.2413793103447</v>
      </c>
      <c r="E551">
        <v>10</v>
      </c>
      <c r="F551">
        <v>7</v>
      </c>
    </row>
    <row r="552" spans="1:6">
      <c r="A552" s="3"/>
      <c r="B552">
        <v>1501</v>
      </c>
      <c r="C552">
        <v>2000</v>
      </c>
      <c r="D552" s="17">
        <v>4125.1886304909558</v>
      </c>
      <c r="E552">
        <v>10</v>
      </c>
      <c r="F552">
        <v>7</v>
      </c>
    </row>
    <row r="553" spans="1:6">
      <c r="A553" s="3"/>
      <c r="B553">
        <v>2001</v>
      </c>
      <c r="C553">
        <v>2450</v>
      </c>
      <c r="D553" s="17">
        <v>3836.3617571059431</v>
      </c>
      <c r="E553">
        <v>10</v>
      </c>
      <c r="F553">
        <v>7</v>
      </c>
    </row>
    <row r="554" spans="1:6">
      <c r="A554" s="3"/>
      <c r="B554">
        <v>2451</v>
      </c>
      <c r="C554">
        <v>2500</v>
      </c>
      <c r="D554" s="17">
        <v>5598.2635658914724</v>
      </c>
      <c r="E554">
        <v>10</v>
      </c>
      <c r="F554">
        <v>7</v>
      </c>
    </row>
    <row r="555" spans="1:6">
      <c r="A555" s="3"/>
      <c r="B555">
        <v>2501</v>
      </c>
      <c r="C555">
        <v>2550</v>
      </c>
      <c r="D555" s="17">
        <v>7703.9793281653738</v>
      </c>
      <c r="E555">
        <v>10</v>
      </c>
      <c r="F555">
        <v>7</v>
      </c>
    </row>
    <row r="556" spans="1:6">
      <c r="A556" s="3"/>
      <c r="B556">
        <v>2551</v>
      </c>
      <c r="C556">
        <v>3000</v>
      </c>
      <c r="D556" s="17">
        <v>5615.0490956072354</v>
      </c>
      <c r="E556">
        <v>10</v>
      </c>
      <c r="F556">
        <v>7</v>
      </c>
    </row>
    <row r="557" spans="1:6">
      <c r="A557" s="3"/>
      <c r="B557">
        <v>3001</v>
      </c>
      <c r="C557">
        <v>4200</v>
      </c>
      <c r="D557" s="17">
        <v>8250.3772609819116</v>
      </c>
      <c r="E557">
        <v>10</v>
      </c>
      <c r="F557">
        <v>7</v>
      </c>
    </row>
    <row r="558" spans="1:6">
      <c r="A558" s="3"/>
      <c r="B558">
        <v>4201</v>
      </c>
      <c r="C558">
        <v>5200</v>
      </c>
      <c r="D558" s="17">
        <v>11687.261780104711</v>
      </c>
      <c r="E558">
        <v>10</v>
      </c>
      <c r="F558">
        <v>7</v>
      </c>
    </row>
    <row r="559" spans="1:6">
      <c r="A559" s="3"/>
      <c r="B559">
        <v>5201</v>
      </c>
      <c r="C559">
        <v>5300</v>
      </c>
      <c r="D559" s="17">
        <v>13787.82722513089</v>
      </c>
      <c r="E559">
        <v>10</v>
      </c>
      <c r="F559">
        <v>7</v>
      </c>
    </row>
    <row r="560" spans="1:6">
      <c r="A560" s="3"/>
      <c r="B560">
        <v>5301</v>
      </c>
      <c r="C560">
        <v>6500</v>
      </c>
      <c r="D560" s="17">
        <v>14716.570680628272</v>
      </c>
      <c r="E560">
        <v>10</v>
      </c>
      <c r="F560">
        <v>7</v>
      </c>
    </row>
    <row r="561" spans="1:6">
      <c r="A561" s="3"/>
      <c r="B561">
        <v>6501</v>
      </c>
      <c r="C561">
        <v>6600</v>
      </c>
      <c r="D561" s="17">
        <v>17680.523560209422</v>
      </c>
      <c r="E561">
        <v>10</v>
      </c>
      <c r="F561">
        <v>7</v>
      </c>
    </row>
    <row r="562" spans="1:6">
      <c r="A562" s="3"/>
      <c r="B562">
        <v>6601</v>
      </c>
      <c r="C562" t="s">
        <v>3873</v>
      </c>
      <c r="D562" s="17" t="s">
        <v>3873</v>
      </c>
      <c r="E562">
        <v>10</v>
      </c>
      <c r="F562">
        <v>7</v>
      </c>
    </row>
    <row r="565" spans="1:6">
      <c r="A565" s="937" t="s">
        <v>4068</v>
      </c>
      <c r="B565" s="937" t="s">
        <v>4069</v>
      </c>
      <c r="C565" s="937"/>
      <c r="D565" s="937"/>
      <c r="E565" s="937"/>
      <c r="F565" s="937"/>
    </row>
    <row r="566" spans="1:6">
      <c r="A566" s="947">
        <v>36</v>
      </c>
      <c r="B566" s="73"/>
      <c r="C566" s="73"/>
      <c r="D566" s="564" t="s">
        <v>3872</v>
      </c>
      <c r="E566" s="73" t="s">
        <v>3865</v>
      </c>
      <c r="F566" s="73" t="s">
        <v>3866</v>
      </c>
    </row>
    <row r="567" spans="1:6">
      <c r="A567" s="3" t="s">
        <v>4070</v>
      </c>
      <c r="B567">
        <v>0</v>
      </c>
      <c r="C567">
        <v>0</v>
      </c>
      <c r="D567" s="17">
        <v>20680.739999999998</v>
      </c>
      <c r="E567">
        <v>10</v>
      </c>
      <c r="F567">
        <v>8</v>
      </c>
    </row>
    <row r="570" spans="1:6">
      <c r="A570" s="937" t="s">
        <v>4068</v>
      </c>
      <c r="B570" s="937" t="s">
        <v>4071</v>
      </c>
      <c r="C570" s="937"/>
      <c r="D570" s="937"/>
      <c r="E570" s="937"/>
      <c r="F570" s="937"/>
    </row>
    <row r="571" spans="1:6">
      <c r="A571" s="947">
        <v>36</v>
      </c>
      <c r="B571" s="73"/>
      <c r="C571" s="73"/>
      <c r="D571" s="564" t="s">
        <v>3872</v>
      </c>
      <c r="E571" s="73" t="s">
        <v>3865</v>
      </c>
      <c r="F571" s="73" t="s">
        <v>3866</v>
      </c>
    </row>
    <row r="572" spans="1:6">
      <c r="A572" s="3" t="s">
        <v>4072</v>
      </c>
      <c r="B572">
        <v>0</v>
      </c>
      <c r="C572">
        <v>0</v>
      </c>
      <c r="D572" s="17">
        <v>107.74000000000001</v>
      </c>
      <c r="E572">
        <v>10</v>
      </c>
      <c r="F572">
        <v>8</v>
      </c>
    </row>
    <row r="575" spans="1:6">
      <c r="A575" s="937" t="s">
        <v>4056</v>
      </c>
      <c r="B575" s="937" t="s">
        <v>4073</v>
      </c>
      <c r="C575" s="937"/>
      <c r="D575" s="937"/>
      <c r="E575" s="937"/>
      <c r="F575" s="937"/>
    </row>
    <row r="576" spans="1:6">
      <c r="A576" s="947">
        <v>42</v>
      </c>
      <c r="B576" s="73"/>
      <c r="C576" s="73"/>
      <c r="D576" s="564" t="s">
        <v>3872</v>
      </c>
      <c r="E576" s="73" t="s">
        <v>3865</v>
      </c>
      <c r="F576" s="73" t="s">
        <v>3866</v>
      </c>
    </row>
    <row r="577" spans="1:6">
      <c r="A577" s="3" t="s">
        <v>4074</v>
      </c>
      <c r="B577">
        <v>0</v>
      </c>
      <c r="C577">
        <v>0</v>
      </c>
      <c r="D577" s="17">
        <v>142.66999999999999</v>
      </c>
      <c r="E577">
        <v>10</v>
      </c>
      <c r="F577">
        <v>8</v>
      </c>
    </row>
    <row r="580" spans="1:6">
      <c r="A580" s="937" t="s">
        <v>4056</v>
      </c>
      <c r="B580" s="937" t="s">
        <v>4075</v>
      </c>
      <c r="C580" s="937"/>
      <c r="D580" s="937"/>
      <c r="E580" s="937"/>
      <c r="F580" s="937"/>
    </row>
    <row r="581" spans="1:6">
      <c r="A581" s="947">
        <v>42</v>
      </c>
      <c r="B581" s="73"/>
      <c r="C581" s="73"/>
      <c r="D581" s="564" t="s">
        <v>3872</v>
      </c>
      <c r="E581" s="73" t="s">
        <v>3865</v>
      </c>
      <c r="F581" s="73" t="s">
        <v>3866</v>
      </c>
    </row>
    <row r="582" spans="1:6">
      <c r="A582" s="3" t="s">
        <v>4076</v>
      </c>
      <c r="B582">
        <v>0</v>
      </c>
      <c r="C582">
        <v>0</v>
      </c>
      <c r="D582" s="17">
        <v>557.33500000000004</v>
      </c>
      <c r="E582">
        <v>10</v>
      </c>
      <c r="F582">
        <v>8</v>
      </c>
    </row>
    <row r="585" spans="1:6">
      <c r="A585" s="937" t="s">
        <v>4056</v>
      </c>
      <c r="B585" s="937" t="s">
        <v>4077</v>
      </c>
      <c r="C585" s="937"/>
      <c r="D585" s="937"/>
      <c r="E585" s="937"/>
      <c r="F585" s="937"/>
    </row>
    <row r="586" spans="1:6">
      <c r="A586" s="947">
        <v>42</v>
      </c>
      <c r="B586" s="73"/>
      <c r="C586" s="73"/>
      <c r="D586" s="564" t="s">
        <v>3872</v>
      </c>
      <c r="E586" s="73" t="s">
        <v>3865</v>
      </c>
      <c r="F586" s="73" t="s">
        <v>3866</v>
      </c>
    </row>
    <row r="587" spans="1:6">
      <c r="A587" s="3" t="s">
        <v>4078</v>
      </c>
      <c r="B587">
        <v>0</v>
      </c>
      <c r="C587">
        <v>0</v>
      </c>
      <c r="D587" s="17">
        <v>378.8</v>
      </c>
      <c r="E587">
        <v>10</v>
      </c>
      <c r="F587">
        <v>8</v>
      </c>
    </row>
    <row r="590" spans="1:6">
      <c r="A590" s="937" t="s">
        <v>4056</v>
      </c>
      <c r="B590" s="937" t="s">
        <v>4079</v>
      </c>
      <c r="C590" s="937"/>
      <c r="D590" s="937"/>
      <c r="E590" s="937"/>
      <c r="F590" s="937"/>
    </row>
    <row r="591" spans="1:6">
      <c r="A591" s="947">
        <v>42</v>
      </c>
      <c r="B591" s="73"/>
      <c r="C591" s="73"/>
      <c r="D591" s="564" t="s">
        <v>3872</v>
      </c>
      <c r="E591" s="73" t="s">
        <v>3865</v>
      </c>
      <c r="F591" s="73" t="s">
        <v>3866</v>
      </c>
    </row>
    <row r="592" spans="1:6">
      <c r="A592" s="3" t="s">
        <v>4080</v>
      </c>
      <c r="B592">
        <v>0</v>
      </c>
      <c r="C592">
        <v>0</v>
      </c>
      <c r="D592" s="17">
        <v>597.23500000000001</v>
      </c>
      <c r="E592">
        <v>10</v>
      </c>
      <c r="F592">
        <v>8</v>
      </c>
    </row>
    <row r="595" spans="1:6">
      <c r="A595" s="937" t="s">
        <v>4056</v>
      </c>
      <c r="B595" s="937" t="s">
        <v>4081</v>
      </c>
      <c r="C595" s="937"/>
      <c r="D595" s="937"/>
      <c r="E595" s="937"/>
      <c r="F595" s="937"/>
    </row>
    <row r="596" spans="1:6">
      <c r="A596" s="947">
        <v>42</v>
      </c>
      <c r="B596" s="73"/>
      <c r="C596" s="73"/>
      <c r="D596" s="564" t="s">
        <v>3872</v>
      </c>
      <c r="E596" s="73" t="s">
        <v>3865</v>
      </c>
      <c r="F596" s="73" t="s">
        <v>3866</v>
      </c>
    </row>
    <row r="597" spans="1:6">
      <c r="A597" s="3" t="s">
        <v>4082</v>
      </c>
      <c r="B597">
        <v>0</v>
      </c>
      <c r="C597">
        <v>0</v>
      </c>
      <c r="D597" s="17">
        <v>382.68</v>
      </c>
      <c r="E597">
        <v>10</v>
      </c>
      <c r="F597">
        <v>8</v>
      </c>
    </row>
    <row r="600" spans="1:6">
      <c r="A600" s="937" t="s">
        <v>4056</v>
      </c>
      <c r="B600" s="937" t="s">
        <v>4083</v>
      </c>
      <c r="C600" s="937"/>
      <c r="D600" s="937"/>
      <c r="E600" s="937"/>
      <c r="F600" s="937"/>
    </row>
    <row r="601" spans="1:6">
      <c r="A601" s="947">
        <v>42</v>
      </c>
      <c r="B601" s="73"/>
      <c r="C601" s="73"/>
      <c r="D601" s="564" t="s">
        <v>3872</v>
      </c>
      <c r="E601" s="73" t="s">
        <v>3865</v>
      </c>
      <c r="F601" s="73" t="s">
        <v>3866</v>
      </c>
    </row>
    <row r="602" spans="1:6">
      <c r="A602" s="3" t="s">
        <v>4084</v>
      </c>
      <c r="B602">
        <v>0</v>
      </c>
      <c r="C602">
        <v>0</v>
      </c>
      <c r="D602" s="17">
        <v>340.42500000000001</v>
      </c>
      <c r="E602">
        <v>10</v>
      </c>
      <c r="F602">
        <v>8</v>
      </c>
    </row>
    <row r="605" spans="1:6">
      <c r="A605" s="937" t="s">
        <v>4056</v>
      </c>
      <c r="B605" s="937" t="s">
        <v>4085</v>
      </c>
      <c r="C605" s="937"/>
      <c r="D605" s="937"/>
      <c r="E605" s="937"/>
      <c r="F605" s="937"/>
    </row>
    <row r="606" spans="1:6">
      <c r="A606" s="947">
        <v>42</v>
      </c>
      <c r="B606" s="73"/>
      <c r="C606" s="73"/>
      <c r="D606" s="564" t="s">
        <v>3872</v>
      </c>
      <c r="E606" s="73" t="s">
        <v>3865</v>
      </c>
      <c r="F606" s="73" t="s">
        <v>3866</v>
      </c>
    </row>
    <row r="607" spans="1:6">
      <c r="A607" s="3" t="s">
        <v>4086</v>
      </c>
      <c r="B607">
        <v>0</v>
      </c>
      <c r="C607">
        <v>0</v>
      </c>
      <c r="D607" s="17">
        <v>1342.2349999999999</v>
      </c>
      <c r="E607">
        <v>10</v>
      </c>
      <c r="F607">
        <v>8</v>
      </c>
    </row>
    <row r="610" spans="1:6">
      <c r="A610" s="937" t="s">
        <v>4068</v>
      </c>
      <c r="B610" s="937" t="s">
        <v>4087</v>
      </c>
      <c r="C610" s="937"/>
      <c r="D610" s="937"/>
      <c r="E610" s="937"/>
      <c r="F610" s="937"/>
    </row>
    <row r="611" spans="1:6">
      <c r="A611" s="947">
        <v>36</v>
      </c>
      <c r="B611" s="73" t="s">
        <v>1891</v>
      </c>
      <c r="C611" s="73"/>
      <c r="D611" s="564" t="s">
        <v>3872</v>
      </c>
      <c r="E611" s="73" t="s">
        <v>3865</v>
      </c>
      <c r="F611" s="73" t="s">
        <v>3866</v>
      </c>
    </row>
    <row r="612" spans="1:6">
      <c r="A612" s="3" t="s">
        <v>4090</v>
      </c>
      <c r="B612" t="s">
        <v>4088</v>
      </c>
      <c r="C612" t="s">
        <v>4088</v>
      </c>
      <c r="D612" s="17">
        <v>1828.625</v>
      </c>
      <c r="E612">
        <v>10</v>
      </c>
      <c r="F612">
        <v>8</v>
      </c>
    </row>
    <row r="613" spans="1:6">
      <c r="A613" s="3"/>
      <c r="B613" t="s">
        <v>4089</v>
      </c>
      <c r="C613" t="s">
        <v>4089</v>
      </c>
      <c r="D613" s="17">
        <v>616.5</v>
      </c>
      <c r="E613">
        <v>10</v>
      </c>
      <c r="F613">
        <v>8</v>
      </c>
    </row>
    <row r="616" spans="1:6">
      <c r="A616" s="937" t="s">
        <v>4068</v>
      </c>
      <c r="B616" s="937" t="s">
        <v>4091</v>
      </c>
      <c r="C616" s="937"/>
      <c r="D616" s="937"/>
      <c r="E616" s="937"/>
      <c r="F616" s="937"/>
    </row>
    <row r="617" spans="1:6">
      <c r="A617" s="947">
        <v>36</v>
      </c>
      <c r="B617" s="73"/>
      <c r="C617" s="73"/>
      <c r="D617" s="564" t="s">
        <v>3872</v>
      </c>
      <c r="E617" s="73" t="s">
        <v>3865</v>
      </c>
      <c r="F617" s="73" t="s">
        <v>3866</v>
      </c>
    </row>
    <row r="618" spans="1:6">
      <c r="A618" s="3" t="s">
        <v>4092</v>
      </c>
      <c r="B618">
        <v>0</v>
      </c>
      <c r="C618">
        <v>0</v>
      </c>
      <c r="D618" s="17">
        <v>355.56</v>
      </c>
      <c r="E618">
        <v>10</v>
      </c>
      <c r="F618">
        <v>8</v>
      </c>
    </row>
    <row r="621" spans="1:6">
      <c r="A621" s="937" t="s">
        <v>4056</v>
      </c>
      <c r="B621" s="937" t="s">
        <v>4093</v>
      </c>
      <c r="C621" s="937"/>
      <c r="D621" s="937"/>
      <c r="E621" s="937"/>
      <c r="F621" s="937"/>
    </row>
    <row r="622" spans="1:6">
      <c r="A622" s="947">
        <v>42</v>
      </c>
      <c r="B622" s="73"/>
      <c r="C622" s="73"/>
      <c r="D622" s="564" t="s">
        <v>3872</v>
      </c>
      <c r="E622" s="73" t="s">
        <v>3865</v>
      </c>
      <c r="F622" s="73" t="s">
        <v>3866</v>
      </c>
    </row>
    <row r="623" spans="1:6">
      <c r="A623" s="3" t="s">
        <v>4094</v>
      </c>
      <c r="B623">
        <v>0</v>
      </c>
      <c r="C623">
        <v>0</v>
      </c>
      <c r="D623" s="17">
        <v>553.5</v>
      </c>
      <c r="E623">
        <v>10</v>
      </c>
      <c r="F623">
        <v>8</v>
      </c>
    </row>
    <row r="626" spans="1:6">
      <c r="A626" s="937" t="s">
        <v>4028</v>
      </c>
      <c r="B626" s="937" t="s">
        <v>4095</v>
      </c>
      <c r="C626" s="937"/>
      <c r="D626" s="937"/>
      <c r="E626" s="937"/>
      <c r="F626" s="937"/>
    </row>
    <row r="627" spans="1:6">
      <c r="A627" s="947">
        <v>29</v>
      </c>
      <c r="B627" s="73" t="s">
        <v>4030</v>
      </c>
      <c r="C627" s="73" t="s">
        <v>4044</v>
      </c>
      <c r="D627" s="564" t="s">
        <v>3872</v>
      </c>
      <c r="E627" s="73" t="s">
        <v>3865</v>
      </c>
      <c r="F627" s="73" t="s">
        <v>3866</v>
      </c>
    </row>
    <row r="628" spans="1:6">
      <c r="A628" s="3" t="s">
        <v>4096</v>
      </c>
      <c r="B628">
        <v>0</v>
      </c>
      <c r="C628">
        <v>1</v>
      </c>
      <c r="D628" s="17">
        <v>2673.5819322709162</v>
      </c>
      <c r="E628">
        <v>25</v>
      </c>
      <c r="F628">
        <v>20</v>
      </c>
    </row>
    <row r="629" spans="1:6">
      <c r="A629" s="3"/>
      <c r="B629">
        <v>1.1000000000000001</v>
      </c>
      <c r="C629" t="s">
        <v>3873</v>
      </c>
      <c r="D629" s="17" t="s">
        <v>3873</v>
      </c>
      <c r="E629">
        <v>25</v>
      </c>
      <c r="F629">
        <v>20</v>
      </c>
    </row>
    <row r="632" spans="1:6">
      <c r="A632" s="937" t="s">
        <v>3960</v>
      </c>
      <c r="B632" s="937" t="s">
        <v>4097</v>
      </c>
      <c r="C632" s="937"/>
      <c r="D632" s="937"/>
      <c r="E632" s="937"/>
      <c r="F632" s="937"/>
    </row>
    <row r="633" spans="1:6">
      <c r="A633" s="947">
        <v>35</v>
      </c>
      <c r="B633" s="73" t="s">
        <v>3962</v>
      </c>
      <c r="C633" s="73" t="s">
        <v>3963</v>
      </c>
      <c r="D633" s="564" t="s">
        <v>3872</v>
      </c>
      <c r="E633" s="73" t="s">
        <v>3865</v>
      </c>
      <c r="F633" s="73" t="s">
        <v>3866</v>
      </c>
    </row>
    <row r="634" spans="1:6">
      <c r="A634" s="3" t="s">
        <v>4098</v>
      </c>
      <c r="B634">
        <v>0</v>
      </c>
      <c r="C634">
        <v>0.5</v>
      </c>
      <c r="D634" s="17">
        <v>86</v>
      </c>
      <c r="E634">
        <v>25</v>
      </c>
      <c r="F634">
        <v>20</v>
      </c>
    </row>
    <row r="635" spans="1:6">
      <c r="A635" s="3"/>
      <c r="B635">
        <v>0.6</v>
      </c>
      <c r="C635">
        <v>0.75</v>
      </c>
      <c r="D635" s="17">
        <v>94</v>
      </c>
      <c r="E635">
        <v>25</v>
      </c>
      <c r="F635">
        <v>20</v>
      </c>
    </row>
    <row r="636" spans="1:6">
      <c r="A636" s="3"/>
      <c r="B636">
        <v>0.76</v>
      </c>
      <c r="C636">
        <v>1</v>
      </c>
      <c r="D636" s="17">
        <v>112</v>
      </c>
      <c r="E636">
        <v>25</v>
      </c>
      <c r="F636">
        <v>20</v>
      </c>
    </row>
    <row r="637" spans="1:6">
      <c r="A637" s="3"/>
      <c r="B637">
        <v>1.1000000000000001</v>
      </c>
      <c r="C637">
        <v>1.5</v>
      </c>
      <c r="D637" s="17">
        <v>168</v>
      </c>
      <c r="E637">
        <v>25</v>
      </c>
      <c r="F637">
        <v>20</v>
      </c>
    </row>
    <row r="638" spans="1:6">
      <c r="A638" s="3"/>
      <c r="B638">
        <v>1.51</v>
      </c>
      <c r="C638">
        <v>2</v>
      </c>
      <c r="D638" s="17">
        <v>221</v>
      </c>
      <c r="E638">
        <v>25</v>
      </c>
      <c r="F638">
        <v>20</v>
      </c>
    </row>
    <row r="639" spans="1:6">
      <c r="A639" s="3"/>
      <c r="B639">
        <v>2.1</v>
      </c>
      <c r="C639">
        <v>3</v>
      </c>
      <c r="D639" s="17">
        <v>535</v>
      </c>
      <c r="E639">
        <v>25</v>
      </c>
      <c r="F639">
        <v>20</v>
      </c>
    </row>
    <row r="640" spans="1:6">
      <c r="A640" s="3"/>
      <c r="B640">
        <v>3.1</v>
      </c>
      <c r="C640">
        <v>4</v>
      </c>
      <c r="D640" s="17">
        <v>745</v>
      </c>
      <c r="E640">
        <v>25</v>
      </c>
      <c r="F640">
        <v>20</v>
      </c>
    </row>
    <row r="641" spans="1:6">
      <c r="A641" s="3"/>
      <c r="B641">
        <v>4.0999999999999996</v>
      </c>
      <c r="C641">
        <v>6</v>
      </c>
      <c r="D641" s="17">
        <v>1183.2912922943299</v>
      </c>
      <c r="E641">
        <v>25</v>
      </c>
      <c r="F641">
        <v>20</v>
      </c>
    </row>
    <row r="642" spans="1:6">
      <c r="A642" s="3"/>
      <c r="B642">
        <v>6.1</v>
      </c>
      <c r="C642">
        <v>8</v>
      </c>
      <c r="D642" s="17">
        <v>2546.809935210013</v>
      </c>
      <c r="E642">
        <v>25</v>
      </c>
      <c r="F642">
        <v>20</v>
      </c>
    </row>
    <row r="643" spans="1:6">
      <c r="A643" s="3"/>
      <c r="B643">
        <v>8.1</v>
      </c>
      <c r="C643">
        <v>10</v>
      </c>
      <c r="D643" s="17">
        <v>3343.2641795643849</v>
      </c>
      <c r="E643">
        <v>25</v>
      </c>
      <c r="F643">
        <v>20</v>
      </c>
    </row>
    <row r="644" spans="1:6">
      <c r="A644" s="3"/>
      <c r="B644">
        <v>10.1</v>
      </c>
      <c r="C644">
        <v>12</v>
      </c>
      <c r="D644" s="17">
        <v>3308.8022170682825</v>
      </c>
      <c r="E644">
        <v>25</v>
      </c>
      <c r="F644">
        <v>20</v>
      </c>
    </row>
    <row r="645" spans="1:6">
      <c r="A645" s="3"/>
      <c r="B645">
        <v>12.1</v>
      </c>
      <c r="C645" t="s">
        <v>3873</v>
      </c>
      <c r="D645" s="17" t="s">
        <v>3873</v>
      </c>
      <c r="E645">
        <v>25</v>
      </c>
      <c r="F645">
        <v>20</v>
      </c>
    </row>
    <row r="648" spans="1:6">
      <c r="A648" s="937" t="s">
        <v>3960</v>
      </c>
      <c r="B648" s="937" t="s">
        <v>4099</v>
      </c>
      <c r="C648" s="937"/>
      <c r="D648" s="937"/>
      <c r="E648" s="937"/>
      <c r="F648" s="937"/>
    </row>
    <row r="649" spans="1:6">
      <c r="A649" s="947">
        <v>35</v>
      </c>
      <c r="B649" s="73" t="s">
        <v>3962</v>
      </c>
      <c r="C649" s="73" t="s">
        <v>3963</v>
      </c>
      <c r="D649" s="564" t="s">
        <v>3872</v>
      </c>
      <c r="E649" s="73" t="s">
        <v>3865</v>
      </c>
      <c r="F649" s="73" t="s">
        <v>3866</v>
      </c>
    </row>
    <row r="650" spans="1:6">
      <c r="A650" s="3" t="s">
        <v>4101</v>
      </c>
      <c r="B650">
        <v>0</v>
      </c>
      <c r="C650">
        <v>0.5</v>
      </c>
      <c r="D650" s="17">
        <v>128.83954852512139</v>
      </c>
      <c r="E650">
        <v>25</v>
      </c>
      <c r="F650">
        <v>20</v>
      </c>
    </row>
    <row r="651" spans="1:6">
      <c r="A651" s="3"/>
      <c r="B651">
        <v>0.6</v>
      </c>
      <c r="C651">
        <v>0.75</v>
      </c>
      <c r="D651" s="17">
        <v>147.50199593286607</v>
      </c>
      <c r="E651">
        <v>25</v>
      </c>
      <c r="F651">
        <v>20</v>
      </c>
    </row>
    <row r="652" spans="1:6">
      <c r="A652" s="3"/>
      <c r="B652">
        <v>0.76</v>
      </c>
      <c r="C652">
        <v>1</v>
      </c>
      <c r="D652" s="17">
        <v>165.45892277617779</v>
      </c>
      <c r="E652">
        <v>25</v>
      </c>
      <c r="F652">
        <v>20</v>
      </c>
    </row>
    <row r="653" spans="1:6">
      <c r="A653" s="3"/>
      <c r="B653">
        <v>1.1000000000000001</v>
      </c>
      <c r="C653">
        <v>1.5</v>
      </c>
      <c r="D653" s="17">
        <v>234.30425345942169</v>
      </c>
      <c r="E653">
        <v>25</v>
      </c>
      <c r="F653">
        <v>20</v>
      </c>
    </row>
    <row r="654" spans="1:6">
      <c r="A654" s="3"/>
      <c r="B654">
        <v>1.6</v>
      </c>
      <c r="C654">
        <v>2</v>
      </c>
      <c r="D654" s="17">
        <v>297.00740796003362</v>
      </c>
      <c r="E654">
        <v>25</v>
      </c>
      <c r="F654">
        <v>20</v>
      </c>
    </row>
    <row r="655" spans="1:6">
      <c r="A655" s="3"/>
      <c r="B655">
        <v>2.1</v>
      </c>
      <c r="C655">
        <v>3</v>
      </c>
      <c r="D655" s="17">
        <v>500.39976319112048</v>
      </c>
      <c r="E655">
        <v>25</v>
      </c>
      <c r="F655">
        <v>20</v>
      </c>
    </row>
    <row r="656" spans="1:6">
      <c r="A656" s="3"/>
      <c r="B656">
        <v>3.1</v>
      </c>
      <c r="C656">
        <v>4</v>
      </c>
      <c r="D656" s="17">
        <v>636.40287930604438</v>
      </c>
      <c r="E656">
        <v>25</v>
      </c>
      <c r="F656">
        <v>20</v>
      </c>
    </row>
    <row r="657" spans="1:6">
      <c r="A657" s="3"/>
      <c r="B657">
        <v>4.0999999999999996</v>
      </c>
      <c r="C657">
        <v>6</v>
      </c>
      <c r="D657" s="17">
        <v>509.65011818181824</v>
      </c>
      <c r="E657">
        <v>25</v>
      </c>
      <c r="F657">
        <v>20</v>
      </c>
    </row>
    <row r="658" spans="1:6">
      <c r="A658" s="3"/>
      <c r="B658">
        <v>6.1</v>
      </c>
      <c r="C658">
        <v>8</v>
      </c>
      <c r="D658" s="17">
        <v>1509.803581818182</v>
      </c>
      <c r="E658">
        <v>25</v>
      </c>
      <c r="F658">
        <v>20</v>
      </c>
    </row>
    <row r="659" spans="1:6">
      <c r="A659" s="3"/>
      <c r="B659">
        <v>8.1</v>
      </c>
      <c r="C659">
        <v>10</v>
      </c>
      <c r="D659" s="17">
        <v>2218.7854000000002</v>
      </c>
      <c r="E659">
        <v>25</v>
      </c>
      <c r="F659">
        <v>20</v>
      </c>
    </row>
    <row r="660" spans="1:6">
      <c r="A660" s="3"/>
      <c r="B660" s="414">
        <v>10.1</v>
      </c>
      <c r="C660">
        <v>12</v>
      </c>
      <c r="D660" s="17">
        <v>3493.0035818181823</v>
      </c>
      <c r="E660">
        <v>25</v>
      </c>
      <c r="F660">
        <v>20</v>
      </c>
    </row>
    <row r="661" spans="1:6">
      <c r="A661" s="3" t="s">
        <v>4100</v>
      </c>
      <c r="B661" s="414">
        <v>12.1</v>
      </c>
      <c r="C661">
        <v>14</v>
      </c>
      <c r="D661" s="17">
        <v>9497.3730363636369</v>
      </c>
      <c r="E661">
        <v>25</v>
      </c>
      <c r="F661">
        <v>20</v>
      </c>
    </row>
    <row r="662" spans="1:6">
      <c r="A662" s="3"/>
      <c r="B662" s="414">
        <v>14.1</v>
      </c>
      <c r="C662">
        <v>16</v>
      </c>
      <c r="D662" s="17">
        <v>15175.099218181818</v>
      </c>
      <c r="E662">
        <v>25</v>
      </c>
      <c r="F662">
        <v>20</v>
      </c>
    </row>
    <row r="663" spans="1:6">
      <c r="A663" s="3"/>
      <c r="B663" s="414">
        <v>16.100000000000001</v>
      </c>
      <c r="C663">
        <v>18</v>
      </c>
      <c r="D663" s="17">
        <v>26336.568309090911</v>
      </c>
      <c r="E663">
        <v>25</v>
      </c>
      <c r="F663">
        <v>20</v>
      </c>
    </row>
    <row r="664" spans="1:6">
      <c r="A664" s="3"/>
      <c r="B664" s="414">
        <v>18.100000000000001</v>
      </c>
      <c r="C664">
        <v>20</v>
      </c>
      <c r="D664" s="17">
        <v>27037.973036363637</v>
      </c>
      <c r="E664">
        <v>25</v>
      </c>
      <c r="F664">
        <v>20</v>
      </c>
    </row>
    <row r="665" spans="1:6">
      <c r="A665" s="3"/>
      <c r="B665" s="414">
        <v>20.100000000000001</v>
      </c>
      <c r="C665">
        <v>24</v>
      </c>
      <c r="D665" s="17">
        <v>30928.845763636364</v>
      </c>
      <c r="E665">
        <v>25</v>
      </c>
      <c r="F665">
        <v>20</v>
      </c>
    </row>
    <row r="666" spans="1:6">
      <c r="A666" s="3"/>
      <c r="B666" s="414">
        <v>24.1</v>
      </c>
      <c r="C666" t="s">
        <v>3873</v>
      </c>
      <c r="D666" s="17" t="s">
        <v>3873</v>
      </c>
      <c r="E666">
        <v>25</v>
      </c>
      <c r="F666">
        <v>20</v>
      </c>
    </row>
    <row r="669" spans="1:6">
      <c r="A669" s="937" t="s">
        <v>3960</v>
      </c>
      <c r="B669" s="937" t="s">
        <v>4102</v>
      </c>
      <c r="C669" s="937"/>
      <c r="D669" s="938"/>
      <c r="E669" s="937"/>
      <c r="F669" s="937"/>
    </row>
    <row r="670" spans="1:6">
      <c r="A670" s="947">
        <v>35</v>
      </c>
      <c r="B670" s="73" t="s">
        <v>3962</v>
      </c>
      <c r="C670" s="73" t="s">
        <v>3963</v>
      </c>
      <c r="D670" s="564" t="s">
        <v>3872</v>
      </c>
      <c r="E670" s="73" t="s">
        <v>3865</v>
      </c>
      <c r="F670" s="73" t="s">
        <v>3866</v>
      </c>
    </row>
    <row r="671" spans="1:6">
      <c r="A671" s="3" t="s">
        <v>4104</v>
      </c>
      <c r="B671">
        <v>0</v>
      </c>
      <c r="C671">
        <v>0.5</v>
      </c>
      <c r="D671" s="17">
        <v>740.26144396551717</v>
      </c>
      <c r="E671">
        <v>25</v>
      </c>
      <c r="F671">
        <v>20</v>
      </c>
    </row>
    <row r="672" spans="1:6">
      <c r="A672" s="3"/>
      <c r="B672">
        <v>0.6</v>
      </c>
      <c r="C672">
        <v>0.75</v>
      </c>
      <c r="D672" s="17">
        <v>756.44980603448266</v>
      </c>
      <c r="E672">
        <v>25</v>
      </c>
      <c r="F672">
        <v>20</v>
      </c>
    </row>
    <row r="673" spans="1:6">
      <c r="A673" s="3"/>
      <c r="B673">
        <v>0.76</v>
      </c>
      <c r="C673">
        <v>1</v>
      </c>
      <c r="D673" s="17">
        <v>762.05928879310341</v>
      </c>
      <c r="E673">
        <v>25</v>
      </c>
      <c r="F673">
        <v>20</v>
      </c>
    </row>
    <row r="674" spans="1:6">
      <c r="A674" s="3"/>
      <c r="B674">
        <v>1.1000000000000001</v>
      </c>
      <c r="C674">
        <v>1.5</v>
      </c>
      <c r="D674" s="17">
        <v>832.34657327586206</v>
      </c>
      <c r="E674">
        <v>25</v>
      </c>
      <c r="F674">
        <v>20</v>
      </c>
    </row>
    <row r="675" spans="1:6">
      <c r="A675" s="3"/>
      <c r="B675">
        <v>1.6</v>
      </c>
      <c r="C675">
        <v>2</v>
      </c>
      <c r="D675" s="17">
        <v>819.5775532116046</v>
      </c>
      <c r="E675">
        <v>25</v>
      </c>
      <c r="F675">
        <v>20</v>
      </c>
    </row>
    <row r="676" spans="1:6">
      <c r="A676" s="3"/>
      <c r="B676">
        <v>2.1</v>
      </c>
      <c r="C676">
        <v>2.5</v>
      </c>
      <c r="D676" s="17">
        <v>754.23778894515874</v>
      </c>
      <c r="E676">
        <v>25</v>
      </c>
      <c r="F676">
        <v>20</v>
      </c>
    </row>
    <row r="677" spans="1:6">
      <c r="A677" s="3"/>
      <c r="B677">
        <v>2.6</v>
      </c>
      <c r="C677">
        <v>3</v>
      </c>
      <c r="D677" s="17">
        <v>976.71146485581494</v>
      </c>
      <c r="E677">
        <v>25</v>
      </c>
      <c r="F677">
        <v>20</v>
      </c>
    </row>
    <row r="678" spans="1:6">
      <c r="A678" s="3"/>
      <c r="B678">
        <v>3.1</v>
      </c>
      <c r="C678">
        <v>4</v>
      </c>
      <c r="D678" s="17">
        <v>1166.5479564973525</v>
      </c>
      <c r="E678">
        <v>25</v>
      </c>
      <c r="F678">
        <v>20</v>
      </c>
    </row>
    <row r="679" spans="1:6">
      <c r="A679" s="3"/>
      <c r="B679">
        <v>4.0999999999999996</v>
      </c>
      <c r="C679">
        <v>6</v>
      </c>
      <c r="D679" s="17">
        <v>1648.4738331376229</v>
      </c>
      <c r="E679">
        <v>25</v>
      </c>
      <c r="F679">
        <v>20</v>
      </c>
    </row>
    <row r="680" spans="1:6">
      <c r="A680" s="3"/>
      <c r="B680">
        <v>6.1</v>
      </c>
      <c r="C680">
        <v>8</v>
      </c>
      <c r="D680" s="17">
        <v>2631.2493192641541</v>
      </c>
      <c r="E680">
        <v>25</v>
      </c>
      <c r="F680">
        <v>20</v>
      </c>
    </row>
    <row r="681" spans="1:6">
      <c r="A681" s="3"/>
      <c r="B681">
        <v>8.1</v>
      </c>
      <c r="C681">
        <v>10</v>
      </c>
      <c r="D681" s="17">
        <v>4317.4601627104021</v>
      </c>
      <c r="E681">
        <v>25</v>
      </c>
      <c r="F681">
        <v>20</v>
      </c>
    </row>
    <row r="682" spans="1:6">
      <c r="A682" s="3"/>
      <c r="B682">
        <v>10.1</v>
      </c>
      <c r="C682">
        <v>12</v>
      </c>
      <c r="D682" s="17">
        <v>5117.5928035714278</v>
      </c>
      <c r="E682">
        <v>25</v>
      </c>
      <c r="F682">
        <v>20</v>
      </c>
    </row>
    <row r="683" spans="1:6">
      <c r="A683" s="3" t="s">
        <v>4103</v>
      </c>
      <c r="B683">
        <v>12.1</v>
      </c>
      <c r="C683">
        <v>14</v>
      </c>
      <c r="D683" s="17">
        <v>11974.494936134073</v>
      </c>
      <c r="E683">
        <v>25</v>
      </c>
      <c r="F683">
        <v>20</v>
      </c>
    </row>
    <row r="684" spans="1:6">
      <c r="A684" s="3"/>
      <c r="B684">
        <v>14.1</v>
      </c>
      <c r="C684">
        <v>16</v>
      </c>
      <c r="D684" s="17">
        <v>17391.798762050355</v>
      </c>
      <c r="E684">
        <v>25</v>
      </c>
      <c r="F684">
        <v>20</v>
      </c>
    </row>
    <row r="685" spans="1:6">
      <c r="A685" s="3"/>
      <c r="B685">
        <v>16.100000000000001</v>
      </c>
      <c r="C685">
        <v>18</v>
      </c>
      <c r="D685" s="17">
        <v>27381.034667861262</v>
      </c>
      <c r="E685">
        <v>25</v>
      </c>
      <c r="F685">
        <v>20</v>
      </c>
    </row>
    <row r="686" spans="1:6">
      <c r="A686" s="3"/>
      <c r="B686">
        <v>18.100000000000001</v>
      </c>
      <c r="C686">
        <v>20</v>
      </c>
      <c r="D686" s="17">
        <v>29109.944789041583</v>
      </c>
      <c r="E686">
        <v>25</v>
      </c>
      <c r="F686">
        <v>20</v>
      </c>
    </row>
    <row r="687" spans="1:6">
      <c r="A687" s="3"/>
      <c r="B687">
        <v>20.100000000000001</v>
      </c>
      <c r="C687">
        <v>24</v>
      </c>
      <c r="D687" s="17">
        <v>32873.996547028371</v>
      </c>
      <c r="E687">
        <v>25</v>
      </c>
      <c r="F687">
        <v>20</v>
      </c>
    </row>
    <row r="688" spans="1:6">
      <c r="A688" s="3"/>
      <c r="B688">
        <v>24.1</v>
      </c>
      <c r="C688" t="s">
        <v>3873</v>
      </c>
      <c r="D688" s="17" t="s">
        <v>3873</v>
      </c>
      <c r="E688">
        <v>25</v>
      </c>
      <c r="F688">
        <v>20</v>
      </c>
    </row>
    <row r="691" spans="1:6">
      <c r="A691" s="937" t="s">
        <v>3863</v>
      </c>
      <c r="B691" s="937" t="s">
        <v>4105</v>
      </c>
      <c r="C691" s="937"/>
      <c r="D691" s="937"/>
      <c r="E691" s="937"/>
      <c r="F691" s="937"/>
    </row>
    <row r="692" spans="1:6">
      <c r="A692" s="947">
        <v>43</v>
      </c>
      <c r="B692" s="73" t="s">
        <v>3962</v>
      </c>
      <c r="C692" s="73" t="s">
        <v>3963</v>
      </c>
      <c r="D692" s="564" t="s">
        <v>3872</v>
      </c>
      <c r="E692" s="73" t="s">
        <v>3865</v>
      </c>
      <c r="F692" s="73" t="s">
        <v>3866</v>
      </c>
    </row>
    <row r="693" spans="1:6">
      <c r="A693" s="3" t="s">
        <v>4106</v>
      </c>
      <c r="B693">
        <v>0</v>
      </c>
      <c r="C693">
        <v>2</v>
      </c>
      <c r="D693" s="17">
        <v>2762.2015890410958</v>
      </c>
      <c r="E693">
        <v>15</v>
      </c>
      <c r="F693">
        <v>14</v>
      </c>
    </row>
    <row r="694" spans="1:6">
      <c r="A694" s="3"/>
      <c r="B694">
        <v>2.1</v>
      </c>
      <c r="C694">
        <v>3</v>
      </c>
      <c r="D694" s="17">
        <v>2952.1338543689321</v>
      </c>
      <c r="E694">
        <v>15</v>
      </c>
      <c r="F694">
        <v>14</v>
      </c>
    </row>
    <row r="695" spans="1:6">
      <c r="A695" s="3"/>
      <c r="B695">
        <v>3.1</v>
      </c>
      <c r="C695">
        <v>4</v>
      </c>
      <c r="D695" s="17">
        <v>3374.8769849462369</v>
      </c>
      <c r="E695">
        <v>15</v>
      </c>
      <c r="F695">
        <v>14</v>
      </c>
    </row>
    <row r="696" spans="1:6">
      <c r="A696" s="3"/>
      <c r="B696">
        <v>4.0999999999999996</v>
      </c>
      <c r="C696">
        <v>6</v>
      </c>
      <c r="D696" s="17">
        <v>5052.9042666666664</v>
      </c>
      <c r="E696">
        <v>15</v>
      </c>
      <c r="F696">
        <v>14</v>
      </c>
    </row>
    <row r="697" spans="1:6">
      <c r="A697" s="3"/>
      <c r="B697">
        <v>6.1</v>
      </c>
      <c r="C697">
        <v>8</v>
      </c>
      <c r="D697" s="17">
        <v>5332.266333333333</v>
      </c>
      <c r="E697">
        <v>15</v>
      </c>
      <c r="F697">
        <v>14</v>
      </c>
    </row>
    <row r="698" spans="1:6">
      <c r="A698" s="3"/>
      <c r="B698">
        <v>8.1</v>
      </c>
      <c r="C698">
        <v>10</v>
      </c>
      <c r="D698" s="17">
        <v>5899.4732846715342</v>
      </c>
      <c r="E698">
        <v>15</v>
      </c>
      <c r="F698">
        <v>14</v>
      </c>
    </row>
    <row r="699" spans="1:6">
      <c r="A699" s="3"/>
      <c r="B699">
        <v>10.1</v>
      </c>
      <c r="C699">
        <v>12</v>
      </c>
      <c r="D699" s="17">
        <v>6787.882043795621</v>
      </c>
      <c r="E699">
        <v>15</v>
      </c>
      <c r="F699">
        <v>14</v>
      </c>
    </row>
    <row r="700" spans="1:6">
      <c r="A700" s="3"/>
      <c r="B700">
        <v>12.1</v>
      </c>
      <c r="C700">
        <v>14</v>
      </c>
      <c r="D700" s="17">
        <v>7395.5316788321179</v>
      </c>
      <c r="E700">
        <v>15</v>
      </c>
      <c r="F700">
        <v>14</v>
      </c>
    </row>
    <row r="701" spans="1:6">
      <c r="A701" s="3"/>
      <c r="B701">
        <v>14.1</v>
      </c>
      <c r="C701">
        <v>16</v>
      </c>
      <c r="D701" s="17">
        <v>8116.5827737226282</v>
      </c>
      <c r="E701">
        <v>15</v>
      </c>
      <c r="F701">
        <v>14</v>
      </c>
    </row>
    <row r="702" spans="1:6">
      <c r="A702" s="3"/>
      <c r="B702">
        <v>16.100000000000001</v>
      </c>
      <c r="C702">
        <v>18</v>
      </c>
      <c r="D702" s="17">
        <v>8534.2178102189791</v>
      </c>
      <c r="E702">
        <v>15</v>
      </c>
      <c r="F702">
        <v>14</v>
      </c>
    </row>
    <row r="703" spans="1:6">
      <c r="A703" s="3"/>
      <c r="B703">
        <v>18.100000000000001</v>
      </c>
      <c r="C703">
        <v>20</v>
      </c>
      <c r="D703" s="17">
        <v>9377.896642335767</v>
      </c>
      <c r="E703">
        <v>15</v>
      </c>
      <c r="F703">
        <v>14</v>
      </c>
    </row>
    <row r="704" spans="1:6">
      <c r="A704" s="3"/>
      <c r="B704">
        <v>20.100000000000001</v>
      </c>
      <c r="C704">
        <v>24</v>
      </c>
      <c r="D704" s="17">
        <v>11593.604671532848</v>
      </c>
      <c r="E704">
        <v>15</v>
      </c>
      <c r="F704">
        <v>14</v>
      </c>
    </row>
    <row r="705" spans="1:6">
      <c r="A705" s="3"/>
      <c r="B705">
        <v>24.1</v>
      </c>
      <c r="C705">
        <v>30</v>
      </c>
      <c r="D705" s="17">
        <v>15914.305401459857</v>
      </c>
      <c r="E705">
        <v>15</v>
      </c>
      <c r="F705">
        <v>14</v>
      </c>
    </row>
    <row r="706" spans="1:6">
      <c r="A706" s="3"/>
      <c r="B706">
        <v>30.1</v>
      </c>
      <c r="C706">
        <v>36</v>
      </c>
      <c r="D706" s="17">
        <v>20239.210510948906</v>
      </c>
      <c r="E706">
        <v>15</v>
      </c>
      <c r="F706">
        <v>14</v>
      </c>
    </row>
    <row r="707" spans="1:6">
      <c r="A707" s="3"/>
      <c r="B707">
        <v>36.1</v>
      </c>
      <c r="C707" t="s">
        <v>3873</v>
      </c>
      <c r="D707" s="17" t="s">
        <v>3873</v>
      </c>
      <c r="E707">
        <v>15</v>
      </c>
      <c r="F707">
        <v>14</v>
      </c>
    </row>
    <row r="710" spans="1:6">
      <c r="A710" s="937" t="s">
        <v>3868</v>
      </c>
      <c r="B710" s="937" t="s">
        <v>4107</v>
      </c>
      <c r="C710" s="937"/>
      <c r="D710" s="937"/>
      <c r="E710" s="937"/>
      <c r="F710" s="937"/>
    </row>
    <row r="711" spans="1:6">
      <c r="A711" s="947">
        <v>30</v>
      </c>
      <c r="B711" s="73" t="s">
        <v>3870</v>
      </c>
      <c r="C711" s="73" t="s">
        <v>3871</v>
      </c>
      <c r="D711" s="564" t="s">
        <v>3872</v>
      </c>
      <c r="E711" s="73" t="s">
        <v>3865</v>
      </c>
      <c r="F711" s="73" t="s">
        <v>3866</v>
      </c>
    </row>
    <row r="712" spans="1:6">
      <c r="A712" s="3" t="s">
        <v>4108</v>
      </c>
      <c r="B712">
        <v>0</v>
      </c>
      <c r="C712">
        <v>10</v>
      </c>
      <c r="D712" s="17">
        <v>3765.081740826402</v>
      </c>
      <c r="E712">
        <v>20</v>
      </c>
      <c r="F712">
        <v>17</v>
      </c>
    </row>
    <row r="713" spans="1:6">
      <c r="A713" s="3"/>
      <c r="B713">
        <v>11</v>
      </c>
      <c r="C713">
        <v>30</v>
      </c>
      <c r="D713" s="17">
        <v>4254.6995836907727</v>
      </c>
      <c r="E713">
        <v>20</v>
      </c>
      <c r="F713">
        <v>17</v>
      </c>
    </row>
    <row r="714" spans="1:6">
      <c r="A714" s="3"/>
      <c r="B714">
        <v>31</v>
      </c>
      <c r="C714">
        <v>200</v>
      </c>
      <c r="D714" s="17">
        <v>12125.919025502953</v>
      </c>
      <c r="E714">
        <v>20</v>
      </c>
      <c r="F714">
        <v>17</v>
      </c>
    </row>
    <row r="715" spans="1:6">
      <c r="A715" s="3"/>
      <c r="B715">
        <v>301</v>
      </c>
      <c r="C715">
        <v>500</v>
      </c>
      <c r="D715" s="17">
        <v>13969.613526038316</v>
      </c>
      <c r="E715">
        <v>20</v>
      </c>
      <c r="F715">
        <v>17</v>
      </c>
    </row>
    <row r="716" spans="1:6">
      <c r="A716" s="3"/>
      <c r="B716">
        <v>501</v>
      </c>
      <c r="C716">
        <v>750</v>
      </c>
      <c r="D716" s="17">
        <v>17759.918572183145</v>
      </c>
      <c r="E716">
        <v>20</v>
      </c>
      <c r="F716">
        <v>17</v>
      </c>
    </row>
    <row r="717" spans="1:6">
      <c r="A717" s="3"/>
      <c r="B717">
        <v>751</v>
      </c>
      <c r="C717">
        <v>1000</v>
      </c>
      <c r="D717" s="17">
        <v>18367.928438860366</v>
      </c>
      <c r="E717">
        <v>20</v>
      </c>
      <c r="F717">
        <v>17</v>
      </c>
    </row>
    <row r="718" spans="1:6">
      <c r="A718" s="3"/>
      <c r="B718">
        <v>1001</v>
      </c>
      <c r="C718">
        <v>1500</v>
      </c>
      <c r="D718" s="17">
        <v>23207.19064302601</v>
      </c>
      <c r="E718">
        <v>20</v>
      </c>
      <c r="F718">
        <v>17</v>
      </c>
    </row>
    <row r="719" spans="1:6">
      <c r="A719" s="3"/>
      <c r="B719">
        <v>1501</v>
      </c>
      <c r="C719">
        <v>2000</v>
      </c>
      <c r="D719" s="17">
        <v>33543.358376538781</v>
      </c>
      <c r="E719">
        <v>20</v>
      </c>
      <c r="F719">
        <v>17</v>
      </c>
    </row>
    <row r="720" spans="1:6">
      <c r="A720" s="3"/>
      <c r="B720">
        <v>2001</v>
      </c>
      <c r="C720">
        <v>3000</v>
      </c>
      <c r="D720" s="17">
        <v>38246.128569817702</v>
      </c>
      <c r="E720">
        <v>20</v>
      </c>
      <c r="F720">
        <v>17</v>
      </c>
    </row>
    <row r="721" spans="1:6">
      <c r="A721" s="3"/>
      <c r="B721">
        <v>3001</v>
      </c>
      <c r="C721">
        <v>3500</v>
      </c>
      <c r="D721" s="17">
        <v>41894.187769881028</v>
      </c>
      <c r="E721">
        <v>20</v>
      </c>
      <c r="F721">
        <v>17</v>
      </c>
    </row>
    <row r="722" spans="1:6">
      <c r="A722" s="3"/>
      <c r="B722">
        <v>3501</v>
      </c>
      <c r="C722">
        <v>4000</v>
      </c>
      <c r="D722" s="17">
        <v>44289.002142711717</v>
      </c>
      <c r="E722">
        <v>20</v>
      </c>
      <c r="F722">
        <v>17</v>
      </c>
    </row>
    <row r="723" spans="1:6">
      <c r="A723" s="3"/>
      <c r="B723">
        <v>4001</v>
      </c>
      <c r="C723">
        <v>6000</v>
      </c>
      <c r="D723" s="17">
        <v>82333.048086229319</v>
      </c>
      <c r="E723">
        <v>20</v>
      </c>
      <c r="F723">
        <v>17</v>
      </c>
    </row>
    <row r="724" spans="1:6">
      <c r="A724" s="3"/>
      <c r="B724">
        <v>6001</v>
      </c>
      <c r="C724">
        <v>10000</v>
      </c>
      <c r="D724" s="17">
        <v>89174.66776026864</v>
      </c>
      <c r="E724">
        <v>20</v>
      </c>
      <c r="F724">
        <v>17</v>
      </c>
    </row>
    <row r="725" spans="1:6">
      <c r="A725" s="3"/>
      <c r="B725">
        <v>10001</v>
      </c>
      <c r="C725" t="s">
        <v>3873</v>
      </c>
      <c r="D725" s="17" t="s">
        <v>3873</v>
      </c>
      <c r="E725">
        <v>20</v>
      </c>
      <c r="F725">
        <v>17</v>
      </c>
    </row>
    <row r="728" spans="1:6">
      <c r="A728" s="937" t="s">
        <v>3868</v>
      </c>
      <c r="B728" s="937" t="s">
        <v>4109</v>
      </c>
      <c r="C728" s="937"/>
      <c r="D728" s="937"/>
      <c r="E728" s="937"/>
      <c r="F728" s="937"/>
    </row>
    <row r="729" spans="1:6">
      <c r="A729" s="947">
        <v>30</v>
      </c>
      <c r="B729" s="73" t="s">
        <v>4110</v>
      </c>
      <c r="C729" s="73" t="s">
        <v>4111</v>
      </c>
      <c r="D729" s="564" t="s">
        <v>3872</v>
      </c>
      <c r="E729" s="73" t="s">
        <v>3865</v>
      </c>
      <c r="F729" s="73" t="s">
        <v>3866</v>
      </c>
    </row>
    <row r="730" spans="1:6">
      <c r="A730" s="3" t="s">
        <v>4112</v>
      </c>
      <c r="B730">
        <v>0</v>
      </c>
      <c r="C730">
        <v>0.21</v>
      </c>
      <c r="D730" s="17">
        <v>1430.5603577391205</v>
      </c>
      <c r="E730">
        <v>20</v>
      </c>
      <c r="F730">
        <v>15</v>
      </c>
    </row>
    <row r="731" spans="1:6">
      <c r="A731" s="3"/>
      <c r="B731">
        <v>0.22</v>
      </c>
      <c r="C731">
        <v>0.5</v>
      </c>
      <c r="D731" s="17">
        <v>1698.9532846009226</v>
      </c>
      <c r="E731">
        <v>20</v>
      </c>
      <c r="F731">
        <v>15</v>
      </c>
    </row>
    <row r="732" spans="1:6">
      <c r="A732" s="3"/>
      <c r="B732">
        <v>0.51</v>
      </c>
      <c r="C732">
        <v>0.6</v>
      </c>
      <c r="D732" s="17">
        <v>667.04762473158007</v>
      </c>
      <c r="E732">
        <v>20</v>
      </c>
      <c r="F732">
        <v>15</v>
      </c>
    </row>
    <row r="733" spans="1:6">
      <c r="A733" s="3"/>
      <c r="B733">
        <v>0.61</v>
      </c>
      <c r="C733">
        <v>1</v>
      </c>
      <c r="D733" s="17">
        <v>1376.9078299324747</v>
      </c>
      <c r="E733">
        <v>20</v>
      </c>
      <c r="F733">
        <v>15</v>
      </c>
    </row>
    <row r="734" spans="1:6">
      <c r="A734" s="3"/>
      <c r="B734">
        <v>1.01</v>
      </c>
      <c r="C734">
        <v>1.5</v>
      </c>
      <c r="D734" s="17">
        <v>717.80776274388995</v>
      </c>
      <c r="E734">
        <v>20</v>
      </c>
      <c r="F734">
        <v>15</v>
      </c>
    </row>
    <row r="735" spans="1:6">
      <c r="A735" s="3"/>
      <c r="B735">
        <v>1.51</v>
      </c>
      <c r="C735">
        <v>2</v>
      </c>
      <c r="D735" s="17">
        <v>1063.3180553384593</v>
      </c>
      <c r="E735">
        <v>20</v>
      </c>
      <c r="F735">
        <v>15</v>
      </c>
    </row>
    <row r="736" spans="1:6">
      <c r="A736" s="3"/>
      <c r="B736">
        <v>2.0099999999999998</v>
      </c>
      <c r="C736">
        <v>2.5</v>
      </c>
      <c r="D736" s="17">
        <v>2044.2160303212022</v>
      </c>
      <c r="E736">
        <v>20</v>
      </c>
      <c r="F736">
        <v>15</v>
      </c>
    </row>
    <row r="737" spans="1:6">
      <c r="A737" s="3"/>
      <c r="B737">
        <v>2.5099999999999998</v>
      </c>
      <c r="C737">
        <v>5</v>
      </c>
      <c r="D737" s="17">
        <v>2208.378694324052</v>
      </c>
      <c r="E737">
        <v>20</v>
      </c>
      <c r="F737">
        <v>15</v>
      </c>
    </row>
    <row r="738" spans="1:6">
      <c r="A738" s="3"/>
      <c r="B738">
        <v>5.01</v>
      </c>
      <c r="C738">
        <v>6.3</v>
      </c>
      <c r="D738" s="17">
        <v>1184.6029949577078</v>
      </c>
      <c r="E738">
        <v>20</v>
      </c>
      <c r="F738">
        <v>15</v>
      </c>
    </row>
    <row r="739" spans="1:6">
      <c r="A739" s="3"/>
      <c r="B739">
        <v>6.31</v>
      </c>
      <c r="C739">
        <v>10</v>
      </c>
      <c r="D739" s="17">
        <v>2393.3874108986925</v>
      </c>
      <c r="E739">
        <v>20</v>
      </c>
      <c r="F739">
        <v>15</v>
      </c>
    </row>
    <row r="740" spans="1:6">
      <c r="A740" s="3"/>
      <c r="B740">
        <v>10.01</v>
      </c>
      <c r="C740">
        <v>21</v>
      </c>
      <c r="D740" s="17">
        <v>3340.5799246294214</v>
      </c>
      <c r="E740">
        <v>20</v>
      </c>
      <c r="F740">
        <v>15</v>
      </c>
    </row>
    <row r="741" spans="1:6">
      <c r="A741" s="3"/>
      <c r="B741">
        <v>21.01</v>
      </c>
      <c r="C741" t="s">
        <v>3873</v>
      </c>
      <c r="D741" s="17" t="s">
        <v>3873</v>
      </c>
      <c r="E741">
        <v>20</v>
      </c>
      <c r="F741">
        <v>15</v>
      </c>
    </row>
    <row r="744" spans="1:6">
      <c r="A744" s="937" t="s">
        <v>3868</v>
      </c>
      <c r="B744" s="937" t="s">
        <v>4113</v>
      </c>
      <c r="C744" s="937"/>
      <c r="D744" s="937"/>
      <c r="E744" s="937"/>
      <c r="F744" s="937"/>
    </row>
    <row r="745" spans="1:6">
      <c r="A745" s="947">
        <v>30</v>
      </c>
      <c r="B745" s="73" t="s">
        <v>4110</v>
      </c>
      <c r="C745" s="73" t="s">
        <v>4111</v>
      </c>
      <c r="D745" s="564" t="s">
        <v>3872</v>
      </c>
      <c r="E745" s="73" t="s">
        <v>3865</v>
      </c>
      <c r="F745" s="73" t="s">
        <v>3866</v>
      </c>
    </row>
    <row r="746" spans="1:6">
      <c r="A746" s="3" t="s">
        <v>4114</v>
      </c>
      <c r="B746">
        <v>0</v>
      </c>
      <c r="C746">
        <v>1</v>
      </c>
      <c r="D746" s="17">
        <v>3165.9942343406765</v>
      </c>
      <c r="E746">
        <v>20</v>
      </c>
      <c r="F746">
        <v>17</v>
      </c>
    </row>
    <row r="747" spans="1:6">
      <c r="A747" s="3"/>
      <c r="B747">
        <v>1.01</v>
      </c>
      <c r="C747">
        <v>2</v>
      </c>
      <c r="D747" s="17">
        <v>3165.9942343406765</v>
      </c>
      <c r="E747">
        <v>20</v>
      </c>
      <c r="F747">
        <v>17</v>
      </c>
    </row>
    <row r="748" spans="1:6">
      <c r="A748" s="3"/>
      <c r="B748">
        <v>2.0099999999999998</v>
      </c>
      <c r="C748">
        <v>4</v>
      </c>
      <c r="D748" s="17">
        <v>3165.9942343406765</v>
      </c>
      <c r="E748">
        <v>20</v>
      </c>
      <c r="F748">
        <v>17</v>
      </c>
    </row>
    <row r="749" spans="1:6">
      <c r="A749" s="3"/>
      <c r="B749">
        <v>4.01</v>
      </c>
      <c r="C749">
        <v>5</v>
      </c>
      <c r="D749" s="17">
        <v>3165.9942343406765</v>
      </c>
      <c r="E749">
        <v>20</v>
      </c>
      <c r="F749">
        <v>17</v>
      </c>
    </row>
    <row r="750" spans="1:6">
      <c r="A750" s="3"/>
      <c r="B750">
        <v>5.01</v>
      </c>
      <c r="C750">
        <v>7</v>
      </c>
      <c r="D750" s="17">
        <v>3599.2012643481967</v>
      </c>
      <c r="E750">
        <v>20</v>
      </c>
      <c r="F750">
        <v>17</v>
      </c>
    </row>
    <row r="751" spans="1:6">
      <c r="A751" s="3"/>
      <c r="B751">
        <v>7.01</v>
      </c>
      <c r="C751">
        <v>11</v>
      </c>
      <c r="D751" s="17">
        <v>3165.9942343406765</v>
      </c>
      <c r="E751">
        <v>20</v>
      </c>
      <c r="F751">
        <v>17</v>
      </c>
    </row>
    <row r="752" spans="1:6">
      <c r="A752" s="3"/>
      <c r="B752">
        <v>11.01</v>
      </c>
      <c r="C752">
        <v>14</v>
      </c>
      <c r="D752" s="17">
        <v>4109.2781132141945</v>
      </c>
      <c r="E752">
        <v>20</v>
      </c>
      <c r="F752">
        <v>17</v>
      </c>
    </row>
    <row r="753" spans="1:6">
      <c r="A753" s="3"/>
      <c r="B753">
        <v>14.01</v>
      </c>
      <c r="C753">
        <v>22</v>
      </c>
      <c r="D753" s="17">
        <v>4552.8161503300189</v>
      </c>
      <c r="E753">
        <v>20</v>
      </c>
      <c r="F753">
        <v>17</v>
      </c>
    </row>
    <row r="754" spans="1:6">
      <c r="A754" s="3"/>
      <c r="B754">
        <v>22.01</v>
      </c>
      <c r="C754">
        <v>29</v>
      </c>
      <c r="D754" s="17">
        <v>4415.4545103623668</v>
      </c>
      <c r="E754">
        <v>20</v>
      </c>
      <c r="F754">
        <v>17</v>
      </c>
    </row>
    <row r="755" spans="1:6">
      <c r="A755" s="3"/>
      <c r="B755">
        <v>29.01</v>
      </c>
      <c r="C755">
        <v>35</v>
      </c>
      <c r="D755" s="17">
        <v>4569.1941480793221</v>
      </c>
      <c r="E755">
        <v>20</v>
      </c>
      <c r="F755">
        <v>17</v>
      </c>
    </row>
    <row r="756" spans="1:6">
      <c r="A756" s="3"/>
      <c r="B756">
        <v>35.01</v>
      </c>
      <c r="C756">
        <v>59</v>
      </c>
      <c r="D756" s="17">
        <v>5503.0238131129645</v>
      </c>
      <c r="E756">
        <v>20</v>
      </c>
      <c r="F756">
        <v>17</v>
      </c>
    </row>
    <row r="757" spans="1:6">
      <c r="A757" s="3"/>
      <c r="B757">
        <v>59.01</v>
      </c>
      <c r="C757">
        <v>132</v>
      </c>
      <c r="D757" s="17">
        <v>6656.4039497412641</v>
      </c>
      <c r="E757">
        <v>20</v>
      </c>
      <c r="F757">
        <v>17</v>
      </c>
    </row>
    <row r="758" spans="1:6">
      <c r="A758" s="3"/>
      <c r="B758">
        <v>132.01</v>
      </c>
      <c r="C758" t="s">
        <v>3873</v>
      </c>
      <c r="D758" s="17" t="s">
        <v>3873</v>
      </c>
      <c r="E758">
        <v>20</v>
      </c>
      <c r="F758">
        <v>17</v>
      </c>
    </row>
    <row r="761" spans="1:6">
      <c r="A761" s="937" t="s">
        <v>3982</v>
      </c>
      <c r="B761" s="937" t="s">
        <v>4115</v>
      </c>
      <c r="C761" s="937"/>
      <c r="D761" s="937"/>
      <c r="E761" s="937"/>
      <c r="F761" s="937"/>
    </row>
    <row r="762" spans="1:6">
      <c r="A762" s="947">
        <v>15</v>
      </c>
      <c r="B762" s="73" t="s">
        <v>3962</v>
      </c>
      <c r="C762" s="73" t="s">
        <v>3963</v>
      </c>
      <c r="D762" s="564" t="s">
        <v>3984</v>
      </c>
      <c r="E762" s="73" t="s">
        <v>3865</v>
      </c>
      <c r="F762" s="73" t="s">
        <v>3866</v>
      </c>
    </row>
    <row r="763" spans="1:6">
      <c r="A763" s="3" t="s">
        <v>4116</v>
      </c>
      <c r="B763">
        <v>0</v>
      </c>
      <c r="C763">
        <v>0.5</v>
      </c>
      <c r="D763" s="17">
        <v>1.9312269788838421</v>
      </c>
      <c r="E763">
        <v>22</v>
      </c>
      <c r="F763">
        <v>17</v>
      </c>
    </row>
    <row r="764" spans="1:6">
      <c r="A764" s="3"/>
      <c r="B764">
        <v>0.6</v>
      </c>
      <c r="C764">
        <v>0.75</v>
      </c>
      <c r="D764" s="17">
        <v>2.5438388800988618</v>
      </c>
      <c r="E764">
        <v>22</v>
      </c>
      <c r="F764">
        <v>17</v>
      </c>
    </row>
    <row r="765" spans="1:6">
      <c r="A765" s="3"/>
      <c r="B765">
        <v>0.76</v>
      </c>
      <c r="C765">
        <v>1</v>
      </c>
      <c r="D765" s="17">
        <v>3.7370578810951129</v>
      </c>
      <c r="E765">
        <v>22</v>
      </c>
      <c r="F765">
        <v>17</v>
      </c>
    </row>
    <row r="766" spans="1:6">
      <c r="A766" s="3"/>
      <c r="B766">
        <v>1.1000000000000001</v>
      </c>
      <c r="C766">
        <v>1.5</v>
      </c>
      <c r="D766" s="17">
        <v>2.3199999999999998</v>
      </c>
      <c r="E766">
        <v>22</v>
      </c>
      <c r="F766">
        <v>17</v>
      </c>
    </row>
    <row r="767" spans="1:6">
      <c r="A767" s="3"/>
      <c r="B767">
        <v>1.6</v>
      </c>
      <c r="C767">
        <v>2</v>
      </c>
      <c r="D767" s="17">
        <v>2.4700000000000002</v>
      </c>
      <c r="E767">
        <v>22</v>
      </c>
      <c r="F767">
        <v>17</v>
      </c>
    </row>
    <row r="768" spans="1:6">
      <c r="A768" s="3"/>
      <c r="B768">
        <v>2.1</v>
      </c>
      <c r="C768">
        <v>2.5</v>
      </c>
      <c r="D768" s="17">
        <v>3.46</v>
      </c>
      <c r="E768">
        <v>22</v>
      </c>
      <c r="F768">
        <v>17</v>
      </c>
    </row>
    <row r="769" spans="1:6">
      <c r="A769" s="3"/>
      <c r="B769">
        <v>2.6</v>
      </c>
      <c r="C769">
        <v>3</v>
      </c>
      <c r="D769" s="17">
        <v>6.45</v>
      </c>
      <c r="E769">
        <v>22</v>
      </c>
      <c r="F769">
        <v>17</v>
      </c>
    </row>
    <row r="770" spans="1:6">
      <c r="A770" s="3"/>
      <c r="B770">
        <v>3.1</v>
      </c>
      <c r="C770">
        <v>4</v>
      </c>
      <c r="D770" s="17">
        <v>9.6</v>
      </c>
      <c r="E770">
        <v>22</v>
      </c>
      <c r="F770">
        <v>17</v>
      </c>
    </row>
    <row r="771" spans="1:6">
      <c r="A771" s="3"/>
      <c r="B771">
        <v>3.1</v>
      </c>
      <c r="C771">
        <v>6</v>
      </c>
      <c r="D771" s="17">
        <v>12.6</v>
      </c>
      <c r="E771">
        <v>22</v>
      </c>
      <c r="F771">
        <v>17</v>
      </c>
    </row>
    <row r="772" spans="1:6">
      <c r="A772" s="3"/>
      <c r="B772">
        <v>6.1</v>
      </c>
      <c r="C772">
        <v>8</v>
      </c>
      <c r="D772" s="17">
        <v>17.850000000000001</v>
      </c>
      <c r="E772">
        <v>22</v>
      </c>
      <c r="F772">
        <v>17</v>
      </c>
    </row>
    <row r="773" spans="1:6">
      <c r="A773" s="3"/>
      <c r="B773">
        <v>8.1</v>
      </c>
      <c r="C773">
        <v>10</v>
      </c>
      <c r="D773" s="17">
        <v>22.5</v>
      </c>
      <c r="E773">
        <v>22</v>
      </c>
      <c r="F773">
        <v>17</v>
      </c>
    </row>
    <row r="774" spans="1:6">
      <c r="A774" s="3"/>
      <c r="B774">
        <v>10.1</v>
      </c>
      <c r="C774">
        <v>12</v>
      </c>
      <c r="D774" s="17">
        <v>29</v>
      </c>
      <c r="E774">
        <v>22</v>
      </c>
      <c r="F774">
        <v>17</v>
      </c>
    </row>
    <row r="775" spans="1:6">
      <c r="A775" s="3"/>
      <c r="B775">
        <v>12.1</v>
      </c>
      <c r="C775">
        <v>14</v>
      </c>
      <c r="D775" s="17">
        <v>28</v>
      </c>
      <c r="E775">
        <v>22</v>
      </c>
      <c r="F775">
        <v>17</v>
      </c>
    </row>
    <row r="776" spans="1:6">
      <c r="A776" s="3"/>
      <c r="B776">
        <v>14.1</v>
      </c>
      <c r="C776">
        <v>16</v>
      </c>
      <c r="D776" s="17">
        <v>35</v>
      </c>
      <c r="E776">
        <v>22</v>
      </c>
      <c r="F776">
        <v>17</v>
      </c>
    </row>
    <row r="777" spans="1:6">
      <c r="A777" s="3"/>
      <c r="B777">
        <v>16.100000000000001</v>
      </c>
      <c r="C777">
        <v>18</v>
      </c>
      <c r="D777" s="17">
        <v>42.5</v>
      </c>
      <c r="E777">
        <v>22</v>
      </c>
      <c r="F777">
        <v>17</v>
      </c>
    </row>
    <row r="778" spans="1:6">
      <c r="A778" s="3"/>
      <c r="B778">
        <v>18.100000000000001</v>
      </c>
      <c r="C778">
        <v>20</v>
      </c>
      <c r="D778" s="17">
        <v>52.5</v>
      </c>
      <c r="E778">
        <v>22</v>
      </c>
      <c r="F778">
        <v>17</v>
      </c>
    </row>
    <row r="779" spans="1:6">
      <c r="A779" s="3"/>
      <c r="B779">
        <v>20.100000000000001</v>
      </c>
      <c r="C779">
        <v>24</v>
      </c>
      <c r="D779" s="17">
        <v>73.5</v>
      </c>
      <c r="E779">
        <v>22</v>
      </c>
      <c r="F779">
        <v>17</v>
      </c>
    </row>
    <row r="780" spans="1:6">
      <c r="A780" s="3"/>
      <c r="B780">
        <v>24.1</v>
      </c>
      <c r="C780">
        <v>30</v>
      </c>
      <c r="D780" s="17">
        <v>115</v>
      </c>
      <c r="E780">
        <v>22</v>
      </c>
      <c r="F780">
        <v>17</v>
      </c>
    </row>
    <row r="781" spans="1:6">
      <c r="A781" s="3"/>
      <c r="B781">
        <v>30.1</v>
      </c>
      <c r="C781">
        <v>36</v>
      </c>
      <c r="D781" s="17">
        <v>160</v>
      </c>
      <c r="E781">
        <v>22</v>
      </c>
      <c r="F781">
        <v>17</v>
      </c>
    </row>
    <row r="782" spans="1:6">
      <c r="A782" s="3"/>
      <c r="B782">
        <v>36.1</v>
      </c>
      <c r="C782">
        <v>42</v>
      </c>
      <c r="D782" s="17">
        <v>217</v>
      </c>
      <c r="E782">
        <v>22</v>
      </c>
      <c r="F782">
        <v>17</v>
      </c>
    </row>
    <row r="783" spans="1:6">
      <c r="A783" s="3"/>
      <c r="B783">
        <v>42.1</v>
      </c>
      <c r="C783">
        <v>48</v>
      </c>
      <c r="D783" s="17">
        <v>265</v>
      </c>
      <c r="E783">
        <v>22</v>
      </c>
      <c r="F783">
        <v>17</v>
      </c>
    </row>
    <row r="784" spans="1:6">
      <c r="A784" s="3"/>
      <c r="B784">
        <v>48.1</v>
      </c>
      <c r="C784" t="s">
        <v>3873</v>
      </c>
      <c r="D784" s="17" t="s">
        <v>3873</v>
      </c>
      <c r="E784">
        <v>22</v>
      </c>
      <c r="F784">
        <v>17</v>
      </c>
    </row>
    <row r="787" spans="1:6">
      <c r="A787" s="937" t="s">
        <v>4028</v>
      </c>
      <c r="B787" s="937" t="s">
        <v>4117</v>
      </c>
      <c r="C787" s="937"/>
      <c r="D787" s="937"/>
      <c r="E787" s="937"/>
      <c r="F787" s="937"/>
    </row>
    <row r="788" spans="1:6">
      <c r="A788" s="947">
        <v>29</v>
      </c>
      <c r="B788" s="804" t="s">
        <v>4118</v>
      </c>
      <c r="C788" s="73" t="s">
        <v>4119</v>
      </c>
      <c r="D788" s="564" t="s">
        <v>3872</v>
      </c>
      <c r="E788" s="804" t="s">
        <v>3980</v>
      </c>
      <c r="F788" s="564" t="s">
        <v>3866</v>
      </c>
    </row>
    <row r="789" spans="1:6">
      <c r="A789" s="3" t="s">
        <v>4120</v>
      </c>
      <c r="B789">
        <v>0</v>
      </c>
      <c r="C789">
        <v>1.5</v>
      </c>
      <c r="D789" s="17">
        <v>1592.0114753108576</v>
      </c>
      <c r="E789">
        <v>45</v>
      </c>
      <c r="F789">
        <v>40</v>
      </c>
    </row>
    <row r="790" spans="1:6">
      <c r="A790" s="3"/>
      <c r="B790">
        <v>1.6</v>
      </c>
      <c r="C790">
        <v>2</v>
      </c>
      <c r="D790" s="17">
        <v>2338.2652863410285</v>
      </c>
      <c r="E790">
        <v>45</v>
      </c>
      <c r="F790">
        <v>40</v>
      </c>
    </row>
    <row r="791" spans="1:6">
      <c r="A791" s="3"/>
      <c r="B791">
        <v>2.1</v>
      </c>
      <c r="C791">
        <v>2.5</v>
      </c>
      <c r="D791" s="17">
        <v>3611.0523920066867</v>
      </c>
      <c r="E791">
        <v>45</v>
      </c>
      <c r="F791">
        <v>40</v>
      </c>
    </row>
    <row r="792" spans="1:6">
      <c r="A792" s="3"/>
      <c r="B792">
        <v>2.6</v>
      </c>
      <c r="C792">
        <v>3</v>
      </c>
      <c r="D792" s="17">
        <v>5300.1058353433509</v>
      </c>
      <c r="E792">
        <v>45</v>
      </c>
      <c r="F792">
        <v>40</v>
      </c>
    </row>
    <row r="793" spans="1:6">
      <c r="A793" s="3"/>
      <c r="B793">
        <v>3.1</v>
      </c>
      <c r="C793">
        <v>4</v>
      </c>
      <c r="D793" s="17">
        <v>9224.9830647570034</v>
      </c>
      <c r="E793">
        <v>45</v>
      </c>
      <c r="F793">
        <v>40</v>
      </c>
    </row>
    <row r="794" spans="1:6">
      <c r="A794" s="3"/>
      <c r="B794">
        <v>4.0999999999999996</v>
      </c>
      <c r="C794">
        <v>6</v>
      </c>
      <c r="D794" s="17">
        <v>11428.861838511519</v>
      </c>
      <c r="E794">
        <v>45</v>
      </c>
      <c r="F794">
        <v>40</v>
      </c>
    </row>
    <row r="795" spans="1:6">
      <c r="A795" s="3"/>
      <c r="B795">
        <v>6.1</v>
      </c>
      <c r="C795">
        <v>8</v>
      </c>
      <c r="D795" s="17">
        <v>17349.221932885906</v>
      </c>
      <c r="E795">
        <v>45</v>
      </c>
      <c r="F795">
        <v>40</v>
      </c>
    </row>
    <row r="796" spans="1:6">
      <c r="A796" s="3"/>
      <c r="B796">
        <v>8.1</v>
      </c>
      <c r="C796" t="s">
        <v>3873</v>
      </c>
      <c r="D796" s="17" t="s">
        <v>3873</v>
      </c>
      <c r="E796">
        <v>45</v>
      </c>
      <c r="F796">
        <v>40</v>
      </c>
    </row>
    <row r="799" spans="1:6">
      <c r="A799" s="937" t="s">
        <v>3875</v>
      </c>
      <c r="B799" s="937" t="s">
        <v>4121</v>
      </c>
      <c r="C799" s="937"/>
      <c r="D799" s="937"/>
      <c r="E799" s="937"/>
      <c r="F799" s="937"/>
    </row>
    <row r="800" spans="1:6">
      <c r="A800" s="947">
        <v>3</v>
      </c>
      <c r="B800" s="73" t="s">
        <v>4122</v>
      </c>
      <c r="C800" s="73" t="s">
        <v>4123</v>
      </c>
      <c r="D800" s="564" t="s">
        <v>4004</v>
      </c>
      <c r="E800" s="564" t="s">
        <v>3865</v>
      </c>
      <c r="F800" s="564" t="s">
        <v>3866</v>
      </c>
    </row>
    <row r="801" spans="1:6">
      <c r="A801" s="3" t="s">
        <v>4124</v>
      </c>
      <c r="B801">
        <v>0</v>
      </c>
      <c r="C801">
        <v>0</v>
      </c>
      <c r="D801" s="17">
        <v>176</v>
      </c>
      <c r="E801" s="414">
        <v>40</v>
      </c>
      <c r="F801" s="414">
        <v>37</v>
      </c>
    </row>
    <row r="804" spans="1:6">
      <c r="A804" s="937" t="s">
        <v>3982</v>
      </c>
      <c r="B804" s="937" t="s">
        <v>4125</v>
      </c>
      <c r="C804" s="937"/>
      <c r="D804" s="937"/>
      <c r="E804" s="937"/>
      <c r="F804" s="937"/>
    </row>
    <row r="805" spans="1:6">
      <c r="A805" s="947">
        <v>15</v>
      </c>
      <c r="B805" s="73" t="s">
        <v>4122</v>
      </c>
      <c r="C805" s="73" t="s">
        <v>4123</v>
      </c>
      <c r="D805" s="564" t="s">
        <v>4004</v>
      </c>
      <c r="E805" s="564" t="s">
        <v>3865</v>
      </c>
      <c r="F805" s="564" t="s">
        <v>3866</v>
      </c>
    </row>
    <row r="806" spans="1:6">
      <c r="A806" s="3" t="s">
        <v>4126</v>
      </c>
      <c r="B806">
        <v>0</v>
      </c>
      <c r="C806">
        <v>4</v>
      </c>
      <c r="D806" s="948">
        <v>15.15</v>
      </c>
      <c r="E806" s="414">
        <v>45</v>
      </c>
      <c r="F806" s="414">
        <v>40</v>
      </c>
    </row>
    <row r="809" spans="1:6">
      <c r="A809" s="3"/>
      <c r="B809" t="s">
        <v>4127</v>
      </c>
      <c r="C809" s="3" t="s">
        <v>4128</v>
      </c>
      <c r="D809" s="948">
        <v>6.95</v>
      </c>
      <c r="E809" t="s">
        <v>720</v>
      </c>
    </row>
    <row r="810" spans="1:6">
      <c r="A810" s="3"/>
      <c r="B810" t="s">
        <v>4129</v>
      </c>
      <c r="C810" s="3" t="s">
        <v>4130</v>
      </c>
      <c r="D810" s="948">
        <v>42.5</v>
      </c>
      <c r="E810" t="s">
        <v>720</v>
      </c>
    </row>
    <row r="813" spans="1:6">
      <c r="A813" s="937" t="s">
        <v>3875</v>
      </c>
      <c r="B813" s="937" t="s">
        <v>4131</v>
      </c>
      <c r="C813" s="937"/>
      <c r="D813" s="937" t="s">
        <v>3876</v>
      </c>
      <c r="E813" s="937" t="s">
        <v>3865</v>
      </c>
    </row>
    <row r="814" spans="1:6">
      <c r="A814" s="37">
        <v>3</v>
      </c>
      <c r="B814" t="s">
        <v>4132</v>
      </c>
      <c r="C814" s="3" t="s">
        <v>4134</v>
      </c>
      <c r="D814" s="948">
        <v>16.100000000000001</v>
      </c>
      <c r="E814" t="s">
        <v>720</v>
      </c>
    </row>
    <row r="817" spans="1:6">
      <c r="A817" s="37">
        <v>3</v>
      </c>
      <c r="B817" t="s">
        <v>4132</v>
      </c>
      <c r="C817" s="3" t="s">
        <v>4133</v>
      </c>
      <c r="D817" s="948">
        <v>16.100000000000001</v>
      </c>
      <c r="E817" t="s">
        <v>720</v>
      </c>
    </row>
    <row r="818" spans="1:6">
      <c r="A818" s="3"/>
      <c r="B818" t="s">
        <v>4127</v>
      </c>
      <c r="C818" s="3" t="s">
        <v>4135</v>
      </c>
      <c r="D818" s="948">
        <v>6.95</v>
      </c>
      <c r="E818" t="s">
        <v>720</v>
      </c>
    </row>
    <row r="821" spans="1:6">
      <c r="A821" s="937" t="s">
        <v>3875</v>
      </c>
      <c r="B821" s="937" t="s">
        <v>2947</v>
      </c>
      <c r="C821" s="937"/>
      <c r="D821" s="937"/>
      <c r="E821" s="937"/>
      <c r="F821" s="937"/>
    </row>
    <row r="822" spans="1:6">
      <c r="A822" s="947">
        <v>3</v>
      </c>
      <c r="B822" s="73" t="s">
        <v>3988</v>
      </c>
      <c r="C822" s="73" t="s">
        <v>3989</v>
      </c>
      <c r="D822" s="564" t="s">
        <v>4004</v>
      </c>
      <c r="E822" s="564" t="s">
        <v>3865</v>
      </c>
      <c r="F822" s="564" t="s">
        <v>3866</v>
      </c>
    </row>
    <row r="823" spans="1:6">
      <c r="A823" s="3" t="s">
        <v>4136</v>
      </c>
      <c r="B823">
        <v>0</v>
      </c>
      <c r="C823">
        <v>1000</v>
      </c>
      <c r="D823" s="17">
        <v>1425</v>
      </c>
      <c r="E823" s="414">
        <v>40</v>
      </c>
      <c r="F823" s="414">
        <v>37</v>
      </c>
    </row>
    <row r="824" spans="1:6">
      <c r="A824" s="3"/>
      <c r="B824">
        <v>1001</v>
      </c>
      <c r="C824">
        <v>1250</v>
      </c>
      <c r="D824" s="17">
        <v>1650</v>
      </c>
      <c r="E824" s="414">
        <v>40</v>
      </c>
      <c r="F824" s="414">
        <v>37</v>
      </c>
    </row>
    <row r="825" spans="1:6">
      <c r="A825" s="3"/>
      <c r="B825">
        <v>1251</v>
      </c>
      <c r="C825">
        <v>1500</v>
      </c>
      <c r="D825" s="17">
        <v>1900</v>
      </c>
      <c r="E825" s="414">
        <v>40</v>
      </c>
      <c r="F825" s="414">
        <v>37</v>
      </c>
    </row>
    <row r="826" spans="1:6">
      <c r="A826" s="3"/>
      <c r="B826">
        <v>1501</v>
      </c>
      <c r="C826">
        <v>2000</v>
      </c>
      <c r="D826" s="17">
        <v>3150</v>
      </c>
      <c r="E826" s="414">
        <v>40</v>
      </c>
      <c r="F826" s="414">
        <v>37</v>
      </c>
    </row>
    <row r="827" spans="1:6">
      <c r="A827" s="3"/>
      <c r="B827">
        <v>2001</v>
      </c>
      <c r="C827">
        <v>2500</v>
      </c>
      <c r="D827" s="17">
        <v>3075</v>
      </c>
      <c r="E827" s="414">
        <v>40</v>
      </c>
      <c r="F827" s="414">
        <v>37</v>
      </c>
    </row>
    <row r="828" spans="1:6">
      <c r="A828" s="3"/>
      <c r="B828">
        <v>2501</v>
      </c>
      <c r="C828">
        <v>4000</v>
      </c>
      <c r="D828" s="17">
        <v>7425</v>
      </c>
      <c r="E828" s="414">
        <v>40</v>
      </c>
      <c r="F828" s="414">
        <v>37</v>
      </c>
    </row>
    <row r="829" spans="1:6">
      <c r="A829" s="3"/>
      <c r="B829">
        <v>4001</v>
      </c>
      <c r="C829">
        <v>5000</v>
      </c>
      <c r="D829" s="17">
        <v>12200</v>
      </c>
      <c r="E829" s="414">
        <v>40</v>
      </c>
      <c r="F829" s="414">
        <v>37</v>
      </c>
    </row>
    <row r="830" spans="1:6">
      <c r="A830" s="3"/>
      <c r="B830">
        <v>5001</v>
      </c>
      <c r="C830">
        <v>15000</v>
      </c>
      <c r="D830" s="17">
        <v>26400</v>
      </c>
      <c r="E830" s="414">
        <v>40</v>
      </c>
      <c r="F830" s="414">
        <v>37</v>
      </c>
    </row>
    <row r="831" spans="1:6">
      <c r="A831" s="3"/>
      <c r="B831">
        <v>15001</v>
      </c>
      <c r="C831">
        <v>25000</v>
      </c>
      <c r="D831" s="17">
        <v>47600</v>
      </c>
      <c r="E831" s="414">
        <v>40</v>
      </c>
      <c r="F831" s="414">
        <v>37</v>
      </c>
    </row>
    <row r="832" spans="1:6">
      <c r="A832" s="3"/>
      <c r="B832">
        <v>25001</v>
      </c>
      <c r="C832">
        <v>40000</v>
      </c>
      <c r="D832" s="17">
        <v>74500</v>
      </c>
      <c r="E832" s="414">
        <v>40</v>
      </c>
      <c r="F832" s="414">
        <v>37</v>
      </c>
    </row>
    <row r="833" spans="1:6">
      <c r="A833" s="3"/>
      <c r="B833">
        <v>40001</v>
      </c>
      <c r="C833">
        <v>50000</v>
      </c>
      <c r="D833" s="17">
        <v>86000</v>
      </c>
      <c r="E833" s="414">
        <v>40</v>
      </c>
      <c r="F833" s="414">
        <v>37</v>
      </c>
    </row>
    <row r="834" spans="1:6">
      <c r="A834" s="3"/>
      <c r="B834">
        <v>50001</v>
      </c>
      <c r="C834">
        <v>75000</v>
      </c>
      <c r="D834" s="17">
        <v>130500</v>
      </c>
      <c r="E834" s="414">
        <v>40</v>
      </c>
      <c r="F834" s="414">
        <v>37</v>
      </c>
    </row>
    <row r="835" spans="1:6">
      <c r="A835" s="3"/>
      <c r="B835">
        <v>75001</v>
      </c>
      <c r="C835">
        <v>100000</v>
      </c>
      <c r="D835" s="17">
        <v>178000</v>
      </c>
      <c r="E835" s="414">
        <v>40</v>
      </c>
      <c r="F835" s="414">
        <v>37</v>
      </c>
    </row>
    <row r="836" spans="1:6">
      <c r="A836" s="3"/>
      <c r="B836">
        <v>100001</v>
      </c>
      <c r="C836" t="s">
        <v>3873</v>
      </c>
      <c r="D836" s="17" t="s">
        <v>3873</v>
      </c>
      <c r="E836" s="414">
        <v>40</v>
      </c>
      <c r="F836" s="414">
        <v>37</v>
      </c>
    </row>
    <row r="839" spans="1:6">
      <c r="A839" s="947">
        <v>3</v>
      </c>
      <c r="B839" s="73"/>
      <c r="C839" s="73"/>
      <c r="D839" s="73" t="s">
        <v>4004</v>
      </c>
      <c r="E839" s="73" t="s">
        <v>3865</v>
      </c>
    </row>
    <row r="840" spans="1:6">
      <c r="A840" s="3" t="s">
        <v>4138</v>
      </c>
      <c r="B840" t="s">
        <v>4137</v>
      </c>
      <c r="C840" s="3" t="s">
        <v>4138</v>
      </c>
      <c r="D840" s="948">
        <v>15.191208791208791</v>
      </c>
      <c r="E840" t="s">
        <v>3877</v>
      </c>
    </row>
    <row r="843" spans="1:6">
      <c r="A843" s="937" t="s">
        <v>3960</v>
      </c>
      <c r="B843" s="937" t="s">
        <v>4139</v>
      </c>
      <c r="C843" s="937"/>
      <c r="D843" s="937"/>
      <c r="E843" s="937"/>
      <c r="F843" s="937"/>
    </row>
    <row r="844" spans="1:6">
      <c r="A844" s="947">
        <v>35</v>
      </c>
      <c r="B844" s="73" t="s">
        <v>3962</v>
      </c>
      <c r="C844" s="73" t="s">
        <v>3963</v>
      </c>
      <c r="D844" s="564" t="s">
        <v>3872</v>
      </c>
      <c r="E844" s="73" t="s">
        <v>3865</v>
      </c>
      <c r="F844" s="73" t="s">
        <v>3866</v>
      </c>
    </row>
    <row r="845" spans="1:6">
      <c r="A845" s="3" t="s">
        <v>4140</v>
      </c>
      <c r="B845">
        <v>0</v>
      </c>
      <c r="C845">
        <v>0.5</v>
      </c>
      <c r="D845" s="17">
        <v>260.09816326530608</v>
      </c>
      <c r="E845">
        <v>25</v>
      </c>
      <c r="F845">
        <v>20</v>
      </c>
    </row>
    <row r="846" spans="1:6">
      <c r="A846" s="3"/>
      <c r="B846">
        <v>0.6</v>
      </c>
      <c r="C846">
        <v>0.75</v>
      </c>
      <c r="D846" s="17">
        <v>282.54780745341617</v>
      </c>
      <c r="E846">
        <v>25</v>
      </c>
      <c r="F846">
        <v>20</v>
      </c>
    </row>
    <row r="847" spans="1:6">
      <c r="A847" s="3"/>
      <c r="B847">
        <v>0.76</v>
      </c>
      <c r="C847">
        <v>1</v>
      </c>
      <c r="D847" s="17">
        <v>307.49703414634143</v>
      </c>
      <c r="E847">
        <v>25</v>
      </c>
      <c r="F847">
        <v>20</v>
      </c>
    </row>
    <row r="848" spans="1:6">
      <c r="A848" s="3"/>
      <c r="B848">
        <v>1.1000000000000001</v>
      </c>
      <c r="C848">
        <v>1.5</v>
      </c>
      <c r="D848" s="17">
        <v>473.64268354430379</v>
      </c>
      <c r="E848">
        <v>25</v>
      </c>
      <c r="F848">
        <v>20</v>
      </c>
    </row>
    <row r="849" spans="1:6">
      <c r="A849" s="3"/>
      <c r="B849">
        <v>1.6</v>
      </c>
      <c r="C849">
        <v>2</v>
      </c>
      <c r="D849" s="17">
        <v>599.03731818181814</v>
      </c>
      <c r="E849">
        <v>25</v>
      </c>
      <c r="F849">
        <v>20</v>
      </c>
    </row>
    <row r="850" spans="1:6">
      <c r="A850" s="3"/>
      <c r="B850">
        <v>2.1</v>
      </c>
      <c r="C850">
        <v>2.5</v>
      </c>
      <c r="D850" s="17">
        <v>768.14740298507468</v>
      </c>
      <c r="E850">
        <v>25</v>
      </c>
      <c r="F850">
        <v>20</v>
      </c>
    </row>
    <row r="851" spans="1:6">
      <c r="A851" s="3"/>
      <c r="B851">
        <v>2.6</v>
      </c>
      <c r="C851">
        <v>3</v>
      </c>
      <c r="D851" s="17">
        <v>1029.0379104477611</v>
      </c>
      <c r="E851">
        <v>25</v>
      </c>
      <c r="F851">
        <v>20</v>
      </c>
    </row>
    <row r="852" spans="1:6">
      <c r="A852" s="3"/>
      <c r="B852">
        <v>3.1</v>
      </c>
      <c r="C852">
        <v>4</v>
      </c>
      <c r="D852" s="17">
        <v>1644.4010800000003</v>
      </c>
      <c r="E852">
        <v>25</v>
      </c>
      <c r="F852">
        <v>20</v>
      </c>
    </row>
    <row r="853" spans="1:6">
      <c r="A853" s="3"/>
      <c r="B853">
        <v>4.0999999999999996</v>
      </c>
      <c r="C853">
        <v>6</v>
      </c>
      <c r="D853" s="17">
        <v>6040.9246741573043</v>
      </c>
      <c r="E853">
        <v>25</v>
      </c>
      <c r="F853">
        <v>20</v>
      </c>
    </row>
    <row r="854" spans="1:6">
      <c r="A854" s="3"/>
      <c r="B854">
        <v>6.1</v>
      </c>
      <c r="C854">
        <v>8</v>
      </c>
      <c r="D854" s="17">
        <v>9572.4145503355703</v>
      </c>
      <c r="E854">
        <v>25</v>
      </c>
      <c r="F854">
        <v>20</v>
      </c>
    </row>
    <row r="855" spans="1:6">
      <c r="A855" s="964"/>
      <c r="B855">
        <v>8.1</v>
      </c>
      <c r="C855">
        <v>30</v>
      </c>
      <c r="D855" s="17">
        <v>49334.628922752097</v>
      </c>
      <c r="E855">
        <v>25</v>
      </c>
      <c r="F855">
        <v>20</v>
      </c>
    </row>
    <row r="856" spans="1:6">
      <c r="A856" s="964"/>
      <c r="B856">
        <v>30.1</v>
      </c>
      <c r="C856">
        <v>36</v>
      </c>
      <c r="D856" s="17">
        <v>59019.279083141446</v>
      </c>
      <c r="E856">
        <v>25</v>
      </c>
      <c r="F856">
        <v>20</v>
      </c>
    </row>
    <row r="857" spans="1:6">
      <c r="A857" s="964"/>
      <c r="B857">
        <v>36.1</v>
      </c>
      <c r="C857">
        <v>42</v>
      </c>
      <c r="D857" s="17">
        <v>80002.687763985043</v>
      </c>
      <c r="E857">
        <v>25</v>
      </c>
      <c r="F857">
        <v>20</v>
      </c>
    </row>
    <row r="858" spans="1:6">
      <c r="A858" s="964"/>
      <c r="B858">
        <v>42.1</v>
      </c>
      <c r="C858">
        <v>48</v>
      </c>
      <c r="D858" s="17">
        <v>96143.77136463394</v>
      </c>
      <c r="E858">
        <v>25</v>
      </c>
      <c r="F858">
        <v>20</v>
      </c>
    </row>
    <row r="859" spans="1:6">
      <c r="A859" s="3"/>
      <c r="B859">
        <v>48.1</v>
      </c>
      <c r="C859" t="s">
        <v>3873</v>
      </c>
      <c r="D859" s="17" t="s">
        <v>3873</v>
      </c>
      <c r="E859">
        <v>25</v>
      </c>
      <c r="F859">
        <v>20</v>
      </c>
    </row>
    <row r="862" spans="1:6">
      <c r="A862" s="937" t="s">
        <v>3986</v>
      </c>
      <c r="B862" s="937" t="s">
        <v>4141</v>
      </c>
      <c r="C862" s="937"/>
      <c r="D862" s="937"/>
      <c r="E862" s="937"/>
      <c r="F862" s="937"/>
    </row>
    <row r="863" spans="1:6">
      <c r="A863" s="947">
        <v>23</v>
      </c>
      <c r="B863" s="73" t="s">
        <v>3988</v>
      </c>
      <c r="C863" s="73" t="s">
        <v>3989</v>
      </c>
      <c r="D863" s="73" t="s">
        <v>3872</v>
      </c>
      <c r="E863" s="73" t="s">
        <v>3865</v>
      </c>
      <c r="F863" s="73" t="s">
        <v>3866</v>
      </c>
    </row>
    <row r="864" spans="1:6">
      <c r="A864" s="3" t="s">
        <v>4142</v>
      </c>
      <c r="B864">
        <v>0</v>
      </c>
      <c r="C864" s="414">
        <v>1100</v>
      </c>
      <c r="D864" s="792">
        <v>10925.879875999251</v>
      </c>
      <c r="E864">
        <v>35</v>
      </c>
      <c r="F864">
        <v>30</v>
      </c>
    </row>
    <row r="865" spans="1:6">
      <c r="A865" s="3"/>
      <c r="B865">
        <v>1101</v>
      </c>
      <c r="C865" s="414">
        <v>2400</v>
      </c>
      <c r="D865" s="792">
        <v>15033.777689958049</v>
      </c>
      <c r="E865">
        <v>35</v>
      </c>
      <c r="F865">
        <v>30</v>
      </c>
    </row>
    <row r="866" spans="1:6">
      <c r="A866" s="3"/>
      <c r="B866">
        <v>2401</v>
      </c>
      <c r="C866" s="414">
        <v>3000</v>
      </c>
      <c r="D866" s="792">
        <v>18123.913110825615</v>
      </c>
      <c r="E866">
        <v>35</v>
      </c>
      <c r="F866">
        <v>30</v>
      </c>
    </row>
    <row r="867" spans="1:6">
      <c r="A867" s="3"/>
      <c r="B867">
        <v>3001</v>
      </c>
      <c r="C867" s="414">
        <v>4300</v>
      </c>
      <c r="D867" s="792">
        <v>25327.233246383039</v>
      </c>
      <c r="E867">
        <v>35</v>
      </c>
      <c r="F867">
        <v>30</v>
      </c>
    </row>
    <row r="868" spans="1:6">
      <c r="A868" s="3"/>
      <c r="B868">
        <v>4301</v>
      </c>
      <c r="C868" s="414">
        <v>5100</v>
      </c>
      <c r="D868" s="792">
        <v>27899.146705242172</v>
      </c>
      <c r="E868">
        <v>35</v>
      </c>
      <c r="F868">
        <v>30</v>
      </c>
    </row>
    <row r="869" spans="1:6">
      <c r="A869" s="3"/>
      <c r="B869">
        <v>5101</v>
      </c>
      <c r="C869" s="414">
        <v>6100</v>
      </c>
      <c r="D869" s="792">
        <v>31920.470343344543</v>
      </c>
      <c r="E869">
        <v>35</v>
      </c>
      <c r="F869">
        <v>30</v>
      </c>
    </row>
    <row r="870" spans="1:6">
      <c r="A870" s="3"/>
      <c r="B870">
        <v>6101</v>
      </c>
      <c r="C870" s="414">
        <v>8000</v>
      </c>
      <c r="D870" s="792">
        <v>40900.418617903975</v>
      </c>
      <c r="E870">
        <v>35</v>
      </c>
      <c r="F870">
        <v>30</v>
      </c>
    </row>
    <row r="871" spans="1:6">
      <c r="A871" s="3"/>
      <c r="B871">
        <v>8001</v>
      </c>
      <c r="C871" s="414">
        <v>10000</v>
      </c>
      <c r="D871" s="792">
        <v>48707.45393314898</v>
      </c>
      <c r="E871">
        <v>35</v>
      </c>
      <c r="F871">
        <v>30</v>
      </c>
    </row>
    <row r="872" spans="1:6">
      <c r="A872" s="3"/>
      <c r="B872">
        <v>10001</v>
      </c>
      <c r="C872" s="414">
        <v>30000</v>
      </c>
      <c r="D872" s="792">
        <v>109987.48232351081</v>
      </c>
      <c r="E872">
        <v>35</v>
      </c>
      <c r="F872">
        <v>30</v>
      </c>
    </row>
    <row r="873" spans="1:6">
      <c r="A873" s="3"/>
      <c r="B873">
        <v>30001</v>
      </c>
      <c r="C873" s="414" t="s">
        <v>3873</v>
      </c>
      <c r="D873" s="792" t="s">
        <v>3873</v>
      </c>
      <c r="E873">
        <v>35</v>
      </c>
      <c r="F873">
        <v>30</v>
      </c>
    </row>
    <row r="876" spans="1:6">
      <c r="A876" s="937" t="s">
        <v>3868</v>
      </c>
      <c r="B876" s="937" t="s">
        <v>4143</v>
      </c>
      <c r="C876" s="937"/>
      <c r="D876" s="937"/>
      <c r="E876" s="937"/>
      <c r="F876" s="937"/>
    </row>
    <row r="877" spans="1:6">
      <c r="A877" s="947">
        <v>30</v>
      </c>
      <c r="B877" s="73" t="s">
        <v>4110</v>
      </c>
      <c r="C877" s="73" t="s">
        <v>4111</v>
      </c>
      <c r="D877" s="564" t="s">
        <v>3872</v>
      </c>
      <c r="E877" s="73" t="s">
        <v>3865</v>
      </c>
      <c r="F877" s="73" t="s">
        <v>3866</v>
      </c>
    </row>
    <row r="878" spans="1:6">
      <c r="A878" s="3" t="s">
        <v>4144</v>
      </c>
      <c r="B878">
        <v>0</v>
      </c>
      <c r="C878">
        <v>0.21</v>
      </c>
      <c r="D878" s="17">
        <v>1774.520225173663</v>
      </c>
      <c r="E878">
        <v>20</v>
      </c>
      <c r="F878">
        <v>15</v>
      </c>
    </row>
    <row r="879" spans="1:6">
      <c r="A879" s="3"/>
      <c r="B879">
        <v>0.22</v>
      </c>
      <c r="C879">
        <v>0.5</v>
      </c>
      <c r="D879" s="17">
        <v>1894.3850274614583</v>
      </c>
      <c r="E879">
        <v>20</v>
      </c>
      <c r="F879">
        <v>15</v>
      </c>
    </row>
    <row r="880" spans="1:6">
      <c r="A880" s="3"/>
      <c r="B880">
        <v>0.51</v>
      </c>
      <c r="C880">
        <v>0.8</v>
      </c>
      <c r="D880" s="17">
        <v>3294.9791846286298</v>
      </c>
      <c r="E880">
        <v>20</v>
      </c>
      <c r="F880">
        <v>15</v>
      </c>
    </row>
    <row r="881" spans="1:6">
      <c r="A881" s="3"/>
      <c r="B881">
        <v>0.81</v>
      </c>
      <c r="C881">
        <v>1</v>
      </c>
      <c r="D881" s="17">
        <v>1657.2611794573418</v>
      </c>
      <c r="E881">
        <v>20</v>
      </c>
      <c r="F881">
        <v>15</v>
      </c>
    </row>
    <row r="882" spans="1:6">
      <c r="A882" s="3"/>
      <c r="B882">
        <v>1.01</v>
      </c>
      <c r="C882">
        <v>2</v>
      </c>
      <c r="D882" s="17">
        <v>3251.9842011993123</v>
      </c>
      <c r="E882">
        <v>20</v>
      </c>
      <c r="F882">
        <v>15</v>
      </c>
    </row>
    <row r="883" spans="1:6">
      <c r="A883" s="3"/>
      <c r="B883">
        <v>2.0099999999999998</v>
      </c>
      <c r="C883">
        <v>2.5</v>
      </c>
      <c r="D883" s="17">
        <v>2124.9944840368903</v>
      </c>
      <c r="E883">
        <v>20</v>
      </c>
      <c r="F883">
        <v>15</v>
      </c>
    </row>
    <row r="884" spans="1:6">
      <c r="A884" s="3"/>
      <c r="B884">
        <v>2.5099999999999998</v>
      </c>
      <c r="C884">
        <v>3</v>
      </c>
      <c r="D884" s="17">
        <v>3251.9842011993123</v>
      </c>
      <c r="E884">
        <v>20</v>
      </c>
      <c r="F884">
        <v>15</v>
      </c>
    </row>
    <row r="885" spans="1:6">
      <c r="A885" s="3"/>
      <c r="B885">
        <v>3.01</v>
      </c>
      <c r="C885">
        <v>3.17</v>
      </c>
      <c r="D885" s="17">
        <v>2406.4161937560611</v>
      </c>
      <c r="E885">
        <v>20</v>
      </c>
      <c r="F885">
        <v>15</v>
      </c>
    </row>
    <row r="886" spans="1:6">
      <c r="A886" s="3"/>
      <c r="B886">
        <v>3.1799999999999997</v>
      </c>
      <c r="C886">
        <v>4</v>
      </c>
      <c r="D886" s="17">
        <v>3251.9842011993123</v>
      </c>
      <c r="E886">
        <v>20</v>
      </c>
      <c r="F886">
        <v>15</v>
      </c>
    </row>
    <row r="887" spans="1:6">
      <c r="A887" s="3"/>
      <c r="B887">
        <v>4.01</v>
      </c>
      <c r="C887">
        <v>5</v>
      </c>
      <c r="D887" s="17">
        <v>2552.3385617585946</v>
      </c>
      <c r="E887">
        <v>20</v>
      </c>
      <c r="F887">
        <v>15</v>
      </c>
    </row>
    <row r="888" spans="1:6">
      <c r="A888" s="3"/>
      <c r="B888">
        <v>5.01</v>
      </c>
      <c r="C888">
        <v>7</v>
      </c>
      <c r="D888" s="17">
        <v>3251.9842011993123</v>
      </c>
      <c r="E888">
        <v>20</v>
      </c>
      <c r="F888">
        <v>15</v>
      </c>
    </row>
    <row r="889" spans="1:6">
      <c r="A889" s="3"/>
      <c r="B889">
        <v>7.01</v>
      </c>
      <c r="C889">
        <v>10</v>
      </c>
      <c r="D889" s="17">
        <v>2737.3472783332354</v>
      </c>
      <c r="E889">
        <v>20</v>
      </c>
      <c r="F889">
        <v>15</v>
      </c>
    </row>
    <row r="890" spans="1:6">
      <c r="A890" s="3"/>
      <c r="B890">
        <v>10.01</v>
      </c>
      <c r="C890">
        <v>21</v>
      </c>
      <c r="D890" s="17">
        <v>3684.5397920639643</v>
      </c>
      <c r="E890">
        <v>20</v>
      </c>
      <c r="F890">
        <v>15</v>
      </c>
    </row>
    <row r="891" spans="1:6">
      <c r="A891" s="3"/>
      <c r="B891">
        <v>21.01</v>
      </c>
      <c r="C891" t="s">
        <v>3873</v>
      </c>
      <c r="D891" s="17" t="s">
        <v>3873</v>
      </c>
      <c r="E891">
        <v>20</v>
      </c>
      <c r="F891">
        <v>15</v>
      </c>
    </row>
    <row r="894" spans="1:6">
      <c r="A894" s="937" t="s">
        <v>3960</v>
      </c>
      <c r="B894" s="937" t="s">
        <v>4145</v>
      </c>
      <c r="C894" s="937"/>
      <c r="D894" s="937"/>
      <c r="E894" s="937"/>
      <c r="F894" s="937"/>
    </row>
    <row r="895" spans="1:6">
      <c r="A895" s="947">
        <v>35</v>
      </c>
      <c r="B895" s="73" t="s">
        <v>3962</v>
      </c>
      <c r="C895" s="73" t="s">
        <v>3963</v>
      </c>
      <c r="D895" s="564" t="s">
        <v>3872</v>
      </c>
      <c r="E895" s="73" t="s">
        <v>3865</v>
      </c>
      <c r="F895" s="73" t="s">
        <v>3866</v>
      </c>
    </row>
    <row r="896" spans="1:6">
      <c r="A896" s="3" t="s">
        <v>4146</v>
      </c>
      <c r="B896">
        <v>0</v>
      </c>
      <c r="C896">
        <v>1</v>
      </c>
      <c r="D896" s="17">
        <v>317.83100975609756</v>
      </c>
      <c r="E896">
        <v>25</v>
      </c>
      <c r="F896">
        <v>20</v>
      </c>
    </row>
    <row r="897" spans="1:6">
      <c r="A897" s="3"/>
      <c r="B897">
        <v>1.1000000000000001</v>
      </c>
      <c r="C897">
        <v>2</v>
      </c>
      <c r="D897" s="17">
        <v>468.17123628865829</v>
      </c>
      <c r="E897">
        <v>25</v>
      </c>
      <c r="F897">
        <v>20</v>
      </c>
    </row>
    <row r="898" spans="1:6">
      <c r="A898" s="3"/>
      <c r="B898">
        <v>2.1</v>
      </c>
      <c r="C898">
        <v>3</v>
      </c>
      <c r="D898" s="17">
        <v>761.47524388103591</v>
      </c>
      <c r="E898">
        <v>25</v>
      </c>
      <c r="F898">
        <v>20</v>
      </c>
    </row>
    <row r="899" spans="1:6">
      <c r="A899" s="3"/>
      <c r="B899">
        <v>3.1</v>
      </c>
      <c r="C899">
        <v>4</v>
      </c>
      <c r="D899" s="17">
        <v>1023.1879828009146</v>
      </c>
      <c r="E899">
        <v>25</v>
      </c>
      <c r="F899">
        <v>20</v>
      </c>
    </row>
    <row r="900" spans="1:6">
      <c r="A900" s="3"/>
      <c r="B900">
        <v>4.0999999999999996</v>
      </c>
      <c r="C900">
        <v>6</v>
      </c>
      <c r="D900" s="17">
        <v>1045.1288577751598</v>
      </c>
      <c r="E900">
        <v>25</v>
      </c>
      <c r="F900">
        <v>20</v>
      </c>
    </row>
    <row r="901" spans="1:6">
      <c r="A901" s="3"/>
      <c r="B901">
        <v>6.1</v>
      </c>
      <c r="C901">
        <v>8</v>
      </c>
      <c r="D901" s="17">
        <v>1499.216706700558</v>
      </c>
      <c r="E901">
        <v>25</v>
      </c>
      <c r="F901">
        <v>20</v>
      </c>
    </row>
    <row r="902" spans="1:6">
      <c r="A902" s="3"/>
      <c r="B902">
        <v>8.1</v>
      </c>
      <c r="C902">
        <v>10</v>
      </c>
      <c r="D902" s="17">
        <v>2730.5081374852439</v>
      </c>
      <c r="E902">
        <v>25</v>
      </c>
      <c r="F902">
        <v>20</v>
      </c>
    </row>
    <row r="903" spans="1:6">
      <c r="A903" s="3"/>
      <c r="B903">
        <v>10.1</v>
      </c>
      <c r="C903">
        <v>12</v>
      </c>
      <c r="D903" s="17">
        <v>3467.076863583452</v>
      </c>
      <c r="E903">
        <v>25</v>
      </c>
      <c r="F903">
        <v>20</v>
      </c>
    </row>
    <row r="904" spans="1:6">
      <c r="A904" s="3"/>
      <c r="B904">
        <v>12.1</v>
      </c>
      <c r="C904" t="s">
        <v>3873</v>
      </c>
      <c r="D904" s="17" t="s">
        <v>3873</v>
      </c>
      <c r="E904">
        <v>25</v>
      </c>
      <c r="F904">
        <v>20</v>
      </c>
    </row>
    <row r="907" spans="1:6">
      <c r="A907" s="937" t="s">
        <v>3868</v>
      </c>
      <c r="B907" s="937" t="s">
        <v>4147</v>
      </c>
      <c r="C907" s="937"/>
      <c r="D907" s="937"/>
      <c r="E907" s="937"/>
      <c r="F907" s="937"/>
    </row>
    <row r="908" spans="1:6">
      <c r="A908" s="947">
        <v>30</v>
      </c>
      <c r="B908" s="73" t="s">
        <v>4110</v>
      </c>
      <c r="C908" s="73" t="s">
        <v>4111</v>
      </c>
      <c r="D908" s="564" t="s">
        <v>3872</v>
      </c>
      <c r="E908" s="73" t="s">
        <v>3865</v>
      </c>
      <c r="F908" s="73" t="s">
        <v>3866</v>
      </c>
    </row>
    <row r="909" spans="1:6">
      <c r="A909" s="3" t="s">
        <v>4148</v>
      </c>
      <c r="B909">
        <v>0</v>
      </c>
      <c r="C909">
        <v>1</v>
      </c>
      <c r="D909" s="17">
        <v>3680.6311572067534</v>
      </c>
      <c r="E909">
        <v>20</v>
      </c>
      <c r="F909">
        <v>17</v>
      </c>
    </row>
    <row r="910" spans="1:6">
      <c r="A910" s="3"/>
      <c r="B910">
        <v>1.01</v>
      </c>
      <c r="C910">
        <v>2</v>
      </c>
      <c r="D910" s="17">
        <v>3680.6311572067534</v>
      </c>
      <c r="E910">
        <v>20</v>
      </c>
      <c r="F910">
        <v>17</v>
      </c>
    </row>
    <row r="911" spans="1:6">
      <c r="A911" s="3"/>
      <c r="B911">
        <v>2.0099999999999998</v>
      </c>
      <c r="C911">
        <v>4</v>
      </c>
      <c r="D911" s="17">
        <v>3680.6311572067534</v>
      </c>
      <c r="E911">
        <v>20</v>
      </c>
      <c r="F911">
        <v>17</v>
      </c>
    </row>
    <row r="912" spans="1:6">
      <c r="A912" s="3"/>
      <c r="B912">
        <v>4.01</v>
      </c>
      <c r="C912">
        <v>5</v>
      </c>
      <c r="D912" s="17">
        <v>3680.6311572067534</v>
      </c>
      <c r="E912">
        <v>20</v>
      </c>
      <c r="F912">
        <v>17</v>
      </c>
    </row>
    <row r="913" spans="1:6">
      <c r="A913" s="3"/>
      <c r="B913">
        <v>5.01</v>
      </c>
      <c r="C913">
        <v>7</v>
      </c>
      <c r="D913" s="17">
        <v>3680.6311572067534</v>
      </c>
      <c r="E913">
        <v>20</v>
      </c>
      <c r="F913">
        <v>17</v>
      </c>
    </row>
    <row r="914" spans="1:6">
      <c r="A914" s="3"/>
      <c r="B914">
        <v>7.01</v>
      </c>
      <c r="C914">
        <v>11</v>
      </c>
      <c r="D914" s="17">
        <v>3680.6311572067534</v>
      </c>
      <c r="E914">
        <v>20</v>
      </c>
      <c r="F914">
        <v>17</v>
      </c>
    </row>
    <row r="915" spans="1:6">
      <c r="A915" s="3"/>
      <c r="B915">
        <v>11.01</v>
      </c>
      <c r="C915">
        <v>14</v>
      </c>
      <c r="D915" s="17">
        <v>4695.5733417958018</v>
      </c>
      <c r="E915">
        <v>20</v>
      </c>
      <c r="F915">
        <v>17</v>
      </c>
    </row>
    <row r="916" spans="1:6">
      <c r="A916" s="3"/>
      <c r="B916">
        <v>14.01</v>
      </c>
      <c r="C916">
        <v>29</v>
      </c>
      <c r="D916" s="17">
        <v>5001.7497389439741</v>
      </c>
      <c r="E916">
        <v>20</v>
      </c>
      <c r="F916">
        <v>17</v>
      </c>
    </row>
    <row r="917" spans="1:6">
      <c r="A917" s="3"/>
      <c r="B917">
        <v>29.01</v>
      </c>
      <c r="C917">
        <v>35</v>
      </c>
      <c r="D917" s="17">
        <v>5155.4893766609293</v>
      </c>
      <c r="E917">
        <v>20</v>
      </c>
      <c r="F917">
        <v>17</v>
      </c>
    </row>
    <row r="918" spans="1:6">
      <c r="A918" s="3"/>
      <c r="B918">
        <v>35.01</v>
      </c>
      <c r="C918">
        <v>59</v>
      </c>
      <c r="D918" s="17">
        <v>6859.1551118682983</v>
      </c>
      <c r="E918">
        <v>20</v>
      </c>
      <c r="F918">
        <v>17</v>
      </c>
    </row>
    <row r="919" spans="1:6">
      <c r="A919" s="3"/>
      <c r="B919">
        <v>59.01</v>
      </c>
      <c r="C919">
        <v>98</v>
      </c>
      <c r="D919" s="17">
        <v>7352.1766738116858</v>
      </c>
      <c r="E919">
        <v>20</v>
      </c>
      <c r="F919">
        <v>17</v>
      </c>
    </row>
    <row r="920" spans="1:6">
      <c r="A920" s="3"/>
      <c r="B920">
        <v>98.01</v>
      </c>
      <c r="C920">
        <v>132</v>
      </c>
      <c r="D920" s="17">
        <v>8019.603101716275</v>
      </c>
      <c r="E920">
        <v>20</v>
      </c>
      <c r="F920">
        <v>17</v>
      </c>
    </row>
    <row r="921" spans="1:6">
      <c r="A921" s="3"/>
      <c r="B921">
        <v>132.01</v>
      </c>
      <c r="C921" t="s">
        <v>3873</v>
      </c>
      <c r="D921" s="17" t="s">
        <v>3873</v>
      </c>
      <c r="E921">
        <v>20</v>
      </c>
      <c r="F921">
        <v>17</v>
      </c>
    </row>
    <row r="924" spans="1:6">
      <c r="A924" s="937" t="s">
        <v>3960</v>
      </c>
      <c r="B924" s="937" t="s">
        <v>4149</v>
      </c>
      <c r="C924" s="937"/>
      <c r="D924" s="937"/>
      <c r="E924" s="937"/>
      <c r="F924" s="937"/>
    </row>
    <row r="925" spans="1:6">
      <c r="A925" s="947">
        <v>35</v>
      </c>
      <c r="B925" s="73" t="s">
        <v>3962</v>
      </c>
      <c r="C925" s="73" t="s">
        <v>3963</v>
      </c>
      <c r="D925" s="564" t="s">
        <v>3872</v>
      </c>
      <c r="E925" s="73" t="s">
        <v>3865</v>
      </c>
      <c r="F925" s="73" t="s">
        <v>3866</v>
      </c>
    </row>
    <row r="926" spans="1:6">
      <c r="A926" s="3" t="s">
        <v>4150</v>
      </c>
      <c r="B926">
        <v>0</v>
      </c>
      <c r="C926">
        <v>1</v>
      </c>
      <c r="D926" s="17">
        <v>1207.272967032967</v>
      </c>
      <c r="E926">
        <v>25</v>
      </c>
      <c r="F926">
        <v>20</v>
      </c>
    </row>
    <row r="927" spans="1:6">
      <c r="A927" s="3"/>
      <c r="B927">
        <v>1.1000000000000001</v>
      </c>
      <c r="C927">
        <v>1.5</v>
      </c>
      <c r="D927" s="17">
        <v>1723.1306593406593</v>
      </c>
      <c r="E927">
        <v>25</v>
      </c>
      <c r="F927">
        <v>20</v>
      </c>
    </row>
    <row r="928" spans="1:6">
      <c r="A928" s="3"/>
      <c r="B928">
        <v>1.6</v>
      </c>
      <c r="C928">
        <v>2</v>
      </c>
      <c r="D928" s="17">
        <v>1414.6933333692275</v>
      </c>
      <c r="E928">
        <v>25</v>
      </c>
      <c r="F928">
        <v>20</v>
      </c>
    </row>
    <row r="929" spans="1:6">
      <c r="A929" s="3"/>
      <c r="B929">
        <v>2.1</v>
      </c>
      <c r="C929">
        <v>3</v>
      </c>
      <c r="D929" s="17">
        <v>2482.1433022573333</v>
      </c>
      <c r="E929">
        <v>25</v>
      </c>
      <c r="F929">
        <v>20</v>
      </c>
    </row>
    <row r="930" spans="1:6">
      <c r="A930" s="3"/>
      <c r="B930">
        <v>3.1</v>
      </c>
      <c r="C930">
        <v>4</v>
      </c>
      <c r="D930" s="17">
        <v>4004.9512980917061</v>
      </c>
      <c r="E930">
        <v>25</v>
      </c>
      <c r="F930">
        <v>20</v>
      </c>
    </row>
    <row r="931" spans="1:6">
      <c r="A931" s="3"/>
      <c r="B931">
        <v>4.0999999999999996</v>
      </c>
      <c r="C931">
        <v>6</v>
      </c>
      <c r="D931" s="17">
        <v>2714.3535021394746</v>
      </c>
      <c r="E931">
        <v>25</v>
      </c>
      <c r="F931">
        <v>20</v>
      </c>
    </row>
    <row r="932" spans="1:6">
      <c r="A932" s="3"/>
      <c r="B932">
        <v>6.1</v>
      </c>
      <c r="C932">
        <v>8</v>
      </c>
      <c r="D932" s="17">
        <v>4334.6072933153191</v>
      </c>
      <c r="E932">
        <v>25</v>
      </c>
      <c r="F932">
        <v>20</v>
      </c>
    </row>
    <row r="933" spans="1:6">
      <c r="A933" s="3"/>
      <c r="B933">
        <v>8.1</v>
      </c>
      <c r="C933">
        <v>10</v>
      </c>
      <c r="D933" s="17">
        <v>5587.5543049125572</v>
      </c>
      <c r="E933">
        <v>25</v>
      </c>
      <c r="F933">
        <v>20</v>
      </c>
    </row>
    <row r="934" spans="1:6">
      <c r="A934" s="3"/>
      <c r="B934">
        <v>10.1</v>
      </c>
      <c r="C934">
        <v>12</v>
      </c>
      <c r="D934" s="17">
        <v>7631.5667775126039</v>
      </c>
      <c r="E934">
        <v>25</v>
      </c>
      <c r="F934">
        <v>20</v>
      </c>
    </row>
    <row r="935" spans="1:6">
      <c r="A935" s="3"/>
      <c r="B935">
        <v>12.1</v>
      </c>
      <c r="C935">
        <v>14</v>
      </c>
      <c r="D935" s="17">
        <v>24748.502523442836</v>
      </c>
      <c r="E935">
        <v>25</v>
      </c>
      <c r="F935">
        <v>20</v>
      </c>
    </row>
    <row r="936" spans="1:6">
      <c r="A936" s="3"/>
      <c r="B936">
        <v>14.1</v>
      </c>
      <c r="C936">
        <v>16</v>
      </c>
      <c r="D936" s="17">
        <v>28530.258869128291</v>
      </c>
      <c r="E936">
        <v>25</v>
      </c>
      <c r="F936">
        <v>20</v>
      </c>
    </row>
    <row r="937" spans="1:6">
      <c r="A937" s="3"/>
      <c r="B937">
        <v>16.100000000000001</v>
      </c>
      <c r="C937">
        <v>20</v>
      </c>
      <c r="D937" s="17">
        <v>46615.65881913164</v>
      </c>
      <c r="E937">
        <v>25</v>
      </c>
      <c r="F937">
        <v>20</v>
      </c>
    </row>
    <row r="938" spans="1:6">
      <c r="A938" s="3"/>
      <c r="B938">
        <v>20.100000000000001</v>
      </c>
      <c r="C938">
        <v>24</v>
      </c>
      <c r="D938" s="17">
        <v>65149.016724246409</v>
      </c>
      <c r="E938">
        <v>25</v>
      </c>
      <c r="F938">
        <v>20</v>
      </c>
    </row>
    <row r="939" spans="1:6">
      <c r="A939" s="3"/>
      <c r="B939">
        <v>24.1</v>
      </c>
      <c r="C939">
        <v>30</v>
      </c>
      <c r="D939" s="17">
        <v>80302.681490252042</v>
      </c>
      <c r="E939">
        <v>25</v>
      </c>
      <c r="F939">
        <v>20</v>
      </c>
    </row>
    <row r="940" spans="1:6">
      <c r="A940" s="3"/>
      <c r="B940">
        <v>30.1</v>
      </c>
      <c r="C940">
        <v>48</v>
      </c>
      <c r="D940" s="17">
        <v>220985.84305316926</v>
      </c>
      <c r="E940">
        <v>25</v>
      </c>
      <c r="F940">
        <v>20</v>
      </c>
    </row>
    <row r="941" spans="1:6">
      <c r="A941" s="3"/>
      <c r="B941">
        <v>48.1</v>
      </c>
      <c r="C941" t="s">
        <v>3873</v>
      </c>
      <c r="D941" s="17" t="s">
        <v>3873</v>
      </c>
      <c r="E941">
        <v>25</v>
      </c>
      <c r="F941">
        <v>20</v>
      </c>
    </row>
    <row r="944" spans="1:6">
      <c r="A944" s="937" t="s">
        <v>4151</v>
      </c>
      <c r="B944" s="937" t="s">
        <v>4152</v>
      </c>
      <c r="C944" s="937"/>
      <c r="D944" s="937"/>
      <c r="E944" s="937"/>
      <c r="F944" s="937"/>
    </row>
    <row r="945" spans="1:6">
      <c r="A945" s="947">
        <v>21</v>
      </c>
      <c r="B945" s="73" t="s">
        <v>3962</v>
      </c>
      <c r="C945" s="73" t="s">
        <v>3963</v>
      </c>
      <c r="D945" s="564" t="s">
        <v>3984</v>
      </c>
      <c r="E945" s="73" t="s">
        <v>3865</v>
      </c>
      <c r="F945" s="73" t="s">
        <v>3866</v>
      </c>
    </row>
    <row r="946" spans="1:6">
      <c r="A946" s="3" t="s">
        <v>4153</v>
      </c>
      <c r="B946">
        <v>0</v>
      </c>
      <c r="C946">
        <v>0.5</v>
      </c>
      <c r="D946" s="17">
        <v>23</v>
      </c>
      <c r="E946">
        <v>45</v>
      </c>
      <c r="F946">
        <v>40</v>
      </c>
    </row>
    <row r="947" spans="1:6">
      <c r="A947" s="3"/>
      <c r="B947">
        <v>0.6</v>
      </c>
      <c r="C947">
        <v>0.75</v>
      </c>
      <c r="D947" s="17">
        <v>29.5</v>
      </c>
      <c r="E947">
        <v>45</v>
      </c>
      <c r="F947">
        <v>40</v>
      </c>
    </row>
    <row r="948" spans="1:6">
      <c r="A948" s="3"/>
      <c r="B948">
        <v>0.76</v>
      </c>
      <c r="C948">
        <v>1</v>
      </c>
      <c r="D948" s="17">
        <v>37.5</v>
      </c>
      <c r="E948">
        <v>45</v>
      </c>
      <c r="F948">
        <v>40</v>
      </c>
    </row>
    <row r="949" spans="1:6">
      <c r="A949" s="3"/>
      <c r="B949">
        <v>1.1000000000000001</v>
      </c>
      <c r="C949">
        <v>1.25</v>
      </c>
      <c r="D949" s="17">
        <v>45</v>
      </c>
      <c r="E949">
        <v>45</v>
      </c>
      <c r="F949">
        <v>40</v>
      </c>
    </row>
    <row r="950" spans="1:6">
      <c r="A950" s="3"/>
      <c r="B950">
        <v>1.26</v>
      </c>
      <c r="C950">
        <v>1.5</v>
      </c>
      <c r="D950" s="17">
        <v>57</v>
      </c>
      <c r="E950">
        <v>45</v>
      </c>
      <c r="F950">
        <v>40</v>
      </c>
    </row>
    <row r="951" spans="1:6">
      <c r="A951" s="3"/>
      <c r="B951">
        <v>1.6</v>
      </c>
      <c r="C951">
        <v>2</v>
      </c>
      <c r="D951" s="17">
        <v>82.5</v>
      </c>
      <c r="E951">
        <v>45</v>
      </c>
      <c r="F951">
        <v>40</v>
      </c>
    </row>
    <row r="952" spans="1:6">
      <c r="A952" s="3"/>
      <c r="B952">
        <v>2.1</v>
      </c>
      <c r="C952">
        <v>2.5</v>
      </c>
      <c r="D952" s="17">
        <v>153</v>
      </c>
      <c r="E952">
        <v>45</v>
      </c>
      <c r="F952">
        <v>40</v>
      </c>
    </row>
    <row r="953" spans="1:6">
      <c r="A953" s="3"/>
      <c r="B953">
        <v>2.6</v>
      </c>
      <c r="C953">
        <v>3</v>
      </c>
      <c r="D953" s="17">
        <v>190</v>
      </c>
      <c r="E953">
        <v>45</v>
      </c>
      <c r="F953">
        <v>40</v>
      </c>
    </row>
    <row r="954" spans="1:6">
      <c r="A954" s="3"/>
      <c r="B954">
        <v>3.1</v>
      </c>
      <c r="C954">
        <v>4</v>
      </c>
      <c r="D954" s="17">
        <v>231</v>
      </c>
      <c r="E954">
        <v>45</v>
      </c>
      <c r="F954">
        <v>40</v>
      </c>
    </row>
    <row r="955" spans="1:6">
      <c r="A955" s="3"/>
      <c r="B955">
        <v>4.0999999999999996</v>
      </c>
      <c r="C955">
        <v>6</v>
      </c>
      <c r="D955" s="17">
        <v>325</v>
      </c>
      <c r="E955">
        <v>45</v>
      </c>
      <c r="F955">
        <v>40</v>
      </c>
    </row>
    <row r="956" spans="1:6">
      <c r="A956" s="3"/>
      <c r="B956">
        <v>6.1</v>
      </c>
      <c r="C956">
        <v>8</v>
      </c>
      <c r="D956" s="17">
        <v>475</v>
      </c>
      <c r="E956">
        <v>45</v>
      </c>
      <c r="F956">
        <v>40</v>
      </c>
    </row>
    <row r="957" spans="1:6">
      <c r="A957" s="3"/>
      <c r="B957">
        <v>8.1</v>
      </c>
      <c r="C957">
        <v>10</v>
      </c>
      <c r="D957" s="17">
        <v>565</v>
      </c>
      <c r="E957">
        <v>45</v>
      </c>
      <c r="F957">
        <v>40</v>
      </c>
    </row>
    <row r="958" spans="1:6">
      <c r="A958" s="3"/>
      <c r="B958">
        <v>10.1</v>
      </c>
      <c r="C958">
        <v>12</v>
      </c>
      <c r="D958" s="17">
        <v>725</v>
      </c>
      <c r="E958">
        <v>45</v>
      </c>
      <c r="F958">
        <v>40</v>
      </c>
    </row>
    <row r="959" spans="1:6">
      <c r="A959" s="3"/>
      <c r="B959">
        <v>12.1</v>
      </c>
      <c r="C959">
        <v>16</v>
      </c>
      <c r="D959" s="17">
        <v>328.39642490634219</v>
      </c>
      <c r="E959">
        <v>45</v>
      </c>
      <c r="F959">
        <v>40</v>
      </c>
    </row>
    <row r="960" spans="1:6">
      <c r="A960" s="3"/>
      <c r="B960">
        <v>16.100000000000001</v>
      </c>
      <c r="C960">
        <v>24</v>
      </c>
      <c r="D960" s="17">
        <v>574.9220707070707</v>
      </c>
      <c r="E960">
        <v>45</v>
      </c>
      <c r="F960">
        <v>40</v>
      </c>
    </row>
    <row r="961" spans="1:6">
      <c r="A961" s="3"/>
      <c r="B961">
        <v>24.1</v>
      </c>
      <c r="C961">
        <v>36</v>
      </c>
      <c r="D961" s="17">
        <v>1302.2010248742749</v>
      </c>
      <c r="E961">
        <v>45</v>
      </c>
      <c r="F961">
        <v>40</v>
      </c>
    </row>
    <row r="962" spans="1:6">
      <c r="A962" s="3"/>
      <c r="B962">
        <v>36.1</v>
      </c>
      <c r="C962">
        <v>48</v>
      </c>
      <c r="D962" s="17">
        <v>2074.2913701060911</v>
      </c>
      <c r="E962">
        <v>45</v>
      </c>
      <c r="F962">
        <v>40</v>
      </c>
    </row>
    <row r="963" spans="1:6">
      <c r="A963" s="3"/>
      <c r="B963">
        <v>48.1</v>
      </c>
      <c r="C963" t="s">
        <v>3873</v>
      </c>
      <c r="D963" s="17" t="s">
        <v>3873</v>
      </c>
      <c r="E963">
        <v>45</v>
      </c>
      <c r="F963">
        <v>40</v>
      </c>
    </row>
    <row r="966" spans="1:6">
      <c r="A966" s="937" t="s">
        <v>3986</v>
      </c>
      <c r="B966" s="937" t="s">
        <v>4154</v>
      </c>
      <c r="C966" s="937"/>
      <c r="D966" s="937"/>
      <c r="E966" s="937"/>
      <c r="F966" s="937"/>
    </row>
    <row r="967" spans="1:6">
      <c r="A967" s="947">
        <v>23</v>
      </c>
      <c r="B967" s="73" t="s">
        <v>3988</v>
      </c>
      <c r="C967" s="73" t="s">
        <v>3989</v>
      </c>
      <c r="D967" s="73" t="s">
        <v>3872</v>
      </c>
      <c r="E967" s="73" t="s">
        <v>3865</v>
      </c>
      <c r="F967" s="73" t="s">
        <v>3866</v>
      </c>
    </row>
    <row r="968" spans="1:6">
      <c r="A968" s="3" t="s">
        <v>4155</v>
      </c>
      <c r="B968">
        <v>0</v>
      </c>
      <c r="C968" s="414">
        <v>180</v>
      </c>
      <c r="D968" s="792">
        <v>34393.230182367304</v>
      </c>
      <c r="E968">
        <v>35</v>
      </c>
      <c r="F968">
        <v>30</v>
      </c>
    </row>
    <row r="969" spans="1:6">
      <c r="A969" s="3"/>
      <c r="B969">
        <v>181</v>
      </c>
      <c r="C969" s="414">
        <v>1400</v>
      </c>
      <c r="D969" s="792">
        <v>53241.5665617294</v>
      </c>
      <c r="E969">
        <v>35</v>
      </c>
      <c r="F969">
        <v>30</v>
      </c>
    </row>
    <row r="970" spans="1:6">
      <c r="A970" s="3"/>
      <c r="B970">
        <v>1401</v>
      </c>
      <c r="C970" s="414">
        <v>2000</v>
      </c>
      <c r="D970" s="792">
        <v>101905.52971576227</v>
      </c>
      <c r="E970">
        <v>35</v>
      </c>
      <c r="F970">
        <v>30</v>
      </c>
    </row>
    <row r="971" spans="1:6">
      <c r="A971" s="3"/>
      <c r="B971">
        <v>2001</v>
      </c>
      <c r="C971" s="414">
        <v>6800</v>
      </c>
      <c r="D971" s="792">
        <v>142962.6122184649</v>
      </c>
      <c r="E971">
        <v>35</v>
      </c>
      <c r="F971">
        <v>30</v>
      </c>
    </row>
    <row r="972" spans="1:6">
      <c r="A972" s="3"/>
      <c r="B972">
        <v>17001</v>
      </c>
      <c r="C972" s="414">
        <v>27100</v>
      </c>
      <c r="D972" s="792">
        <v>327532.25806451618</v>
      </c>
      <c r="E972">
        <v>35</v>
      </c>
      <c r="F972">
        <v>30</v>
      </c>
    </row>
    <row r="973" spans="1:6">
      <c r="A973" s="3"/>
      <c r="B973">
        <v>27101</v>
      </c>
      <c r="C973" s="414" t="s">
        <v>3873</v>
      </c>
      <c r="D973" s="792" t="s">
        <v>3873</v>
      </c>
    </row>
    <row r="976" spans="1:6">
      <c r="A976" s="937" t="s">
        <v>3986</v>
      </c>
      <c r="B976" s="937" t="s">
        <v>4156</v>
      </c>
      <c r="C976" s="937"/>
      <c r="D976" s="937"/>
      <c r="E976" s="937"/>
      <c r="F976" s="937"/>
    </row>
    <row r="977" spans="1:6">
      <c r="A977" s="947">
        <v>23</v>
      </c>
      <c r="B977" s="73" t="s">
        <v>3988</v>
      </c>
      <c r="C977" s="73" t="s">
        <v>3989</v>
      </c>
      <c r="D977" s="73" t="s">
        <v>3872</v>
      </c>
      <c r="E977" s="73" t="s">
        <v>3865</v>
      </c>
      <c r="F977" s="73" t="s">
        <v>3866</v>
      </c>
    </row>
    <row r="978" spans="1:6">
      <c r="A978" s="3" t="s">
        <v>4157</v>
      </c>
      <c r="B978">
        <v>0</v>
      </c>
      <c r="C978">
        <v>1000</v>
      </c>
      <c r="D978" s="17">
        <v>10213.815000000001</v>
      </c>
      <c r="E978">
        <v>35</v>
      </c>
      <c r="F978">
        <v>30</v>
      </c>
    </row>
    <row r="979" spans="1:6">
      <c r="A979" s="3"/>
      <c r="B979">
        <v>1001</v>
      </c>
      <c r="C979">
        <v>10000</v>
      </c>
      <c r="D979" s="17">
        <v>27077.073040752352</v>
      </c>
      <c r="E979">
        <v>35</v>
      </c>
      <c r="F979">
        <v>30</v>
      </c>
    </row>
    <row r="980" spans="1:6">
      <c r="A980" s="3"/>
      <c r="B980">
        <v>10001</v>
      </c>
      <c r="C980">
        <v>14500</v>
      </c>
      <c r="D980" s="17">
        <v>59666.630094043889</v>
      </c>
      <c r="E980">
        <v>35</v>
      </c>
      <c r="F980">
        <v>30</v>
      </c>
    </row>
    <row r="981" spans="1:6">
      <c r="A981" s="3"/>
      <c r="B981">
        <v>14501</v>
      </c>
      <c r="C981">
        <v>20000</v>
      </c>
      <c r="D981" s="17">
        <v>32998.400849056605</v>
      </c>
      <c r="E981">
        <v>35</v>
      </c>
      <c r="F981">
        <v>30</v>
      </c>
    </row>
    <row r="982" spans="1:6">
      <c r="A982" s="3"/>
      <c r="B982">
        <v>20001</v>
      </c>
      <c r="C982">
        <v>35000</v>
      </c>
      <c r="D982" s="17">
        <v>47169.235135135132</v>
      </c>
      <c r="E982">
        <v>35</v>
      </c>
      <c r="F982">
        <v>30</v>
      </c>
    </row>
    <row r="983" spans="1:6">
      <c r="A983" s="3"/>
      <c r="B983">
        <v>35001</v>
      </c>
      <c r="C983">
        <v>44800</v>
      </c>
      <c r="D983" s="17">
        <v>78522.972972972973</v>
      </c>
      <c r="E983">
        <v>35</v>
      </c>
      <c r="F983">
        <v>30</v>
      </c>
    </row>
    <row r="984" spans="1:6">
      <c r="A984" s="3"/>
      <c r="B984">
        <v>44801</v>
      </c>
      <c r="C984">
        <v>50000</v>
      </c>
      <c r="D984" s="17">
        <v>63507.314594594587</v>
      </c>
      <c r="E984">
        <v>35</v>
      </c>
      <c r="F984">
        <v>30</v>
      </c>
    </row>
    <row r="985" spans="1:6">
      <c r="A985" s="3"/>
      <c r="B985">
        <v>50001</v>
      </c>
      <c r="C985">
        <v>134100</v>
      </c>
      <c r="D985" s="17">
        <v>120656.91891891892</v>
      </c>
      <c r="E985">
        <v>35</v>
      </c>
      <c r="F985">
        <v>30</v>
      </c>
    </row>
    <row r="986" spans="1:6">
      <c r="A986" s="3"/>
      <c r="B986">
        <v>134101</v>
      </c>
      <c r="C986">
        <v>289000</v>
      </c>
      <c r="D986" s="17">
        <v>178208.27027027027</v>
      </c>
      <c r="E986">
        <v>35</v>
      </c>
      <c r="F986">
        <v>30</v>
      </c>
    </row>
    <row r="987" spans="1:6">
      <c r="A987" s="3"/>
      <c r="B987">
        <v>289001</v>
      </c>
      <c r="C987" t="s">
        <v>3873</v>
      </c>
      <c r="D987" s="17" t="s">
        <v>3873</v>
      </c>
      <c r="E987">
        <v>35</v>
      </c>
      <c r="F987">
        <v>30</v>
      </c>
    </row>
    <row r="990" spans="1:6">
      <c r="A990" s="937" t="s">
        <v>4158</v>
      </c>
      <c r="B990" s="937" t="s">
        <v>4159</v>
      </c>
      <c r="C990" s="937"/>
      <c r="D990" s="937"/>
      <c r="E990" s="937"/>
      <c r="F990" s="937"/>
    </row>
    <row r="991" spans="1:6">
      <c r="A991" s="947">
        <v>25</v>
      </c>
      <c r="B991" s="73" t="s">
        <v>3962</v>
      </c>
      <c r="C991" s="73" t="s">
        <v>3963</v>
      </c>
      <c r="D991" s="564" t="s">
        <v>3984</v>
      </c>
      <c r="E991" s="73" t="s">
        <v>3865</v>
      </c>
      <c r="F991" s="73" t="s">
        <v>3866</v>
      </c>
    </row>
    <row r="992" spans="1:6">
      <c r="A992" s="3" t="s">
        <v>4160</v>
      </c>
      <c r="B992">
        <v>0</v>
      </c>
      <c r="C992">
        <v>0.5</v>
      </c>
      <c r="D992" s="17">
        <v>13.896100000000001</v>
      </c>
      <c r="E992">
        <v>35</v>
      </c>
      <c r="F992">
        <v>33</v>
      </c>
    </row>
    <row r="993" spans="1:6">
      <c r="A993" s="3"/>
      <c r="B993">
        <v>0.6</v>
      </c>
      <c r="C993">
        <v>1</v>
      </c>
      <c r="D993" s="17">
        <v>18.130499999999998</v>
      </c>
      <c r="E993">
        <v>35</v>
      </c>
      <c r="F993">
        <v>33</v>
      </c>
    </row>
    <row r="994" spans="1:6">
      <c r="A994" s="3"/>
      <c r="B994">
        <v>1.1000000000000001</v>
      </c>
      <c r="C994">
        <v>1.5</v>
      </c>
      <c r="D994" s="17">
        <v>23.482500000000002</v>
      </c>
      <c r="E994">
        <v>35</v>
      </c>
      <c r="F994">
        <v>33</v>
      </c>
    </row>
    <row r="995" spans="1:6">
      <c r="A995" s="3"/>
      <c r="B995">
        <v>1.6</v>
      </c>
      <c r="C995">
        <v>2</v>
      </c>
      <c r="D995" s="17">
        <v>31.328500000000002</v>
      </c>
      <c r="E995">
        <v>35</v>
      </c>
      <c r="F995">
        <v>33</v>
      </c>
    </row>
    <row r="996" spans="1:6">
      <c r="A996" s="3"/>
      <c r="B996">
        <v>2.1</v>
      </c>
      <c r="C996">
        <v>2.5</v>
      </c>
      <c r="D996" s="17">
        <v>43.287999999999997</v>
      </c>
      <c r="E996">
        <v>35</v>
      </c>
      <c r="F996">
        <v>33</v>
      </c>
    </row>
    <row r="997" spans="1:6">
      <c r="A997" s="3"/>
      <c r="B997">
        <v>2.6</v>
      </c>
      <c r="C997">
        <v>3</v>
      </c>
      <c r="D997" s="17">
        <v>49.111499999999999</v>
      </c>
      <c r="E997">
        <v>35</v>
      </c>
      <c r="F997">
        <v>33</v>
      </c>
    </row>
    <row r="998" spans="1:6">
      <c r="A998" s="3"/>
      <c r="B998">
        <v>3.1</v>
      </c>
      <c r="C998">
        <v>4</v>
      </c>
      <c r="D998" s="17">
        <v>64.635000000000005</v>
      </c>
      <c r="E998">
        <v>35</v>
      </c>
      <c r="F998">
        <v>33</v>
      </c>
    </row>
    <row r="999" spans="1:6">
      <c r="A999" s="3"/>
      <c r="B999">
        <v>4.0999999999999996</v>
      </c>
      <c r="C999">
        <v>6</v>
      </c>
      <c r="D999" s="17">
        <v>91.93</v>
      </c>
      <c r="E999">
        <v>35</v>
      </c>
      <c r="F999">
        <v>33</v>
      </c>
    </row>
    <row r="1000" spans="1:6">
      <c r="A1000" s="3"/>
      <c r="B1000">
        <v>6.1</v>
      </c>
      <c r="C1000">
        <v>8</v>
      </c>
      <c r="D1000" s="17">
        <v>172.095</v>
      </c>
      <c r="E1000">
        <v>35</v>
      </c>
      <c r="F1000">
        <v>33</v>
      </c>
    </row>
    <row r="1001" spans="1:6">
      <c r="A1001" s="3"/>
      <c r="B1001">
        <v>8.1</v>
      </c>
      <c r="C1001">
        <v>10</v>
      </c>
      <c r="D1001" s="17">
        <v>213.54999999999998</v>
      </c>
      <c r="E1001">
        <v>35</v>
      </c>
      <c r="F1001">
        <v>33</v>
      </c>
    </row>
    <row r="1002" spans="1:6">
      <c r="A1002" s="3"/>
      <c r="B1002">
        <v>10.1</v>
      </c>
      <c r="C1002">
        <v>12</v>
      </c>
      <c r="D1002" s="17">
        <v>270.05</v>
      </c>
      <c r="E1002">
        <v>35</v>
      </c>
      <c r="F1002">
        <v>33</v>
      </c>
    </row>
    <row r="1003" spans="1:6">
      <c r="A1003" s="3"/>
      <c r="B1003">
        <v>12.1</v>
      </c>
      <c r="C1003">
        <v>14</v>
      </c>
      <c r="D1003" s="17">
        <v>305.43</v>
      </c>
      <c r="E1003">
        <v>35</v>
      </c>
      <c r="F1003">
        <v>33</v>
      </c>
    </row>
    <row r="1004" spans="1:6">
      <c r="A1004" s="3"/>
      <c r="B1004">
        <v>14.1</v>
      </c>
      <c r="C1004">
        <v>16</v>
      </c>
      <c r="D1004" s="17">
        <v>396.85</v>
      </c>
      <c r="E1004">
        <v>35</v>
      </c>
      <c r="F1004">
        <v>33</v>
      </c>
    </row>
    <row r="1005" spans="1:6">
      <c r="A1005" s="3"/>
      <c r="B1005">
        <v>16.100000000000001</v>
      </c>
      <c r="C1005">
        <v>18</v>
      </c>
      <c r="D1005" s="17">
        <v>419.98</v>
      </c>
      <c r="E1005">
        <v>35</v>
      </c>
      <c r="F1005">
        <v>33</v>
      </c>
    </row>
    <row r="1006" spans="1:6">
      <c r="A1006" s="3"/>
      <c r="B1006">
        <v>18.100000000000001</v>
      </c>
      <c r="C1006">
        <v>20</v>
      </c>
      <c r="D1006" s="17">
        <v>486.21000000000004</v>
      </c>
      <c r="E1006">
        <v>35</v>
      </c>
      <c r="F1006">
        <v>33</v>
      </c>
    </row>
    <row r="1007" spans="1:6">
      <c r="A1007" s="3"/>
      <c r="B1007">
        <v>20.100000000000001</v>
      </c>
      <c r="C1007">
        <v>24</v>
      </c>
      <c r="D1007" s="17">
        <v>592.07000000000005</v>
      </c>
      <c r="E1007">
        <v>35</v>
      </c>
      <c r="F1007">
        <v>33</v>
      </c>
    </row>
    <row r="1008" spans="1:6">
      <c r="A1008" s="3"/>
      <c r="B1008">
        <v>24.1</v>
      </c>
      <c r="C1008">
        <v>36</v>
      </c>
      <c r="D1008" s="17">
        <v>263.86210075918711</v>
      </c>
      <c r="E1008">
        <v>35</v>
      </c>
      <c r="F1008">
        <v>33</v>
      </c>
    </row>
    <row r="1009" spans="1:6">
      <c r="A1009" s="3"/>
      <c r="B1009">
        <v>36.1</v>
      </c>
      <c r="C1009">
        <v>48</v>
      </c>
      <c r="D1009" s="17">
        <v>363.17883258666518</v>
      </c>
      <c r="E1009">
        <v>35</v>
      </c>
      <c r="F1009">
        <v>33</v>
      </c>
    </row>
    <row r="1010" spans="1:6">
      <c r="A1010" s="3"/>
      <c r="B1010">
        <v>48.1</v>
      </c>
      <c r="C1010" t="s">
        <v>3873</v>
      </c>
      <c r="D1010" s="17" t="s">
        <v>3873</v>
      </c>
      <c r="E1010">
        <v>35</v>
      </c>
      <c r="F1010">
        <v>33</v>
      </c>
    </row>
    <row r="1013" spans="1:6">
      <c r="A1013" s="937" t="s">
        <v>4161</v>
      </c>
      <c r="B1013" s="937" t="s">
        <v>4162</v>
      </c>
      <c r="C1013" s="937"/>
      <c r="D1013" s="937"/>
      <c r="E1013" s="937"/>
      <c r="F1013" s="937"/>
    </row>
    <row r="1014" spans="1:6">
      <c r="A1014" s="37">
        <v>4</v>
      </c>
      <c r="B1014" t="s">
        <v>1896</v>
      </c>
      <c r="D1014" t="s">
        <v>3881</v>
      </c>
      <c r="E1014" t="s">
        <v>3865</v>
      </c>
      <c r="F1014" t="s">
        <v>3866</v>
      </c>
    </row>
    <row r="1015" spans="1:6">
      <c r="A1015" s="3" t="s">
        <v>4163</v>
      </c>
      <c r="B1015">
        <v>0</v>
      </c>
      <c r="C1015">
        <v>0</v>
      </c>
      <c r="D1015" s="948">
        <v>1475</v>
      </c>
      <c r="E1015" t="s">
        <v>3877</v>
      </c>
      <c r="F1015" t="s">
        <v>3877</v>
      </c>
    </row>
    <row r="1018" spans="1:6">
      <c r="A1018" s="937" t="s">
        <v>4164</v>
      </c>
      <c r="B1018" s="937" t="s">
        <v>4165</v>
      </c>
      <c r="C1018" s="937"/>
      <c r="D1018" s="937"/>
      <c r="E1018" s="937"/>
      <c r="F1018" s="937"/>
    </row>
    <row r="1019" spans="1:6">
      <c r="A1019" s="947">
        <v>40</v>
      </c>
      <c r="B1019" s="73" t="s">
        <v>4166</v>
      </c>
      <c r="C1019" s="73" t="s">
        <v>4167</v>
      </c>
      <c r="D1019" s="564" t="s">
        <v>4168</v>
      </c>
      <c r="E1019" s="73" t="s">
        <v>3865</v>
      </c>
      <c r="F1019" s="73" t="s">
        <v>3866</v>
      </c>
    </row>
    <row r="1020" spans="1:6">
      <c r="A1020" s="3" t="s">
        <v>4169</v>
      </c>
      <c r="B1020">
        <v>0</v>
      </c>
      <c r="C1020">
        <v>30</v>
      </c>
      <c r="D1020" s="948">
        <v>660</v>
      </c>
    </row>
    <row r="1021" spans="1:6">
      <c r="A1021" s="3"/>
      <c r="B1021">
        <v>31</v>
      </c>
      <c r="C1021">
        <v>50</v>
      </c>
      <c r="D1021" s="948">
        <v>482</v>
      </c>
    </row>
    <row r="1022" spans="1:6">
      <c r="A1022" s="3"/>
      <c r="B1022">
        <v>51</v>
      </c>
      <c r="C1022">
        <v>60</v>
      </c>
      <c r="D1022" s="948">
        <v>525</v>
      </c>
    </row>
    <row r="1023" spans="1:6">
      <c r="A1023" s="3"/>
      <c r="B1023">
        <v>61</v>
      </c>
      <c r="C1023">
        <v>75</v>
      </c>
      <c r="D1023" s="948">
        <v>477.33333333333331</v>
      </c>
    </row>
    <row r="1024" spans="1:6">
      <c r="A1024" s="3"/>
      <c r="B1024">
        <v>76</v>
      </c>
      <c r="C1024">
        <v>100</v>
      </c>
      <c r="D1024" s="948">
        <v>412</v>
      </c>
    </row>
    <row r="1025" spans="1:4">
      <c r="A1025" s="3"/>
      <c r="B1025">
        <v>101</v>
      </c>
      <c r="C1025">
        <v>125</v>
      </c>
      <c r="D1025" s="948">
        <v>304</v>
      </c>
    </row>
    <row r="1026" spans="1:4">
      <c r="A1026" s="3"/>
      <c r="B1026">
        <v>126</v>
      </c>
      <c r="C1026">
        <v>150</v>
      </c>
      <c r="D1026" s="948">
        <v>356.66666666666669</v>
      </c>
    </row>
    <row r="1027" spans="1:4">
      <c r="A1027" s="3"/>
      <c r="B1027">
        <v>151</v>
      </c>
      <c r="C1027">
        <v>175</v>
      </c>
      <c r="D1027" s="948">
        <v>262.85714285714283</v>
      </c>
    </row>
    <row r="1028" spans="1:4">
      <c r="A1028" s="3"/>
      <c r="B1028">
        <v>176</v>
      </c>
      <c r="C1028">
        <v>200</v>
      </c>
      <c r="D1028" s="948">
        <v>357.5</v>
      </c>
    </row>
    <row r="1029" spans="1:4">
      <c r="A1029" s="3"/>
      <c r="B1029">
        <v>201</v>
      </c>
      <c r="C1029">
        <v>250</v>
      </c>
      <c r="D1029" s="948">
        <v>240</v>
      </c>
    </row>
    <row r="1030" spans="1:4">
      <c r="A1030" s="3"/>
      <c r="B1030">
        <v>251</v>
      </c>
      <c r="C1030">
        <v>275</v>
      </c>
      <c r="D1030" s="948">
        <v>301.81818181818181</v>
      </c>
    </row>
    <row r="1031" spans="1:4">
      <c r="A1031" s="3"/>
      <c r="B1031">
        <v>276</v>
      </c>
      <c r="C1031">
        <v>300</v>
      </c>
      <c r="D1031" s="948">
        <v>221.66666666666666</v>
      </c>
    </row>
    <row r="1032" spans="1:4">
      <c r="A1032" s="3"/>
      <c r="B1032">
        <v>301</v>
      </c>
      <c r="C1032">
        <v>350</v>
      </c>
      <c r="D1032" s="948">
        <v>230</v>
      </c>
    </row>
    <row r="1033" spans="1:4">
      <c r="A1033" s="3"/>
      <c r="B1033">
        <v>351</v>
      </c>
      <c r="C1033">
        <v>400</v>
      </c>
      <c r="D1033" s="948">
        <v>237.5</v>
      </c>
    </row>
    <row r="1034" spans="1:4">
      <c r="A1034" s="3"/>
      <c r="B1034">
        <v>401</v>
      </c>
      <c r="C1034">
        <v>500</v>
      </c>
      <c r="D1034" s="948">
        <v>214</v>
      </c>
    </row>
    <row r="1035" spans="1:4">
      <c r="A1035" s="3"/>
      <c r="B1035">
        <v>501</v>
      </c>
      <c r="C1035">
        <v>600</v>
      </c>
      <c r="D1035" s="948">
        <v>250</v>
      </c>
    </row>
    <row r="1036" spans="1:4">
      <c r="A1036" s="3"/>
      <c r="B1036">
        <v>601</v>
      </c>
      <c r="C1036">
        <v>650</v>
      </c>
      <c r="D1036" s="948">
        <v>346.92307692307691</v>
      </c>
    </row>
    <row r="1037" spans="1:4">
      <c r="A1037" s="3"/>
      <c r="B1037">
        <v>651</v>
      </c>
      <c r="C1037">
        <v>750</v>
      </c>
      <c r="D1037" s="948">
        <v>281.33333333333331</v>
      </c>
    </row>
    <row r="1038" spans="1:4">
      <c r="A1038" s="3"/>
      <c r="B1038">
        <v>751</v>
      </c>
      <c r="C1038">
        <v>800</v>
      </c>
      <c r="D1038" s="948">
        <v>260</v>
      </c>
    </row>
    <row r="1039" spans="1:4">
      <c r="A1039" s="3"/>
      <c r="B1039">
        <v>801</v>
      </c>
      <c r="C1039">
        <v>900</v>
      </c>
      <c r="D1039" s="948">
        <v>287.22222222222223</v>
      </c>
    </row>
    <row r="1040" spans="1:4">
      <c r="A1040" s="3"/>
      <c r="B1040">
        <v>901</v>
      </c>
      <c r="C1040">
        <v>1000</v>
      </c>
      <c r="D1040" s="948">
        <v>243</v>
      </c>
    </row>
    <row r="1043" spans="1:6">
      <c r="A1043" s="937" t="s">
        <v>3863</v>
      </c>
      <c r="B1043" s="937" t="s">
        <v>4170</v>
      </c>
      <c r="C1043" s="937"/>
      <c r="D1043" s="937"/>
      <c r="E1043" s="937"/>
      <c r="F1043" s="937"/>
    </row>
    <row r="1044" spans="1:6">
      <c r="A1044" s="947">
        <v>43</v>
      </c>
      <c r="B1044" s="73"/>
      <c r="C1044" s="73"/>
      <c r="D1044" s="564" t="s">
        <v>3872</v>
      </c>
      <c r="E1044" s="73" t="s">
        <v>3865</v>
      </c>
      <c r="F1044" s="73" t="s">
        <v>3866</v>
      </c>
    </row>
    <row r="1045" spans="1:6">
      <c r="A1045" s="3" t="s">
        <v>4171</v>
      </c>
      <c r="B1045">
        <v>0</v>
      </c>
      <c r="C1045">
        <v>0</v>
      </c>
      <c r="D1045" s="17">
        <v>1300.8978726158491</v>
      </c>
      <c r="E1045">
        <v>15</v>
      </c>
      <c r="F1045">
        <v>14</v>
      </c>
    </row>
    <row r="1048" spans="1:6">
      <c r="A1048" s="937" t="s">
        <v>3863</v>
      </c>
      <c r="B1048" s="937" t="s">
        <v>4172</v>
      </c>
      <c r="C1048" s="937"/>
      <c r="D1048" s="937"/>
      <c r="E1048" s="937"/>
      <c r="F1048" s="937"/>
    </row>
    <row r="1049" spans="1:6">
      <c r="A1049" s="947">
        <v>43</v>
      </c>
      <c r="B1049" s="73"/>
      <c r="C1049" s="73"/>
      <c r="D1049" s="564" t="s">
        <v>3872</v>
      </c>
      <c r="E1049" s="73" t="s">
        <v>3865</v>
      </c>
      <c r="F1049" s="73" t="s">
        <v>3866</v>
      </c>
    </row>
    <row r="1050" spans="1:6">
      <c r="A1050" s="3" t="s">
        <v>4173</v>
      </c>
      <c r="B1050">
        <v>0</v>
      </c>
      <c r="C1050">
        <v>0</v>
      </c>
      <c r="D1050" s="17">
        <v>794.75852923757691</v>
      </c>
      <c r="E1050">
        <v>15</v>
      </c>
      <c r="F1050">
        <v>14</v>
      </c>
    </row>
    <row r="1053" spans="1:6">
      <c r="A1053" s="937" t="s">
        <v>3863</v>
      </c>
      <c r="B1053" s="937" t="s">
        <v>4174</v>
      </c>
      <c r="C1053" s="937"/>
      <c r="D1053" s="937"/>
      <c r="E1053" s="937"/>
      <c r="F1053" s="937"/>
    </row>
    <row r="1054" spans="1:6">
      <c r="A1054" s="947">
        <v>43</v>
      </c>
      <c r="B1054" s="564"/>
      <c r="C1054" s="73"/>
      <c r="D1054" s="564" t="s">
        <v>3872</v>
      </c>
      <c r="E1054" s="73" t="s">
        <v>3865</v>
      </c>
      <c r="F1054" s="73" t="s">
        <v>3866</v>
      </c>
    </row>
    <row r="1055" spans="1:6">
      <c r="A1055" s="3" t="s">
        <v>4175</v>
      </c>
      <c r="B1055">
        <v>0</v>
      </c>
      <c r="C1055">
        <v>0</v>
      </c>
      <c r="D1055" s="17">
        <v>6183.7045937122821</v>
      </c>
      <c r="E1055">
        <v>15</v>
      </c>
      <c r="F1055">
        <v>14</v>
      </c>
    </row>
    <row r="1058" spans="1:6">
      <c r="A1058" s="937" t="s">
        <v>4056</v>
      </c>
      <c r="B1058" s="937" t="s">
        <v>4176</v>
      </c>
      <c r="C1058" s="937"/>
      <c r="D1058" s="937"/>
      <c r="E1058" s="937"/>
      <c r="F1058" s="937"/>
    </row>
    <row r="1059" spans="1:6">
      <c r="A1059" s="947">
        <v>42</v>
      </c>
      <c r="B1059" s="73"/>
      <c r="C1059" s="73"/>
      <c r="D1059" s="564" t="s">
        <v>3872</v>
      </c>
      <c r="E1059" s="73" t="s">
        <v>3865</v>
      </c>
      <c r="F1059" s="73" t="s">
        <v>3866</v>
      </c>
    </row>
    <row r="1060" spans="1:6">
      <c r="A1060" s="3" t="s">
        <v>4177</v>
      </c>
      <c r="B1060">
        <v>0</v>
      </c>
      <c r="C1060">
        <v>0</v>
      </c>
      <c r="D1060" s="17">
        <v>877.495</v>
      </c>
      <c r="E1060">
        <v>10</v>
      </c>
      <c r="F1060">
        <v>8</v>
      </c>
    </row>
    <row r="1063" spans="1:6">
      <c r="A1063" s="937" t="s">
        <v>3863</v>
      </c>
      <c r="B1063" s="937" t="s">
        <v>4178</v>
      </c>
      <c r="C1063" s="937"/>
      <c r="D1063" s="937"/>
      <c r="E1063" s="937"/>
      <c r="F1063" s="937"/>
    </row>
    <row r="1064" spans="1:6">
      <c r="A1064" s="947">
        <v>43</v>
      </c>
      <c r="B1064" s="73" t="s">
        <v>3962</v>
      </c>
      <c r="C1064" s="73" t="s">
        <v>3963</v>
      </c>
      <c r="D1064" s="564" t="s">
        <v>3872</v>
      </c>
      <c r="E1064" s="73" t="s">
        <v>3865</v>
      </c>
      <c r="F1064" s="73" t="s">
        <v>3866</v>
      </c>
    </row>
    <row r="1065" spans="1:6">
      <c r="A1065" s="3" t="s">
        <v>4179</v>
      </c>
      <c r="B1065">
        <v>0</v>
      </c>
      <c r="C1065">
        <v>1</v>
      </c>
      <c r="D1065" s="17">
        <v>2193.0706249999998</v>
      </c>
      <c r="E1065">
        <v>15</v>
      </c>
      <c r="F1065">
        <v>14</v>
      </c>
    </row>
    <row r="1066" spans="1:6">
      <c r="A1066" s="3"/>
      <c r="B1066">
        <v>1.1000000000000001</v>
      </c>
      <c r="C1066">
        <v>2</v>
      </c>
      <c r="D1066" s="17">
        <v>2310.6700136986301</v>
      </c>
      <c r="E1066">
        <v>15</v>
      </c>
      <c r="F1066">
        <v>14</v>
      </c>
    </row>
    <row r="1067" spans="1:6">
      <c r="A1067" s="3"/>
      <c r="B1067">
        <v>2.1</v>
      </c>
      <c r="C1067">
        <v>3</v>
      </c>
      <c r="D1067" s="17">
        <v>2401.0457718446605</v>
      </c>
      <c r="E1067">
        <v>15</v>
      </c>
      <c r="F1067">
        <v>14</v>
      </c>
    </row>
    <row r="1068" spans="1:6">
      <c r="A1068" s="3"/>
      <c r="B1068">
        <v>3.1</v>
      </c>
      <c r="C1068">
        <v>4</v>
      </c>
      <c r="D1068" s="17">
        <v>2419.8302129032259</v>
      </c>
      <c r="E1068">
        <v>15</v>
      </c>
      <c r="F1068">
        <v>14</v>
      </c>
    </row>
    <row r="1069" spans="1:6">
      <c r="A1069" s="3"/>
      <c r="B1069">
        <v>4.0999999999999996</v>
      </c>
      <c r="C1069">
        <v>6</v>
      </c>
      <c r="D1069" s="17">
        <v>3590.5771888888885</v>
      </c>
      <c r="E1069">
        <v>15</v>
      </c>
      <c r="F1069">
        <v>14</v>
      </c>
    </row>
    <row r="1070" spans="1:6">
      <c r="A1070" s="3"/>
      <c r="B1070">
        <v>6.1</v>
      </c>
      <c r="C1070">
        <v>8</v>
      </c>
      <c r="D1070" s="17">
        <v>3965.3893275862065</v>
      </c>
      <c r="E1070">
        <v>15</v>
      </c>
      <c r="F1070">
        <v>14</v>
      </c>
    </row>
    <row r="1071" spans="1:6">
      <c r="A1071" s="3"/>
      <c r="B1071">
        <v>8.1</v>
      </c>
      <c r="C1071">
        <v>10</v>
      </c>
      <c r="D1071" s="17">
        <v>4011.5260729927013</v>
      </c>
      <c r="E1071">
        <v>15</v>
      </c>
      <c r="F1071">
        <v>14</v>
      </c>
    </row>
    <row r="1072" spans="1:6">
      <c r="A1072" s="3"/>
      <c r="B1072">
        <v>10.1</v>
      </c>
      <c r="C1072">
        <v>12</v>
      </c>
      <c r="D1072" s="17">
        <v>4677.219503649635</v>
      </c>
      <c r="E1072">
        <v>15</v>
      </c>
      <c r="F1072">
        <v>14</v>
      </c>
    </row>
    <row r="1073" spans="1:6">
      <c r="A1073" s="3"/>
      <c r="B1073">
        <v>12.1</v>
      </c>
      <c r="C1073">
        <v>14</v>
      </c>
      <c r="D1073" s="17">
        <v>5013.5698686131391</v>
      </c>
      <c r="E1073">
        <v>15</v>
      </c>
      <c r="F1073">
        <v>14</v>
      </c>
    </row>
    <row r="1074" spans="1:6">
      <c r="A1074" s="3"/>
      <c r="B1074">
        <v>14.1</v>
      </c>
      <c r="C1074">
        <v>16</v>
      </c>
      <c r="D1074" s="17">
        <v>5181.7450510948911</v>
      </c>
      <c r="E1074">
        <v>15</v>
      </c>
      <c r="F1074">
        <v>14</v>
      </c>
    </row>
    <row r="1075" spans="1:6">
      <c r="A1075" s="3"/>
      <c r="B1075">
        <v>16.100000000000001</v>
      </c>
      <c r="C1075">
        <v>18</v>
      </c>
      <c r="D1075" s="17">
        <v>5924.5187737226279</v>
      </c>
      <c r="E1075">
        <v>15</v>
      </c>
      <c r="F1075">
        <v>14</v>
      </c>
    </row>
    <row r="1076" spans="1:6">
      <c r="A1076" s="3"/>
      <c r="B1076">
        <v>18.100000000000001</v>
      </c>
      <c r="C1076">
        <v>20</v>
      </c>
      <c r="D1076" s="17">
        <v>6330.9421313868606</v>
      </c>
      <c r="E1076">
        <v>15</v>
      </c>
      <c r="F1076">
        <v>14</v>
      </c>
    </row>
    <row r="1077" spans="1:6">
      <c r="A1077" s="3"/>
      <c r="B1077">
        <v>20.100000000000001</v>
      </c>
      <c r="C1077">
        <v>24</v>
      </c>
      <c r="D1077" s="17">
        <v>9988.7523503649645</v>
      </c>
      <c r="E1077">
        <v>15</v>
      </c>
      <c r="F1077">
        <v>14</v>
      </c>
    </row>
    <row r="1078" spans="1:6">
      <c r="A1078" s="3"/>
      <c r="B1078">
        <v>24.1</v>
      </c>
      <c r="C1078">
        <v>30</v>
      </c>
      <c r="D1078" s="17">
        <v>11109.920233576642</v>
      </c>
      <c r="E1078">
        <v>15</v>
      </c>
      <c r="F1078">
        <v>14</v>
      </c>
    </row>
    <row r="1079" spans="1:6">
      <c r="A1079" s="3"/>
      <c r="B1079">
        <v>30.1</v>
      </c>
      <c r="C1079">
        <v>36</v>
      </c>
      <c r="D1079" s="17">
        <v>12511.380087591242</v>
      </c>
      <c r="E1079">
        <v>15</v>
      </c>
      <c r="F1079">
        <v>14</v>
      </c>
    </row>
    <row r="1080" spans="1:6">
      <c r="A1080" s="3"/>
      <c r="B1080">
        <v>36.1</v>
      </c>
      <c r="C1080">
        <v>42</v>
      </c>
      <c r="D1080" s="17">
        <v>13492.40198540146</v>
      </c>
      <c r="E1080">
        <v>15</v>
      </c>
      <c r="F1080">
        <v>14</v>
      </c>
    </row>
    <row r="1081" spans="1:6">
      <c r="A1081" s="3"/>
      <c r="B1081">
        <v>42.1</v>
      </c>
      <c r="C1081">
        <v>48</v>
      </c>
      <c r="D1081" s="17">
        <v>15594.591766423357</v>
      </c>
      <c r="E1081">
        <v>15</v>
      </c>
      <c r="F1081">
        <v>14</v>
      </c>
    </row>
    <row r="1082" spans="1:6">
      <c r="A1082" s="3"/>
      <c r="B1082">
        <v>48.1</v>
      </c>
      <c r="C1082" t="s">
        <v>3873</v>
      </c>
      <c r="D1082" s="17" t="s">
        <v>3873</v>
      </c>
      <c r="E1082">
        <v>15</v>
      </c>
      <c r="F1082">
        <v>14</v>
      </c>
    </row>
    <row r="1085" spans="1:6">
      <c r="A1085" s="949" t="s">
        <v>3875</v>
      </c>
      <c r="B1085" s="937" t="s">
        <v>4180</v>
      </c>
      <c r="C1085" s="950"/>
      <c r="D1085" s="951"/>
      <c r="E1085" s="950"/>
      <c r="F1085" s="950"/>
    </row>
    <row r="1086" spans="1:6">
      <c r="A1086" s="947">
        <v>3</v>
      </c>
      <c r="B1086" s="73" t="s">
        <v>4181</v>
      </c>
      <c r="C1086" s="73" t="s">
        <v>4182</v>
      </c>
      <c r="D1086" s="73" t="s">
        <v>3872</v>
      </c>
      <c r="E1086" s="73" t="s">
        <v>3865</v>
      </c>
      <c r="F1086" s="73" t="s">
        <v>3866</v>
      </c>
    </row>
    <row r="1087" spans="1:6">
      <c r="A1087" s="3" t="s">
        <v>4183</v>
      </c>
      <c r="B1087">
        <v>0</v>
      </c>
      <c r="C1087">
        <v>500</v>
      </c>
      <c r="D1087" s="948">
        <v>181.38524604341987</v>
      </c>
      <c r="E1087">
        <v>40</v>
      </c>
      <c r="F1087">
        <v>37</v>
      </c>
    </row>
    <row r="1088" spans="1:6">
      <c r="A1088" s="3"/>
      <c r="B1088">
        <v>500.1</v>
      </c>
      <c r="C1088">
        <v>1000</v>
      </c>
      <c r="D1088" s="948">
        <v>152.59181452329247</v>
      </c>
      <c r="E1088">
        <v>40</v>
      </c>
      <c r="F1088">
        <v>37</v>
      </c>
    </row>
    <row r="1089" spans="1:6">
      <c r="A1089" s="3"/>
      <c r="B1089">
        <v>1000.1</v>
      </c>
      <c r="C1089">
        <v>2000</v>
      </c>
      <c r="D1089" s="948">
        <v>134.80205030118768</v>
      </c>
      <c r="E1089">
        <v>40</v>
      </c>
      <c r="F1089">
        <v>37</v>
      </c>
    </row>
    <row r="1090" spans="1:6">
      <c r="A1090" s="3"/>
      <c r="B1090">
        <v>2000.1</v>
      </c>
      <c r="C1090">
        <v>3000</v>
      </c>
      <c r="D1090" s="948">
        <v>127.23811561623944</v>
      </c>
      <c r="E1090">
        <v>40</v>
      </c>
      <c r="F1090">
        <v>37</v>
      </c>
    </row>
    <row r="1091" spans="1:6">
      <c r="A1091" s="3"/>
      <c r="B1091">
        <v>3000.1</v>
      </c>
      <c r="C1091">
        <v>4000</v>
      </c>
      <c r="D1091" s="948">
        <v>119.65198435204586</v>
      </c>
      <c r="E1091">
        <v>40</v>
      </c>
      <c r="F1091">
        <v>37</v>
      </c>
    </row>
    <row r="1092" spans="1:6">
      <c r="A1092" s="3"/>
      <c r="B1092">
        <v>4000.1</v>
      </c>
      <c r="C1092">
        <v>5000</v>
      </c>
      <c r="D1092" s="948">
        <v>114.29481081705296</v>
      </c>
      <c r="E1092">
        <v>40</v>
      </c>
      <c r="F1092">
        <v>37</v>
      </c>
    </row>
    <row r="1093" spans="1:6">
      <c r="A1093" s="3"/>
      <c r="B1093">
        <v>5000.1000000000004</v>
      </c>
      <c r="C1093">
        <v>7500</v>
      </c>
      <c r="D1093" s="948">
        <v>107.59283026135358</v>
      </c>
      <c r="E1093">
        <v>40</v>
      </c>
      <c r="F1093">
        <v>37</v>
      </c>
    </row>
    <row r="1094" spans="1:6">
      <c r="A1094" s="3"/>
      <c r="B1094">
        <v>7500.1</v>
      </c>
      <c r="C1094">
        <v>8000</v>
      </c>
      <c r="D1094" s="948">
        <v>106.71475413024437</v>
      </c>
      <c r="E1094">
        <v>40</v>
      </c>
      <c r="F1094">
        <v>37</v>
      </c>
    </row>
    <row r="1095" spans="1:6">
      <c r="A1095" s="3"/>
      <c r="B1095">
        <v>8000.1</v>
      </c>
      <c r="C1095">
        <v>10000</v>
      </c>
      <c r="D1095" s="948">
        <v>102.07668261986309</v>
      </c>
      <c r="E1095">
        <v>40</v>
      </c>
      <c r="F1095">
        <v>37</v>
      </c>
    </row>
    <row r="1096" spans="1:6">
      <c r="A1096" s="3"/>
      <c r="B1096">
        <v>10000.1</v>
      </c>
      <c r="C1096">
        <v>12000</v>
      </c>
      <c r="D1096" s="948">
        <v>102.10697569089804</v>
      </c>
      <c r="E1096">
        <v>40</v>
      </c>
      <c r="F1096">
        <v>37</v>
      </c>
    </row>
    <row r="1097" spans="1:6">
      <c r="A1097" s="3"/>
      <c r="B1097">
        <v>12000.1</v>
      </c>
      <c r="C1097">
        <v>15000</v>
      </c>
      <c r="D1097" s="948">
        <v>97.487260194733452</v>
      </c>
      <c r="E1097">
        <v>40</v>
      </c>
      <c r="F1097">
        <v>37</v>
      </c>
    </row>
    <row r="1098" spans="1:6">
      <c r="A1098" s="3"/>
      <c r="B1098">
        <v>15000.1</v>
      </c>
      <c r="C1098">
        <v>18000</v>
      </c>
      <c r="D1098" s="948">
        <v>97.108122653342377</v>
      </c>
      <c r="E1098">
        <v>40</v>
      </c>
      <c r="F1098">
        <v>37</v>
      </c>
    </row>
    <row r="1099" spans="1:6">
      <c r="A1099" s="3"/>
      <c r="B1099">
        <v>18000.099999999999</v>
      </c>
      <c r="C1099">
        <v>20000</v>
      </c>
      <c r="D1099" s="948">
        <v>93.246542829484653</v>
      </c>
      <c r="E1099">
        <v>40</v>
      </c>
      <c r="F1099">
        <v>37</v>
      </c>
    </row>
    <row r="1100" spans="1:6">
      <c r="A1100" s="3"/>
      <c r="B1100">
        <v>20000.099999999999</v>
      </c>
      <c r="C1100">
        <v>24000</v>
      </c>
      <c r="D1100" s="948">
        <v>94.708080048348506</v>
      </c>
      <c r="E1100">
        <v>40</v>
      </c>
      <c r="F1100">
        <v>37</v>
      </c>
    </row>
    <row r="1101" spans="1:6">
      <c r="A1101" s="3"/>
      <c r="B1101">
        <v>24000.1</v>
      </c>
      <c r="C1101">
        <v>25000</v>
      </c>
      <c r="D1101" s="948">
        <v>92.553828193295317</v>
      </c>
      <c r="E1101">
        <v>40</v>
      </c>
      <c r="F1101">
        <v>37</v>
      </c>
    </row>
    <row r="1102" spans="1:6">
      <c r="A1102" s="3"/>
      <c r="B1102">
        <v>25000.1</v>
      </c>
      <c r="C1102">
        <v>30000</v>
      </c>
      <c r="D1102" s="948">
        <v>90.338307129170701</v>
      </c>
      <c r="E1102">
        <v>40</v>
      </c>
      <c r="F1102">
        <v>37</v>
      </c>
    </row>
    <row r="1103" spans="1:6">
      <c r="A1103" s="3"/>
      <c r="B1103">
        <v>30000.1</v>
      </c>
      <c r="C1103">
        <v>36000</v>
      </c>
      <c r="D1103" s="948">
        <v>90.041447180993472</v>
      </c>
      <c r="E1103">
        <v>40</v>
      </c>
      <c r="F1103">
        <v>37</v>
      </c>
    </row>
    <row r="1104" spans="1:6">
      <c r="A1104" s="3"/>
      <c r="B1104">
        <v>36000.1</v>
      </c>
      <c r="C1104">
        <v>42000</v>
      </c>
      <c r="D1104" s="948">
        <v>88.914423506689516</v>
      </c>
      <c r="E1104">
        <v>40</v>
      </c>
      <c r="F1104">
        <v>37</v>
      </c>
    </row>
    <row r="1105" spans="1:6">
      <c r="A1105" s="3"/>
      <c r="B1105">
        <v>42000.1</v>
      </c>
      <c r="C1105">
        <v>48000</v>
      </c>
      <c r="D1105" s="948">
        <v>88.479467175528967</v>
      </c>
      <c r="E1105">
        <v>40</v>
      </c>
      <c r="F1105">
        <v>37</v>
      </c>
    </row>
    <row r="1106" spans="1:6">
      <c r="A1106" s="3"/>
      <c r="B1106">
        <v>48000.1</v>
      </c>
      <c r="C1106">
        <v>50000</v>
      </c>
      <c r="D1106" s="948">
        <v>85.89116831075917</v>
      </c>
      <c r="E1106">
        <v>40</v>
      </c>
      <c r="F1106">
        <v>37</v>
      </c>
    </row>
    <row r="1107" spans="1:6">
      <c r="A1107" s="3"/>
      <c r="B1107">
        <v>50000.1</v>
      </c>
      <c r="C1107">
        <v>54000</v>
      </c>
      <c r="D1107" s="948">
        <v>86.097491763353631</v>
      </c>
      <c r="E1107">
        <v>40</v>
      </c>
      <c r="F1107">
        <v>37</v>
      </c>
    </row>
    <row r="1108" spans="1:6">
      <c r="A1108" s="3"/>
      <c r="B1108">
        <v>54000.1</v>
      </c>
      <c r="C1108">
        <v>60000</v>
      </c>
      <c r="D1108" s="948">
        <v>85.905352939687944</v>
      </c>
      <c r="E1108">
        <v>40</v>
      </c>
      <c r="F1108">
        <v>37</v>
      </c>
    </row>
    <row r="1109" spans="1:6">
      <c r="A1109" s="3"/>
      <c r="B1109">
        <v>60000.1</v>
      </c>
      <c r="C1109">
        <v>100000</v>
      </c>
      <c r="D1109" s="948">
        <v>82.041080305591748</v>
      </c>
      <c r="E1109">
        <v>40</v>
      </c>
      <c r="F1109">
        <v>37</v>
      </c>
    </row>
    <row r="1110" spans="1:6">
      <c r="A1110" s="3"/>
      <c r="B1110">
        <v>100000.1</v>
      </c>
      <c r="C1110">
        <v>200000</v>
      </c>
      <c r="D1110" s="948">
        <v>79.117503222271026</v>
      </c>
      <c r="E1110">
        <v>40</v>
      </c>
      <c r="F1110">
        <v>37</v>
      </c>
    </row>
    <row r="1111" spans="1:6">
      <c r="A1111" s="3"/>
      <c r="B1111">
        <v>200000.1</v>
      </c>
      <c r="C1111" t="s">
        <v>3873</v>
      </c>
      <c r="D1111" s="17"/>
    </row>
    <row r="1114" spans="1:6">
      <c r="A1114" s="949" t="s">
        <v>3875</v>
      </c>
      <c r="B1114" s="937" t="s">
        <v>4184</v>
      </c>
      <c r="C1114" s="950"/>
      <c r="D1114" s="951"/>
      <c r="E1114" s="950"/>
      <c r="F1114" s="950"/>
    </row>
    <row r="1115" spans="1:6">
      <c r="A1115" s="947">
        <v>3</v>
      </c>
      <c r="B1115" s="73" t="s">
        <v>4181</v>
      </c>
      <c r="C1115" s="73" t="s">
        <v>4182</v>
      </c>
      <c r="D1115" s="73" t="s">
        <v>3872</v>
      </c>
      <c r="E1115" s="73" t="s">
        <v>3865</v>
      </c>
      <c r="F1115" s="73" t="s">
        <v>3866</v>
      </c>
    </row>
    <row r="1116" spans="1:6">
      <c r="A1116" s="3" t="s">
        <v>4185</v>
      </c>
      <c r="B1116">
        <v>0</v>
      </c>
      <c r="C1116">
        <v>500</v>
      </c>
      <c r="D1116" s="948">
        <v>96.812325106916731</v>
      </c>
      <c r="E1116">
        <v>40</v>
      </c>
      <c r="F1116">
        <v>37</v>
      </c>
    </row>
    <row r="1117" spans="1:6">
      <c r="A1117" s="3"/>
      <c r="B1117">
        <v>500.1</v>
      </c>
      <c r="C1117">
        <v>1000</v>
      </c>
      <c r="D1117" s="948">
        <v>85.695132889157776</v>
      </c>
      <c r="E1117">
        <v>40</v>
      </c>
      <c r="F1117">
        <v>37</v>
      </c>
    </row>
    <row r="1118" spans="1:6">
      <c r="A1118" s="3"/>
      <c r="B1118">
        <v>1000.1</v>
      </c>
      <c r="C1118">
        <v>2000</v>
      </c>
      <c r="D1118" s="948">
        <v>79.902726370939661</v>
      </c>
      <c r="E1118">
        <v>40</v>
      </c>
      <c r="F1118">
        <v>37</v>
      </c>
    </row>
    <row r="1119" spans="1:6">
      <c r="A1119" s="3"/>
      <c r="B1119">
        <v>2000.1</v>
      </c>
      <c r="C1119">
        <v>3000</v>
      </c>
      <c r="D1119" s="948">
        <v>77.562022463174657</v>
      </c>
      <c r="E1119">
        <v>40</v>
      </c>
      <c r="F1119">
        <v>37</v>
      </c>
    </row>
    <row r="1120" spans="1:6">
      <c r="A1120" s="3"/>
      <c r="B1120">
        <v>3000.1</v>
      </c>
      <c r="C1120">
        <v>4000</v>
      </c>
      <c r="D1120" s="948">
        <v>73.888442053430978</v>
      </c>
      <c r="E1120">
        <v>40</v>
      </c>
      <c r="F1120">
        <v>37</v>
      </c>
    </row>
    <row r="1121" spans="1:6">
      <c r="A1121" s="3"/>
      <c r="B1121">
        <v>4000.1</v>
      </c>
      <c r="C1121">
        <v>5000</v>
      </c>
      <c r="D1121" s="948">
        <v>71.210649833158655</v>
      </c>
      <c r="E1121">
        <v>40</v>
      </c>
      <c r="F1121">
        <v>37</v>
      </c>
    </row>
    <row r="1122" spans="1:6">
      <c r="A1122" s="3"/>
      <c r="B1122">
        <v>5000.1000000000004</v>
      </c>
      <c r="C1122">
        <v>7500</v>
      </c>
      <c r="D1122" s="948">
        <v>68.754095256191349</v>
      </c>
      <c r="E1122">
        <v>40</v>
      </c>
      <c r="F1122">
        <v>37</v>
      </c>
    </row>
    <row r="1123" spans="1:6">
      <c r="A1123" s="3"/>
      <c r="B1123">
        <v>7500.1</v>
      </c>
      <c r="C1123">
        <v>8000</v>
      </c>
      <c r="D1123" s="948">
        <v>68.342791320755438</v>
      </c>
      <c r="E1123">
        <v>40</v>
      </c>
      <c r="F1123">
        <v>37</v>
      </c>
    </row>
    <row r="1124" spans="1:6">
      <c r="A1124" s="3"/>
      <c r="B1124">
        <v>8000.1</v>
      </c>
      <c r="C1124">
        <v>10000</v>
      </c>
      <c r="D1124" s="948">
        <v>65.677166848285296</v>
      </c>
      <c r="E1124">
        <v>40</v>
      </c>
      <c r="F1124">
        <v>37</v>
      </c>
    </row>
    <row r="1125" spans="1:6">
      <c r="A1125" s="3"/>
      <c r="B1125">
        <v>10000.1</v>
      </c>
      <c r="C1125">
        <v>12000</v>
      </c>
      <c r="D1125" s="948">
        <v>66.225667162447152</v>
      </c>
      <c r="E1125">
        <v>40</v>
      </c>
      <c r="F1125">
        <v>37</v>
      </c>
    </row>
    <row r="1126" spans="1:6">
      <c r="A1126" s="3"/>
      <c r="B1126">
        <v>12000.1</v>
      </c>
      <c r="C1126">
        <v>15000</v>
      </c>
      <c r="D1126" s="948">
        <v>63.962022393975595</v>
      </c>
      <c r="E1126">
        <v>40</v>
      </c>
      <c r="F1126">
        <v>37</v>
      </c>
    </row>
    <row r="1127" spans="1:6">
      <c r="A1127" s="3"/>
      <c r="B1127">
        <v>15000.1</v>
      </c>
      <c r="C1127">
        <v>18000</v>
      </c>
      <c r="D1127" s="948">
        <v>63.774970360904831</v>
      </c>
      <c r="E1127">
        <v>40</v>
      </c>
      <c r="F1127">
        <v>37</v>
      </c>
    </row>
    <row r="1128" spans="1:6">
      <c r="A1128" s="3"/>
      <c r="B1128">
        <v>18000.099999999999</v>
      </c>
      <c r="C1128">
        <v>20000</v>
      </c>
      <c r="D1128" s="948">
        <v>61.506399713827875</v>
      </c>
      <c r="E1128">
        <v>40</v>
      </c>
      <c r="F1128">
        <v>37</v>
      </c>
    </row>
    <row r="1129" spans="1:6">
      <c r="A1129" s="3"/>
      <c r="B1129">
        <v>20000.099999999999</v>
      </c>
      <c r="C1129">
        <v>24000</v>
      </c>
      <c r="D1129" s="948">
        <v>62.533501422015092</v>
      </c>
      <c r="E1129">
        <v>40</v>
      </c>
      <c r="F1129">
        <v>37</v>
      </c>
    </row>
    <row r="1130" spans="1:6">
      <c r="A1130" s="3"/>
      <c r="B1130">
        <v>24000.1</v>
      </c>
      <c r="C1130">
        <v>25000</v>
      </c>
      <c r="D1130" s="948">
        <v>61.704060174752492</v>
      </c>
      <c r="E1130">
        <v>40</v>
      </c>
      <c r="F1130">
        <v>37</v>
      </c>
    </row>
    <row r="1131" spans="1:6">
      <c r="A1131" s="3"/>
      <c r="B1131">
        <v>25000.1</v>
      </c>
      <c r="C1131">
        <v>30000</v>
      </c>
      <c r="D1131" s="948">
        <v>60.168928848565692</v>
      </c>
      <c r="E1131">
        <v>40</v>
      </c>
      <c r="F1131">
        <v>37</v>
      </c>
    </row>
    <row r="1132" spans="1:6">
      <c r="A1132" s="3"/>
      <c r="B1132">
        <v>30000.1</v>
      </c>
      <c r="C1132">
        <v>36000</v>
      </c>
      <c r="D1132" s="948">
        <v>60.263829094701443</v>
      </c>
      <c r="E1132">
        <v>40</v>
      </c>
      <c r="F1132">
        <v>37</v>
      </c>
    </row>
    <row r="1133" spans="1:6">
      <c r="A1133" s="3"/>
      <c r="B1133">
        <v>36000.1</v>
      </c>
      <c r="C1133">
        <v>42000</v>
      </c>
      <c r="D1133" s="948">
        <v>59.739422513108003</v>
      </c>
      <c r="E1133">
        <v>40</v>
      </c>
      <c r="F1133">
        <v>37</v>
      </c>
    </row>
    <row r="1134" spans="1:6">
      <c r="A1134" s="3"/>
      <c r="B1134">
        <v>42000.1</v>
      </c>
      <c r="C1134">
        <v>48000</v>
      </c>
      <c r="D1134" s="948">
        <v>59.54501465752233</v>
      </c>
      <c r="E1134">
        <v>40</v>
      </c>
      <c r="F1134">
        <v>37</v>
      </c>
    </row>
    <row r="1135" spans="1:6">
      <c r="A1135" s="3"/>
      <c r="B1135">
        <v>48000.1</v>
      </c>
      <c r="C1135">
        <v>50000</v>
      </c>
      <c r="D1135" s="948">
        <v>58.026379657538449</v>
      </c>
      <c r="E1135">
        <v>40</v>
      </c>
      <c r="F1135">
        <v>37</v>
      </c>
    </row>
    <row r="1136" spans="1:6">
      <c r="A1136" s="3"/>
      <c r="B1136">
        <v>50000.1</v>
      </c>
      <c r="C1136">
        <v>54000</v>
      </c>
      <c r="D1136" s="948">
        <v>58.038523930206111</v>
      </c>
      <c r="E1136">
        <v>40</v>
      </c>
      <c r="F1136">
        <v>37</v>
      </c>
    </row>
    <row r="1137" spans="1:6">
      <c r="A1137" s="3"/>
      <c r="B1137">
        <v>54000.1</v>
      </c>
      <c r="C1137">
        <v>60000</v>
      </c>
      <c r="D1137" s="948">
        <v>58.21329937756736</v>
      </c>
      <c r="E1137">
        <v>40</v>
      </c>
      <c r="F1137">
        <v>37</v>
      </c>
    </row>
    <row r="1138" spans="1:6">
      <c r="A1138" s="3"/>
      <c r="B1138">
        <v>60000.1</v>
      </c>
      <c r="C1138">
        <v>100000</v>
      </c>
      <c r="D1138" s="948">
        <v>56.179268642501221</v>
      </c>
      <c r="E1138">
        <v>40</v>
      </c>
      <c r="F1138">
        <v>37</v>
      </c>
    </row>
    <row r="1139" spans="1:6">
      <c r="A1139" s="3"/>
      <c r="B1139">
        <v>100000.1</v>
      </c>
      <c r="C1139">
        <v>200000</v>
      </c>
      <c r="D1139" s="948">
        <v>54.640406783156237</v>
      </c>
      <c r="E1139">
        <v>40</v>
      </c>
      <c r="F1139">
        <v>37</v>
      </c>
    </row>
    <row r="1140" spans="1:6">
      <c r="A1140" s="3"/>
      <c r="B1140">
        <v>200000.1</v>
      </c>
      <c r="C1140" t="s">
        <v>3873</v>
      </c>
      <c r="D1140" s="17"/>
    </row>
    <row r="1143" spans="1:6">
      <c r="A1143" s="949" t="s">
        <v>3875</v>
      </c>
      <c r="B1143" s="937" t="s">
        <v>4186</v>
      </c>
      <c r="C1143" s="950"/>
      <c r="D1143" s="951"/>
      <c r="E1143" s="950"/>
      <c r="F1143" s="950"/>
    </row>
    <row r="1144" spans="1:6">
      <c r="A1144" s="947">
        <v>3</v>
      </c>
      <c r="B1144" s="73" t="s">
        <v>4181</v>
      </c>
      <c r="C1144" s="73" t="s">
        <v>4182</v>
      </c>
      <c r="D1144" s="73" t="s">
        <v>3872</v>
      </c>
      <c r="E1144" s="73" t="s">
        <v>3865</v>
      </c>
      <c r="F1144" s="73" t="s">
        <v>3866</v>
      </c>
    </row>
    <row r="1145" spans="1:6">
      <c r="A1145" s="3" t="s">
        <v>4187</v>
      </c>
      <c r="B1145">
        <v>0</v>
      </c>
      <c r="C1145">
        <v>500</v>
      </c>
      <c r="D1145" s="948">
        <v>116.34576395640443</v>
      </c>
      <c r="E1145">
        <v>40</v>
      </c>
      <c r="F1145">
        <v>37</v>
      </c>
    </row>
    <row r="1146" spans="1:6">
      <c r="A1146" s="3"/>
      <c r="B1146">
        <v>500.1</v>
      </c>
      <c r="C1146">
        <v>1000</v>
      </c>
      <c r="D1146" s="948">
        <v>103.19344629810541</v>
      </c>
      <c r="E1146">
        <v>40</v>
      </c>
      <c r="F1146">
        <v>37</v>
      </c>
    </row>
    <row r="1147" spans="1:6">
      <c r="A1147" s="3"/>
      <c r="B1147">
        <v>1000.1</v>
      </c>
      <c r="C1147">
        <v>2000</v>
      </c>
      <c r="D1147" s="948">
        <v>96.04871059453717</v>
      </c>
      <c r="E1147">
        <v>40</v>
      </c>
      <c r="F1147">
        <v>37</v>
      </c>
    </row>
    <row r="1148" spans="1:6">
      <c r="A1148" s="3"/>
      <c r="B1148">
        <v>2000.1</v>
      </c>
      <c r="C1148">
        <v>3000</v>
      </c>
      <c r="D1148" s="948">
        <v>93.135677984524762</v>
      </c>
      <c r="E1148">
        <v>40</v>
      </c>
      <c r="F1148">
        <v>37</v>
      </c>
    </row>
    <row r="1149" spans="1:6">
      <c r="A1149" s="3"/>
      <c r="B1149">
        <v>3000.1</v>
      </c>
      <c r="C1149">
        <v>4000</v>
      </c>
      <c r="D1149" s="948">
        <v>88.775181990128956</v>
      </c>
      <c r="E1149">
        <v>40</v>
      </c>
      <c r="F1149">
        <v>37</v>
      </c>
    </row>
    <row r="1150" spans="1:6">
      <c r="A1150" s="3"/>
      <c r="B1150">
        <v>4000.1</v>
      </c>
      <c r="C1150">
        <v>5000</v>
      </c>
      <c r="D1150" s="948">
        <v>85.653754800953607</v>
      </c>
      <c r="E1150">
        <v>40</v>
      </c>
      <c r="F1150">
        <v>37</v>
      </c>
    </row>
    <row r="1151" spans="1:6">
      <c r="A1151" s="3"/>
      <c r="B1151">
        <v>5000.1000000000004</v>
      </c>
      <c r="C1151">
        <v>7500</v>
      </c>
      <c r="D1151" s="948">
        <v>82.125208477775175</v>
      </c>
      <c r="E1151">
        <v>40</v>
      </c>
      <c r="F1151">
        <v>37</v>
      </c>
    </row>
    <row r="1152" spans="1:6">
      <c r="A1152" s="3"/>
      <c r="B1152">
        <v>7500.1</v>
      </c>
      <c r="C1152">
        <v>8000</v>
      </c>
      <c r="D1152" s="948">
        <v>81.663115865254738</v>
      </c>
      <c r="E1152">
        <v>40</v>
      </c>
      <c r="F1152">
        <v>37</v>
      </c>
    </row>
    <row r="1153" spans="1:6">
      <c r="A1153" s="3"/>
      <c r="B1153">
        <v>8000.1</v>
      </c>
      <c r="C1153">
        <v>10000</v>
      </c>
      <c r="D1153" s="948">
        <v>78.673266907766262</v>
      </c>
      <c r="E1153">
        <v>40</v>
      </c>
      <c r="F1153">
        <v>37</v>
      </c>
    </row>
    <row r="1154" spans="1:6">
      <c r="A1154" s="3"/>
      <c r="B1154">
        <v>10000.1</v>
      </c>
      <c r="C1154">
        <v>12000</v>
      </c>
      <c r="D1154" s="948">
        <v>79.134249580788165</v>
      </c>
      <c r="E1154">
        <v>40</v>
      </c>
      <c r="F1154">
        <v>37</v>
      </c>
    </row>
    <row r="1155" spans="1:6">
      <c r="A1155" s="3"/>
      <c r="B1155">
        <v>12000.1</v>
      </c>
      <c r="C1155">
        <v>15000</v>
      </c>
      <c r="D1155" s="948">
        <v>76.416119325190365</v>
      </c>
      <c r="E1155">
        <v>40</v>
      </c>
      <c r="F1155">
        <v>37</v>
      </c>
    </row>
    <row r="1156" spans="1:6">
      <c r="A1156" s="3"/>
      <c r="B1156">
        <v>15000.1</v>
      </c>
      <c r="C1156">
        <v>18000</v>
      </c>
      <c r="D1156" s="948">
        <v>76.116806928585163</v>
      </c>
      <c r="E1156">
        <v>40</v>
      </c>
      <c r="F1156">
        <v>37</v>
      </c>
    </row>
    <row r="1157" spans="1:6">
      <c r="A1157" s="3"/>
      <c r="B1157">
        <v>18000.099999999999</v>
      </c>
      <c r="C1157">
        <v>20000</v>
      </c>
      <c r="D1157" s="948">
        <v>73.601730882546249</v>
      </c>
      <c r="E1157">
        <v>40</v>
      </c>
      <c r="F1157">
        <v>37</v>
      </c>
    </row>
    <row r="1158" spans="1:6">
      <c r="A1158" s="3"/>
      <c r="B1158">
        <v>20000.099999999999</v>
      </c>
      <c r="C1158">
        <v>24000</v>
      </c>
      <c r="D1158" s="948">
        <v>74.675352562661516</v>
      </c>
      <c r="E1158">
        <v>40</v>
      </c>
      <c r="F1158">
        <v>37</v>
      </c>
    </row>
    <row r="1159" spans="1:6">
      <c r="A1159" s="3"/>
      <c r="B1159">
        <v>24000.1</v>
      </c>
      <c r="C1159">
        <v>25000</v>
      </c>
      <c r="D1159" s="948">
        <v>73.708182823794161</v>
      </c>
      <c r="E1159">
        <v>40</v>
      </c>
      <c r="F1159">
        <v>37</v>
      </c>
    </row>
    <row r="1160" spans="1:6">
      <c r="A1160" s="3"/>
      <c r="B1160">
        <v>25000.1</v>
      </c>
      <c r="C1160">
        <v>30000</v>
      </c>
      <c r="D1160" s="948">
        <v>71.971198866715682</v>
      </c>
      <c r="E1160">
        <v>40</v>
      </c>
      <c r="F1160">
        <v>37</v>
      </c>
    </row>
    <row r="1161" spans="1:6">
      <c r="A1161" s="3"/>
      <c r="B1161">
        <v>30000.1</v>
      </c>
      <c r="C1161">
        <v>36000</v>
      </c>
      <c r="D1161" s="948">
        <v>72.021397991373973</v>
      </c>
      <c r="E1161">
        <v>40</v>
      </c>
      <c r="F1161">
        <v>37</v>
      </c>
    </row>
    <row r="1162" spans="1:6">
      <c r="A1162" s="3"/>
      <c r="B1162">
        <v>36000.1</v>
      </c>
      <c r="C1162">
        <v>42000</v>
      </c>
      <c r="D1162" s="948">
        <v>71.434644688721548</v>
      </c>
      <c r="E1162">
        <v>40</v>
      </c>
      <c r="F1162">
        <v>37</v>
      </c>
    </row>
    <row r="1163" spans="1:6">
      <c r="A1163" s="3"/>
      <c r="B1163">
        <v>42000.1</v>
      </c>
      <c r="C1163">
        <v>48000</v>
      </c>
      <c r="D1163" s="948">
        <v>71.222326845008411</v>
      </c>
      <c r="E1163">
        <v>40</v>
      </c>
      <c r="F1163">
        <v>37</v>
      </c>
    </row>
    <row r="1164" spans="1:6">
      <c r="A1164" s="3"/>
      <c r="B1164">
        <v>48000.1</v>
      </c>
      <c r="C1164">
        <v>50000</v>
      </c>
      <c r="D1164" s="948">
        <v>69.463600800159014</v>
      </c>
      <c r="E1164">
        <v>40</v>
      </c>
      <c r="F1164">
        <v>37</v>
      </c>
    </row>
    <row r="1165" spans="1:6">
      <c r="A1165" s="3"/>
      <c r="B1165">
        <v>50000.1</v>
      </c>
      <c r="C1165">
        <v>54000</v>
      </c>
      <c r="D1165" s="948">
        <v>69.496533272752387</v>
      </c>
      <c r="E1165">
        <v>40</v>
      </c>
      <c r="F1165">
        <v>37</v>
      </c>
    </row>
    <row r="1166" spans="1:6">
      <c r="A1166" s="3"/>
      <c r="B1166">
        <v>54000.1</v>
      </c>
      <c r="C1166">
        <v>60000</v>
      </c>
      <c r="D1166" s="948">
        <v>69.632777066852483</v>
      </c>
      <c r="E1166">
        <v>40</v>
      </c>
      <c r="F1166">
        <v>37</v>
      </c>
    </row>
    <row r="1167" spans="1:6">
      <c r="A1167" s="3"/>
      <c r="B1167">
        <v>60000.1</v>
      </c>
      <c r="C1167">
        <v>100000</v>
      </c>
      <c r="D1167" s="948">
        <v>67.290512754671852</v>
      </c>
      <c r="E1167">
        <v>40</v>
      </c>
      <c r="F1167">
        <v>37</v>
      </c>
    </row>
    <row r="1168" spans="1:6">
      <c r="A1168" s="3"/>
      <c r="B1168">
        <v>100000.1</v>
      </c>
      <c r="C1168">
        <v>200000</v>
      </c>
      <c r="D1168" s="948">
        <v>65.539760978220841</v>
      </c>
      <c r="E1168">
        <v>40</v>
      </c>
      <c r="F1168">
        <v>37</v>
      </c>
    </row>
    <row r="1169" spans="1:6">
      <c r="A1169" s="3"/>
      <c r="B1169">
        <v>200000.1</v>
      </c>
      <c r="C1169" t="s">
        <v>3873</v>
      </c>
      <c r="D1169" s="17"/>
    </row>
    <row r="1172" spans="1:6">
      <c r="A1172" s="949" t="s">
        <v>3875</v>
      </c>
      <c r="B1172" s="937" t="s">
        <v>1220</v>
      </c>
      <c r="C1172" s="950"/>
      <c r="D1172" s="951"/>
      <c r="E1172" s="950"/>
      <c r="F1172" s="950"/>
    </row>
    <row r="1173" spans="1:6">
      <c r="A1173" s="947">
        <v>3</v>
      </c>
      <c r="B1173" s="73" t="s">
        <v>4181</v>
      </c>
      <c r="C1173" s="73" t="s">
        <v>4182</v>
      </c>
      <c r="D1173" s="73" t="s">
        <v>3872</v>
      </c>
      <c r="E1173" s="73" t="s">
        <v>3865</v>
      </c>
      <c r="F1173" s="73" t="s">
        <v>3866</v>
      </c>
    </row>
    <row r="1174" spans="1:6">
      <c r="A1174" s="3" t="s">
        <v>4188</v>
      </c>
      <c r="B1174">
        <v>0</v>
      </c>
      <c r="C1174">
        <v>500</v>
      </c>
      <c r="D1174" s="948">
        <v>50.742289444355997</v>
      </c>
      <c r="E1174">
        <v>25</v>
      </c>
      <c r="F1174">
        <v>20</v>
      </c>
    </row>
    <row r="1175" spans="1:6">
      <c r="A1175" s="3"/>
      <c r="B1175">
        <v>500.1</v>
      </c>
      <c r="C1175" t="s">
        <v>3873</v>
      </c>
      <c r="D1175" s="948" t="s">
        <v>3873</v>
      </c>
    </row>
    <row r="1178" spans="1:6">
      <c r="A1178" s="949" t="s">
        <v>4189</v>
      </c>
      <c r="B1178" s="937" t="s">
        <v>1187</v>
      </c>
      <c r="C1178" s="950"/>
      <c r="D1178" s="951"/>
      <c r="E1178" s="950"/>
      <c r="F1178" s="950"/>
    </row>
    <row r="1179" spans="1:6">
      <c r="A1179" s="947">
        <v>34</v>
      </c>
      <c r="B1179" s="73" t="s">
        <v>4190</v>
      </c>
      <c r="C1179" s="73" t="s">
        <v>1143</v>
      </c>
      <c r="D1179" s="73" t="s">
        <v>3872</v>
      </c>
      <c r="E1179" s="73" t="s">
        <v>3865</v>
      </c>
      <c r="F1179" s="73" t="s">
        <v>3866</v>
      </c>
    </row>
    <row r="1180" spans="1:6">
      <c r="A1180" s="3" t="s">
        <v>4191</v>
      </c>
      <c r="B1180">
        <v>0</v>
      </c>
      <c r="C1180">
        <v>3.33</v>
      </c>
      <c r="D1180" s="948">
        <v>9610</v>
      </c>
      <c r="E1180">
        <v>25</v>
      </c>
      <c r="F1180">
        <v>20</v>
      </c>
    </row>
    <row r="1181" spans="1:6">
      <c r="B1181">
        <v>3.34</v>
      </c>
      <c r="C1181">
        <v>66.66</v>
      </c>
      <c r="D1181" s="948">
        <v>262200</v>
      </c>
      <c r="E1181">
        <v>25</v>
      </c>
      <c r="F1181">
        <v>20</v>
      </c>
    </row>
    <row r="1182" spans="1:6">
      <c r="B1182">
        <v>66.67</v>
      </c>
      <c r="C1182">
        <v>113.32</v>
      </c>
      <c r="D1182" s="948">
        <v>509000</v>
      </c>
      <c r="E1182">
        <v>25</v>
      </c>
      <c r="F1182">
        <v>20</v>
      </c>
    </row>
    <row r="1183" spans="1:6">
      <c r="B1183">
        <v>113.33</v>
      </c>
      <c r="C1183" t="s">
        <v>3873</v>
      </c>
      <c r="D1183" s="948" t="s">
        <v>3873</v>
      </c>
      <c r="E1183">
        <v>25</v>
      </c>
      <c r="F1183">
        <v>20</v>
      </c>
    </row>
    <row r="1186" spans="1:6">
      <c r="A1186" s="949" t="s">
        <v>4192</v>
      </c>
      <c r="B1186" s="937" t="s">
        <v>4193</v>
      </c>
      <c r="C1186" s="950"/>
      <c r="D1186" s="951"/>
      <c r="E1186" s="950"/>
      <c r="F1186" s="950"/>
    </row>
    <row r="1187" spans="1:6">
      <c r="A1187" s="947">
        <v>22</v>
      </c>
      <c r="B1187" s="73" t="s">
        <v>4194</v>
      </c>
      <c r="C1187" s="73" t="s">
        <v>1129</v>
      </c>
      <c r="D1187" s="73" t="s">
        <v>3872</v>
      </c>
      <c r="E1187" s="73" t="s">
        <v>3865</v>
      </c>
      <c r="F1187" s="73" t="s">
        <v>3866</v>
      </c>
    </row>
    <row r="1188" spans="1:6">
      <c r="A1188" s="3" t="s">
        <v>4195</v>
      </c>
      <c r="B1188">
        <v>0</v>
      </c>
      <c r="C1188">
        <v>41</v>
      </c>
      <c r="D1188" s="948">
        <v>20050</v>
      </c>
      <c r="E1188">
        <v>25</v>
      </c>
      <c r="F1188">
        <v>20</v>
      </c>
    </row>
    <row r="1189" spans="1:6">
      <c r="B1189">
        <v>41.1</v>
      </c>
      <c r="C1189">
        <v>103</v>
      </c>
      <c r="D1189" s="948">
        <v>53000</v>
      </c>
      <c r="E1189">
        <v>25</v>
      </c>
      <c r="F1189">
        <v>20</v>
      </c>
    </row>
    <row r="1190" spans="1:6">
      <c r="B1190">
        <v>103.1</v>
      </c>
      <c r="C1190">
        <v>461</v>
      </c>
      <c r="D1190" s="948">
        <v>80828.800000000003</v>
      </c>
      <c r="E1190">
        <v>25</v>
      </c>
      <c r="F1190">
        <v>20</v>
      </c>
    </row>
    <row r="1191" spans="1:6">
      <c r="B1191">
        <v>461.1</v>
      </c>
      <c r="C1191">
        <v>820</v>
      </c>
      <c r="D1191" s="948">
        <v>186250</v>
      </c>
      <c r="E1191">
        <v>25</v>
      </c>
      <c r="F1191">
        <v>20</v>
      </c>
    </row>
    <row r="1192" spans="1:6">
      <c r="B1192">
        <v>820.1</v>
      </c>
      <c r="C1192">
        <v>1010</v>
      </c>
      <c r="D1192" s="948">
        <v>240870</v>
      </c>
      <c r="E1192">
        <v>25</v>
      </c>
      <c r="F1192">
        <v>20</v>
      </c>
    </row>
    <row r="1193" spans="1:6">
      <c r="B1193">
        <v>1010.1</v>
      </c>
      <c r="C1193">
        <v>1432</v>
      </c>
      <c r="D1193" s="948">
        <v>335385</v>
      </c>
      <c r="E1193">
        <v>25</v>
      </c>
      <c r="F1193">
        <v>20</v>
      </c>
    </row>
    <row r="1194" spans="1:6">
      <c r="B1194">
        <v>1432.1</v>
      </c>
      <c r="C1194">
        <v>2273</v>
      </c>
      <c r="D1194" s="948">
        <v>422280</v>
      </c>
      <c r="E1194">
        <v>25</v>
      </c>
      <c r="F1194">
        <v>20</v>
      </c>
    </row>
    <row r="1195" spans="1:6">
      <c r="B1195">
        <v>2273.1</v>
      </c>
      <c r="C1195">
        <v>3071</v>
      </c>
      <c r="D1195" s="948">
        <v>602965</v>
      </c>
      <c r="E1195">
        <v>25</v>
      </c>
      <c r="F1195">
        <v>20</v>
      </c>
    </row>
    <row r="1196" spans="1:6">
      <c r="B1196">
        <v>3071.1</v>
      </c>
      <c r="C1196">
        <v>6148</v>
      </c>
      <c r="D1196" s="948">
        <v>1026523</v>
      </c>
      <c r="E1196">
        <v>25</v>
      </c>
      <c r="F1196">
        <v>20</v>
      </c>
    </row>
    <row r="1197" spans="1:6">
      <c r="B1197">
        <v>6148.1</v>
      </c>
      <c r="C1197" t="s">
        <v>3873</v>
      </c>
      <c r="D1197" s="948" t="s">
        <v>3873</v>
      </c>
      <c r="E1197">
        <v>25</v>
      </c>
      <c r="F1197">
        <v>20</v>
      </c>
    </row>
    <row r="1200" spans="1:6">
      <c r="A1200" s="949" t="s">
        <v>4192</v>
      </c>
      <c r="B1200" s="937" t="s">
        <v>726</v>
      </c>
      <c r="C1200" s="950"/>
      <c r="D1200" s="951"/>
      <c r="E1200" s="950"/>
      <c r="F1200" s="950"/>
    </row>
    <row r="1201" spans="1:6">
      <c r="A1201" s="947">
        <v>22</v>
      </c>
      <c r="B1201" s="73" t="s">
        <v>4194</v>
      </c>
      <c r="C1201" s="73" t="s">
        <v>1129</v>
      </c>
      <c r="D1201" s="73" t="s">
        <v>3872</v>
      </c>
      <c r="E1201" s="73" t="s">
        <v>3865</v>
      </c>
      <c r="F1201" s="73" t="s">
        <v>3866</v>
      </c>
    </row>
    <row r="1202" spans="1:6">
      <c r="A1202" s="3" t="s">
        <v>4196</v>
      </c>
      <c r="B1202">
        <v>0</v>
      </c>
      <c r="C1202">
        <v>80</v>
      </c>
      <c r="D1202" s="948">
        <v>28108.899999999998</v>
      </c>
      <c r="E1202">
        <v>25</v>
      </c>
      <c r="F1202">
        <v>20</v>
      </c>
    </row>
    <row r="1203" spans="1:6">
      <c r="B1203">
        <v>80.099999999999994</v>
      </c>
      <c r="C1203">
        <v>163</v>
      </c>
      <c r="D1203" s="948">
        <v>36915</v>
      </c>
      <c r="E1203">
        <v>25</v>
      </c>
      <c r="F1203">
        <v>20</v>
      </c>
    </row>
    <row r="1204" spans="1:6">
      <c r="B1204">
        <v>163.1</v>
      </c>
      <c r="C1204">
        <v>544</v>
      </c>
      <c r="D1204" s="948">
        <v>88087.5</v>
      </c>
      <c r="E1204">
        <v>25</v>
      </c>
      <c r="F1204">
        <v>20</v>
      </c>
    </row>
    <row r="1205" spans="1:6">
      <c r="B1205">
        <v>544.1</v>
      </c>
      <c r="C1205">
        <v>1088</v>
      </c>
      <c r="D1205" s="948">
        <v>159500</v>
      </c>
      <c r="E1205">
        <v>25</v>
      </c>
      <c r="F1205">
        <v>20</v>
      </c>
    </row>
    <row r="1206" spans="1:6">
      <c r="B1206">
        <v>1088.0999999999999</v>
      </c>
      <c r="C1206">
        <v>3264</v>
      </c>
      <c r="D1206" s="948">
        <v>370185</v>
      </c>
      <c r="E1206">
        <v>25</v>
      </c>
      <c r="F1206">
        <v>20</v>
      </c>
    </row>
    <row r="1207" spans="1:6">
      <c r="B1207">
        <v>3264.1</v>
      </c>
      <c r="C1207">
        <v>5032</v>
      </c>
      <c r="D1207" s="948">
        <v>612623</v>
      </c>
      <c r="E1207">
        <v>25</v>
      </c>
      <c r="F1207">
        <v>20</v>
      </c>
    </row>
    <row r="1208" spans="1:6">
      <c r="B1208">
        <v>5032.1000000000004</v>
      </c>
      <c r="C1208" t="s">
        <v>3873</v>
      </c>
      <c r="D1208" s="948" t="s">
        <v>3873</v>
      </c>
      <c r="E1208">
        <v>25</v>
      </c>
      <c r="F1208">
        <v>20</v>
      </c>
    </row>
    <row r="1211" spans="1:6">
      <c r="A1211" s="949" t="s">
        <v>4192</v>
      </c>
      <c r="B1211" s="937" t="s">
        <v>725</v>
      </c>
      <c r="C1211" s="950"/>
      <c r="D1211" s="951"/>
      <c r="E1211" s="950"/>
      <c r="F1211" s="950"/>
    </row>
    <row r="1212" spans="1:6">
      <c r="A1212" s="947">
        <v>22</v>
      </c>
      <c r="B1212" s="73" t="s">
        <v>4194</v>
      </c>
      <c r="C1212" s="73" t="s">
        <v>1129</v>
      </c>
      <c r="D1212" s="73" t="s">
        <v>3872</v>
      </c>
      <c r="E1212" s="73" t="s">
        <v>3865</v>
      </c>
      <c r="F1212" s="73" t="s">
        <v>3866</v>
      </c>
    </row>
    <row r="1213" spans="1:6">
      <c r="A1213" s="3" t="s">
        <v>4197</v>
      </c>
      <c r="B1213">
        <v>0</v>
      </c>
      <c r="C1213">
        <v>80</v>
      </c>
      <c r="D1213" s="948">
        <v>28108.899999999998</v>
      </c>
      <c r="E1213">
        <v>25</v>
      </c>
      <c r="F1213">
        <v>20</v>
      </c>
    </row>
    <row r="1214" spans="1:6">
      <c r="B1214">
        <v>80.099999999999994</v>
      </c>
      <c r="C1214">
        <v>163</v>
      </c>
      <c r="D1214" s="948">
        <v>36915</v>
      </c>
      <c r="E1214">
        <v>25</v>
      </c>
      <c r="F1214">
        <v>20</v>
      </c>
    </row>
    <row r="1215" spans="1:6">
      <c r="B1215">
        <v>163.1</v>
      </c>
      <c r="C1215">
        <v>544</v>
      </c>
      <c r="D1215" s="948">
        <v>88087.5</v>
      </c>
      <c r="E1215">
        <v>25</v>
      </c>
      <c r="F1215">
        <v>20</v>
      </c>
    </row>
    <row r="1216" spans="1:6">
      <c r="B1216">
        <v>544.1</v>
      </c>
      <c r="C1216">
        <v>1088</v>
      </c>
      <c r="D1216" s="948">
        <v>159500</v>
      </c>
      <c r="E1216">
        <v>25</v>
      </c>
      <c r="F1216">
        <v>20</v>
      </c>
    </row>
    <row r="1217" spans="1:6">
      <c r="B1217">
        <v>1088.0999999999999</v>
      </c>
      <c r="C1217">
        <v>3264</v>
      </c>
      <c r="D1217" s="948">
        <v>370185</v>
      </c>
      <c r="E1217">
        <v>25</v>
      </c>
      <c r="F1217">
        <v>20</v>
      </c>
    </row>
    <row r="1218" spans="1:6">
      <c r="B1218">
        <v>3264.1</v>
      </c>
      <c r="C1218">
        <v>5032</v>
      </c>
      <c r="D1218" s="948">
        <v>612623</v>
      </c>
      <c r="E1218">
        <v>25</v>
      </c>
      <c r="F1218">
        <v>20</v>
      </c>
    </row>
    <row r="1219" spans="1:6">
      <c r="B1219">
        <v>5032.1000000000004</v>
      </c>
      <c r="C1219" t="s">
        <v>3873</v>
      </c>
      <c r="D1219" s="948" t="s">
        <v>3873</v>
      </c>
      <c r="E1219">
        <v>25</v>
      </c>
      <c r="F1219">
        <v>20</v>
      </c>
    </row>
    <row r="1222" spans="1:6">
      <c r="A1222" s="949" t="s">
        <v>4189</v>
      </c>
      <c r="B1222" s="937" t="s">
        <v>611</v>
      </c>
      <c r="C1222" s="950"/>
      <c r="D1222" s="951"/>
      <c r="E1222" s="950"/>
      <c r="F1222" s="950"/>
    </row>
    <row r="1223" spans="1:6">
      <c r="A1223" s="947">
        <v>34</v>
      </c>
      <c r="B1223" s="73" t="s">
        <v>4190</v>
      </c>
      <c r="C1223" s="73" t="s">
        <v>1143</v>
      </c>
      <c r="D1223" s="73" t="s">
        <v>3872</v>
      </c>
      <c r="E1223" s="73" t="s">
        <v>3865</v>
      </c>
      <c r="F1223" s="73" t="s">
        <v>3866</v>
      </c>
    </row>
    <row r="1224" spans="1:6">
      <c r="A1224" s="3" t="s">
        <v>4199</v>
      </c>
      <c r="B1224" s="414">
        <v>0</v>
      </c>
      <c r="C1224">
        <v>0.5</v>
      </c>
      <c r="D1224" s="17">
        <v>3300</v>
      </c>
      <c r="E1224">
        <v>25</v>
      </c>
      <c r="F1224">
        <v>20</v>
      </c>
    </row>
    <row r="1225" spans="1:6">
      <c r="A1225" s="3"/>
      <c r="B1225" s="414">
        <v>0.51</v>
      </c>
      <c r="C1225">
        <v>0.75</v>
      </c>
      <c r="D1225" s="17">
        <v>3500</v>
      </c>
      <c r="E1225">
        <v>25</v>
      </c>
      <c r="F1225">
        <v>20</v>
      </c>
    </row>
    <row r="1226" spans="1:6">
      <c r="A1226" s="3"/>
      <c r="B1226" s="414">
        <v>0.76</v>
      </c>
      <c r="C1226">
        <v>1</v>
      </c>
      <c r="D1226" s="17">
        <v>3862.5</v>
      </c>
      <c r="E1226">
        <v>25</v>
      </c>
      <c r="F1226">
        <v>20</v>
      </c>
    </row>
    <row r="1227" spans="1:6">
      <c r="A1227" s="3"/>
      <c r="B1227" s="414">
        <v>1.01</v>
      </c>
      <c r="C1227">
        <v>1.5</v>
      </c>
      <c r="D1227" s="17">
        <v>3862.5</v>
      </c>
      <c r="E1227">
        <v>25</v>
      </c>
      <c r="F1227">
        <v>20</v>
      </c>
    </row>
    <row r="1228" spans="1:6">
      <c r="A1228" s="3"/>
      <c r="B1228" s="414">
        <v>1.51</v>
      </c>
      <c r="C1228">
        <v>2</v>
      </c>
      <c r="D1228" s="17">
        <v>4150</v>
      </c>
      <c r="E1228">
        <v>25</v>
      </c>
      <c r="F1228">
        <v>20</v>
      </c>
    </row>
    <row r="1229" spans="1:6">
      <c r="A1229" s="3"/>
      <c r="B1229" s="414">
        <v>2.0099999999999998</v>
      </c>
      <c r="C1229">
        <v>2.5</v>
      </c>
      <c r="D1229" s="17">
        <v>5550</v>
      </c>
      <c r="E1229">
        <v>25</v>
      </c>
      <c r="F1229">
        <v>20</v>
      </c>
    </row>
    <row r="1230" spans="1:6">
      <c r="A1230" s="3"/>
      <c r="B1230" s="414">
        <v>2.5099999999999998</v>
      </c>
      <c r="C1230">
        <v>3</v>
      </c>
      <c r="D1230" s="17">
        <v>6300</v>
      </c>
      <c r="E1230">
        <v>25</v>
      </c>
      <c r="F1230">
        <v>20</v>
      </c>
    </row>
    <row r="1231" spans="1:6">
      <c r="A1231" s="3"/>
      <c r="B1231" s="414">
        <v>3.01</v>
      </c>
      <c r="C1231">
        <v>3.5</v>
      </c>
      <c r="D1231" s="17">
        <v>5250</v>
      </c>
      <c r="E1231">
        <v>25</v>
      </c>
      <c r="F1231">
        <v>20</v>
      </c>
    </row>
    <row r="1232" spans="1:6">
      <c r="A1232" s="3"/>
      <c r="B1232" s="414">
        <v>3.51</v>
      </c>
      <c r="C1232">
        <v>4</v>
      </c>
      <c r="D1232" s="17">
        <v>5750</v>
      </c>
      <c r="E1232">
        <v>25</v>
      </c>
      <c r="F1232">
        <v>20</v>
      </c>
    </row>
    <row r="1233" spans="1:6">
      <c r="A1233" s="3"/>
      <c r="B1233" s="414">
        <v>4.01</v>
      </c>
      <c r="C1233">
        <v>5</v>
      </c>
      <c r="D1233" s="17">
        <v>6762.5</v>
      </c>
      <c r="E1233">
        <v>25</v>
      </c>
      <c r="F1233">
        <v>20</v>
      </c>
    </row>
    <row r="1234" spans="1:6">
      <c r="A1234" s="3"/>
      <c r="B1234" s="414">
        <v>5.01</v>
      </c>
      <c r="C1234">
        <v>7.5</v>
      </c>
      <c r="D1234" s="17">
        <v>11350</v>
      </c>
      <c r="E1234">
        <v>25</v>
      </c>
      <c r="F1234">
        <v>20</v>
      </c>
    </row>
    <row r="1235" spans="1:6">
      <c r="A1235" s="3"/>
      <c r="B1235" s="414">
        <v>7.51</v>
      </c>
      <c r="C1235">
        <v>10</v>
      </c>
      <c r="D1235" s="17">
        <v>13700</v>
      </c>
      <c r="E1235">
        <v>25</v>
      </c>
      <c r="F1235">
        <v>20</v>
      </c>
    </row>
    <row r="1236" spans="1:6">
      <c r="A1236" s="3" t="s">
        <v>4198</v>
      </c>
      <c r="B1236" s="414">
        <v>10.01</v>
      </c>
      <c r="C1236">
        <v>12</v>
      </c>
      <c r="D1236" s="17">
        <v>19700</v>
      </c>
      <c r="E1236">
        <v>25</v>
      </c>
      <c r="F1236">
        <v>20</v>
      </c>
    </row>
    <row r="1237" spans="1:6">
      <c r="A1237" s="3"/>
      <c r="B1237" s="414">
        <v>12.01</v>
      </c>
      <c r="C1237">
        <v>15</v>
      </c>
      <c r="D1237" s="17">
        <v>21900</v>
      </c>
      <c r="E1237">
        <v>25</v>
      </c>
      <c r="F1237">
        <v>20</v>
      </c>
    </row>
    <row r="1238" spans="1:6">
      <c r="B1238" s="414">
        <v>15.01</v>
      </c>
      <c r="C1238">
        <v>20</v>
      </c>
      <c r="D1238" s="17">
        <v>24100</v>
      </c>
      <c r="E1238">
        <v>25</v>
      </c>
      <c r="F1238">
        <v>20</v>
      </c>
    </row>
    <row r="1239" spans="1:6">
      <c r="B1239" s="414">
        <v>20.010000000000002</v>
      </c>
      <c r="C1239">
        <v>25</v>
      </c>
      <c r="D1239" s="17">
        <v>32400</v>
      </c>
      <c r="E1239">
        <v>25</v>
      </c>
      <c r="F1239">
        <v>20</v>
      </c>
    </row>
    <row r="1240" spans="1:6">
      <c r="B1240" s="414">
        <v>25.01</v>
      </c>
      <c r="C1240">
        <v>30</v>
      </c>
      <c r="D1240" s="17">
        <v>37400</v>
      </c>
      <c r="E1240">
        <v>25</v>
      </c>
      <c r="F1240">
        <v>20</v>
      </c>
    </row>
    <row r="1241" spans="1:6">
      <c r="B1241" s="414">
        <v>30.01</v>
      </c>
      <c r="C1241">
        <v>40</v>
      </c>
      <c r="D1241" s="17">
        <v>50000</v>
      </c>
      <c r="E1241">
        <v>25</v>
      </c>
      <c r="F1241">
        <v>20</v>
      </c>
    </row>
    <row r="1242" spans="1:6">
      <c r="B1242" s="414">
        <v>40.01</v>
      </c>
      <c r="C1242">
        <v>50</v>
      </c>
      <c r="D1242" s="17">
        <v>59500</v>
      </c>
      <c r="E1242">
        <v>25</v>
      </c>
      <c r="F1242">
        <v>20</v>
      </c>
    </row>
    <row r="1243" spans="1:6">
      <c r="B1243" s="414">
        <v>50.01</v>
      </c>
      <c r="C1243" t="s">
        <v>3873</v>
      </c>
      <c r="D1243" s="17" t="s">
        <v>3873</v>
      </c>
    </row>
    <row r="1246" spans="1:6">
      <c r="A1246" s="949" t="s">
        <v>4192</v>
      </c>
      <c r="B1246" s="937" t="s">
        <v>1298</v>
      </c>
      <c r="C1246" s="950"/>
      <c r="D1246" s="951"/>
      <c r="E1246" s="950"/>
      <c r="F1246" s="950"/>
    </row>
    <row r="1247" spans="1:6">
      <c r="A1247" s="947">
        <v>22</v>
      </c>
      <c r="B1247" s="73" t="s">
        <v>4194</v>
      </c>
      <c r="C1247" s="73" t="s">
        <v>1129</v>
      </c>
      <c r="D1247" s="73" t="s">
        <v>3872</v>
      </c>
      <c r="E1247" s="73" t="s">
        <v>3865</v>
      </c>
      <c r="F1247" s="73" t="s">
        <v>3866</v>
      </c>
    </row>
    <row r="1248" spans="1:6">
      <c r="A1248" s="3" t="s">
        <v>4200</v>
      </c>
      <c r="B1248">
        <v>0</v>
      </c>
      <c r="C1248">
        <v>109</v>
      </c>
      <c r="D1248" s="948">
        <v>38340</v>
      </c>
      <c r="E1248">
        <v>25</v>
      </c>
      <c r="F1248">
        <v>20</v>
      </c>
    </row>
    <row r="1249" spans="1:6">
      <c r="B1249">
        <v>109.1</v>
      </c>
      <c r="C1249">
        <v>235</v>
      </c>
      <c r="D1249" s="948">
        <v>51502.500000000007</v>
      </c>
      <c r="E1249">
        <v>25</v>
      </c>
      <c r="F1249">
        <v>20</v>
      </c>
    </row>
    <row r="1250" spans="1:6">
      <c r="B1250">
        <v>235.1</v>
      </c>
      <c r="C1250">
        <v>940</v>
      </c>
      <c r="D1250" s="948">
        <v>145625</v>
      </c>
      <c r="E1250">
        <v>25</v>
      </c>
      <c r="F1250">
        <v>20</v>
      </c>
    </row>
    <row r="1251" spans="1:6">
      <c r="B1251">
        <v>940.1</v>
      </c>
      <c r="C1251">
        <v>1600</v>
      </c>
      <c r="D1251" s="948">
        <v>224928</v>
      </c>
      <c r="E1251">
        <v>25</v>
      </c>
      <c r="F1251">
        <v>20</v>
      </c>
    </row>
    <row r="1252" spans="1:6">
      <c r="B1252">
        <v>1600.1</v>
      </c>
      <c r="C1252">
        <v>2480</v>
      </c>
      <c r="D1252" s="948">
        <v>318753</v>
      </c>
      <c r="E1252">
        <v>25</v>
      </c>
      <c r="F1252">
        <v>20</v>
      </c>
    </row>
    <row r="1253" spans="1:6">
      <c r="B1253">
        <v>2480.1</v>
      </c>
      <c r="C1253">
        <v>3350</v>
      </c>
      <c r="D1253" s="948">
        <v>430315</v>
      </c>
      <c r="E1253">
        <v>25</v>
      </c>
      <c r="F1253">
        <v>20</v>
      </c>
    </row>
    <row r="1254" spans="1:6">
      <c r="B1254">
        <v>3350.1</v>
      </c>
      <c r="C1254" t="s">
        <v>3873</v>
      </c>
      <c r="D1254" s="948" t="s">
        <v>3873</v>
      </c>
      <c r="E1254">
        <v>25</v>
      </c>
      <c r="F1254">
        <v>20</v>
      </c>
    </row>
    <row r="1257" spans="1:6">
      <c r="A1257" s="949" t="s">
        <v>4192</v>
      </c>
      <c r="B1257" s="937" t="s">
        <v>1297</v>
      </c>
      <c r="C1257" s="950"/>
      <c r="D1257" s="951"/>
      <c r="E1257" s="950"/>
      <c r="F1257" s="950"/>
    </row>
    <row r="1258" spans="1:6">
      <c r="A1258" s="947">
        <v>22</v>
      </c>
      <c r="B1258" s="73" t="s">
        <v>4194</v>
      </c>
      <c r="C1258" s="73" t="s">
        <v>1129</v>
      </c>
      <c r="D1258" s="73" t="s">
        <v>3872</v>
      </c>
      <c r="E1258" s="73" t="s">
        <v>3865</v>
      </c>
      <c r="F1258" s="73" t="s">
        <v>3866</v>
      </c>
    </row>
    <row r="1259" spans="1:6">
      <c r="A1259" s="3" t="s">
        <v>4201</v>
      </c>
      <c r="B1259">
        <v>0</v>
      </c>
      <c r="C1259">
        <v>109</v>
      </c>
      <c r="D1259" s="948">
        <v>38340</v>
      </c>
      <c r="E1259">
        <v>25</v>
      </c>
      <c r="F1259">
        <v>20</v>
      </c>
    </row>
    <row r="1260" spans="1:6">
      <c r="B1260">
        <v>109.1</v>
      </c>
      <c r="C1260">
        <v>235</v>
      </c>
      <c r="D1260" s="948">
        <v>51502.500000000007</v>
      </c>
      <c r="E1260">
        <v>25</v>
      </c>
      <c r="F1260">
        <v>20</v>
      </c>
    </row>
    <row r="1261" spans="1:6">
      <c r="B1261">
        <v>235.1</v>
      </c>
      <c r="C1261">
        <v>940</v>
      </c>
      <c r="D1261" s="948">
        <v>145625</v>
      </c>
      <c r="E1261">
        <v>25</v>
      </c>
      <c r="F1261">
        <v>20</v>
      </c>
    </row>
    <row r="1262" spans="1:6">
      <c r="B1262">
        <v>940.1</v>
      </c>
      <c r="C1262">
        <v>1600</v>
      </c>
      <c r="D1262" s="948">
        <v>224928</v>
      </c>
      <c r="E1262">
        <v>25</v>
      </c>
      <c r="F1262">
        <v>20</v>
      </c>
    </row>
    <row r="1263" spans="1:6">
      <c r="B1263">
        <v>1600.1</v>
      </c>
      <c r="C1263">
        <v>2480</v>
      </c>
      <c r="D1263" s="948">
        <v>318753</v>
      </c>
      <c r="E1263">
        <v>25</v>
      </c>
      <c r="F1263">
        <v>20</v>
      </c>
    </row>
    <row r="1264" spans="1:6">
      <c r="B1264">
        <v>2480.1</v>
      </c>
      <c r="C1264">
        <v>3350</v>
      </c>
      <c r="D1264" s="948">
        <v>430315</v>
      </c>
      <c r="E1264">
        <v>25</v>
      </c>
      <c r="F1264">
        <v>20</v>
      </c>
    </row>
    <row r="1265" spans="1:6">
      <c r="B1265">
        <v>3350.1</v>
      </c>
      <c r="C1265" t="s">
        <v>3873</v>
      </c>
      <c r="D1265" s="948" t="s">
        <v>3873</v>
      </c>
      <c r="E1265">
        <v>25</v>
      </c>
      <c r="F1265">
        <v>20</v>
      </c>
    </row>
    <row r="1268" spans="1:6">
      <c r="A1268" s="3"/>
      <c r="B1268" t="s">
        <v>4202</v>
      </c>
      <c r="C1268" s="3" t="s">
        <v>4203</v>
      </c>
      <c r="D1268" s="791">
        <v>6.4790285359180011</v>
      </c>
      <c r="E1268" s="544" t="s">
        <v>2433</v>
      </c>
    </row>
    <row r="1271" spans="1:6">
      <c r="A1271" s="3"/>
      <c r="B1271" t="s">
        <v>4204</v>
      </c>
      <c r="C1271" s="3" t="s">
        <v>4205</v>
      </c>
      <c r="D1271" s="791">
        <v>8.235301147941651E-2</v>
      </c>
      <c r="E1271" s="544" t="s">
        <v>2433</v>
      </c>
    </row>
    <row r="1274" spans="1:6">
      <c r="A1274" s="3"/>
      <c r="B1274" t="s">
        <v>4206</v>
      </c>
      <c r="C1274" s="3" t="s">
        <v>4207</v>
      </c>
      <c r="D1274" s="965">
        <v>3.8295007720020586</v>
      </c>
      <c r="E1274" s="544" t="s">
        <v>2818</v>
      </c>
    </row>
    <row r="1277" spans="1:6">
      <c r="A1277" s="3"/>
      <c r="B1277" s="1018" t="s">
        <v>4208</v>
      </c>
      <c r="C1277" s="1019" t="s">
        <v>4209</v>
      </c>
      <c r="D1277" s="1024">
        <v>7.3999999999999996E-2</v>
      </c>
      <c r="E1277" s="1020" t="s">
        <v>675</v>
      </c>
    </row>
    <row r="1278" spans="1:6">
      <c r="B1278" s="1018"/>
      <c r="C1278" s="1018"/>
      <c r="D1278" s="1018"/>
      <c r="E1278" s="1018"/>
    </row>
    <row r="1279" spans="1:6">
      <c r="B1279" s="1018"/>
      <c r="C1279" s="1018"/>
      <c r="D1279" s="1018"/>
      <c r="E1279" s="1018"/>
    </row>
    <row r="1280" spans="1:6">
      <c r="A1280" s="3"/>
      <c r="B1280" s="1018" t="s">
        <v>4210</v>
      </c>
      <c r="C1280" s="1019" t="s">
        <v>4211</v>
      </c>
      <c r="D1280" s="1024">
        <v>0.17399999999999999</v>
      </c>
      <c r="E1280" s="1021" t="s">
        <v>2817</v>
      </c>
    </row>
    <row r="1283" spans="1:5">
      <c r="A1283" s="37">
        <v>5</v>
      </c>
      <c r="B1283" s="1018" t="s">
        <v>4212</v>
      </c>
      <c r="C1283" s="1019" t="s">
        <v>4213</v>
      </c>
      <c r="D1283" s="1022">
        <v>825.6</v>
      </c>
      <c r="E1283" s="1023" t="s">
        <v>840</v>
      </c>
    </row>
    <row r="1284" spans="1:5">
      <c r="B1284" s="1018"/>
      <c r="C1284" s="1018"/>
      <c r="D1284" s="1018"/>
      <c r="E1284" s="1018"/>
    </row>
    <row r="1285" spans="1:5">
      <c r="B1285" s="1018"/>
      <c r="C1285" s="1018"/>
      <c r="D1285" s="1018"/>
      <c r="E1285" s="1018"/>
    </row>
    <row r="1286" spans="1:5">
      <c r="A1286" s="3"/>
      <c r="B1286" s="1020" t="s">
        <v>4649</v>
      </c>
      <c r="C1286" s="1019" t="s">
        <v>4215</v>
      </c>
      <c r="D1286" s="1022">
        <v>584.59</v>
      </c>
      <c r="E1286" s="1023" t="s">
        <v>4214</v>
      </c>
    </row>
    <row r="1287" spans="1:5">
      <c r="B1287" s="1018"/>
      <c r="C1287" s="1018"/>
      <c r="D1287" s="1018"/>
      <c r="E1287" s="1018"/>
    </row>
    <row r="1288" spans="1:5">
      <c r="B1288" s="1018"/>
      <c r="C1288" s="1018"/>
      <c r="D1288" s="1018"/>
      <c r="E1288" s="1018"/>
    </row>
    <row r="1289" spans="1:5">
      <c r="A1289" s="3"/>
      <c r="B1289" s="1018" t="s">
        <v>4216</v>
      </c>
      <c r="C1289" s="1019" t="s">
        <v>4218</v>
      </c>
      <c r="D1289" s="1022">
        <v>0.1333</v>
      </c>
      <c r="E1289" s="1023" t="s">
        <v>4217</v>
      </c>
    </row>
    <row r="1292" spans="1:5">
      <c r="A1292" s="966"/>
      <c r="B1292" s="937" t="s">
        <v>4219</v>
      </c>
      <c r="C1292" s="950"/>
    </row>
    <row r="1293" spans="1:5">
      <c r="A1293" s="74"/>
      <c r="B1293" s="804" t="s">
        <v>4220</v>
      </c>
      <c r="C1293" s="564" t="s">
        <v>4221</v>
      </c>
    </row>
    <row r="1294" spans="1:5">
      <c r="A1294" s="3" t="s">
        <v>4222</v>
      </c>
      <c r="B1294">
        <v>0</v>
      </c>
      <c r="C1294" s="17">
        <v>953.90523240122491</v>
      </c>
    </row>
    <row r="1295" spans="1:5">
      <c r="A1295" s="3"/>
      <c r="B1295">
        <v>20000</v>
      </c>
      <c r="C1295" s="17">
        <v>4769.5261620061247</v>
      </c>
    </row>
    <row r="1296" spans="1:5">
      <c r="A1296" s="3"/>
      <c r="B1296">
        <v>50000</v>
      </c>
      <c r="C1296" s="17">
        <v>9857.0207348126569</v>
      </c>
    </row>
    <row r="1299" spans="1:7">
      <c r="A1299" s="3"/>
      <c r="B1299" t="s">
        <v>4223</v>
      </c>
      <c r="C1299" s="3" t="s">
        <v>4224</v>
      </c>
      <c r="D1299" s="59">
        <v>14784.380530580231</v>
      </c>
      <c r="E1299" s="6" t="s">
        <v>840</v>
      </c>
    </row>
    <row r="1302" spans="1:7">
      <c r="A1302" s="3"/>
      <c r="B1302" t="s">
        <v>4225</v>
      </c>
      <c r="C1302" s="3" t="s">
        <v>4226</v>
      </c>
      <c r="D1302" s="59">
        <v>3392.2096819686953</v>
      </c>
      <c r="E1302" s="6" t="s">
        <v>4214</v>
      </c>
    </row>
    <row r="1305" spans="1:7">
      <c r="A1305" s="3"/>
      <c r="B1305" t="s">
        <v>4227</v>
      </c>
      <c r="C1305" s="3" t="s">
        <v>4228</v>
      </c>
      <c r="D1305" s="59">
        <v>0.56536828032811592</v>
      </c>
      <c r="E1305" s="6" t="s">
        <v>4217</v>
      </c>
    </row>
    <row r="1308" spans="1:7">
      <c r="A1308" s="3"/>
      <c r="B1308" t="s">
        <v>4229</v>
      </c>
      <c r="C1308" s="3" t="s">
        <v>4230</v>
      </c>
      <c r="D1308" s="791">
        <v>0.14857538964026834</v>
      </c>
      <c r="E1308" s="544" t="s">
        <v>2433</v>
      </c>
    </row>
    <row r="1311" spans="1:7">
      <c r="A1311" s="949" t="s">
        <v>4161</v>
      </c>
      <c r="B1311" s="937" t="s">
        <v>4231</v>
      </c>
      <c r="C1311" s="950"/>
      <c r="D1311" s="967"/>
      <c r="E1311" s="1014" t="s">
        <v>4232</v>
      </c>
      <c r="F1311" s="1014"/>
      <c r="G1311" s="1014"/>
    </row>
    <row r="1312" spans="1:7">
      <c r="A1312" s="947">
        <v>4</v>
      </c>
      <c r="B1312" s="73" t="s">
        <v>4233</v>
      </c>
      <c r="C1312" s="73" t="s">
        <v>4234</v>
      </c>
      <c r="D1312" s="73" t="s">
        <v>4235</v>
      </c>
      <c r="E1312" s="1015" t="s">
        <v>4236</v>
      </c>
      <c r="F1312" s="1016" t="s">
        <v>4237</v>
      </c>
      <c r="G1312" s="1016" t="s">
        <v>4238</v>
      </c>
    </row>
    <row r="1313" spans="1:7">
      <c r="A1313" s="3" t="s">
        <v>4239</v>
      </c>
      <c r="B1313">
        <v>0</v>
      </c>
      <c r="C1313">
        <v>0.03</v>
      </c>
      <c r="D1313">
        <v>1</v>
      </c>
      <c r="E1313" s="1017">
        <v>5.8872089542642412</v>
      </c>
      <c r="F1313" s="1017">
        <v>8.7284980496935223</v>
      </c>
      <c r="G1313" s="1017">
        <v>5.6699019488776807</v>
      </c>
    </row>
    <row r="1314" spans="1:7">
      <c r="A1314" s="3"/>
      <c r="B1314">
        <v>3.1E-2</v>
      </c>
      <c r="C1314">
        <v>0.124</v>
      </c>
      <c r="D1314">
        <v>1</v>
      </c>
      <c r="E1314" s="1017">
        <v>5.8872089542642412</v>
      </c>
      <c r="F1314" s="1017">
        <v>8.7284980496935223</v>
      </c>
      <c r="G1314" s="1017">
        <v>5.6699019488776807</v>
      </c>
    </row>
    <row r="1315" spans="1:7">
      <c r="A1315" s="3"/>
      <c r="B1315">
        <v>0.1241</v>
      </c>
      <c r="C1315">
        <v>0.30499999999999999</v>
      </c>
      <c r="D1315">
        <v>1.2</v>
      </c>
      <c r="E1315" s="1017">
        <v>5.8872089542642412</v>
      </c>
      <c r="F1315" s="1017">
        <v>8.7284980496935223</v>
      </c>
      <c r="G1315" s="1017">
        <v>5.6699019488776807</v>
      </c>
    </row>
    <row r="1316" spans="1:7">
      <c r="A1316" s="3"/>
      <c r="B1316">
        <v>0.30509999999999998</v>
      </c>
      <c r="C1316">
        <v>0.74</v>
      </c>
      <c r="D1316">
        <v>1.2</v>
      </c>
      <c r="E1316" s="1017">
        <v>5.8872089542642412</v>
      </c>
      <c r="F1316" s="1017">
        <v>8.7284980496935223</v>
      </c>
      <c r="G1316" s="1017">
        <v>5.6699019488776807</v>
      </c>
    </row>
    <row r="1317" spans="1:7">
      <c r="A1317" s="3"/>
      <c r="B1317">
        <v>0.74099999999999999</v>
      </c>
      <c r="C1317">
        <v>2.1520000000000001</v>
      </c>
      <c r="D1317">
        <v>1.6</v>
      </c>
      <c r="E1317" s="1017">
        <v>6.2783615639600505</v>
      </c>
      <c r="F1317" s="1017">
        <v>9.9834460058009107</v>
      </c>
      <c r="G1317" s="1017">
        <v>5.6699019488776807</v>
      </c>
    </row>
    <row r="1318" spans="1:7">
      <c r="A1318" s="3"/>
      <c r="B1318">
        <v>2.1520999999999999</v>
      </c>
      <c r="C1318">
        <v>7.3650000000000002</v>
      </c>
      <c r="D1318">
        <v>2.8</v>
      </c>
      <c r="E1318" s="1017">
        <v>6.6278636642901034</v>
      </c>
      <c r="F1318" s="1017">
        <v>11.120686000657246</v>
      </c>
      <c r="G1318" s="1017">
        <v>7.3214351898155421</v>
      </c>
    </row>
    <row r="1319" spans="1:7">
      <c r="A1319" s="3"/>
      <c r="B1319">
        <v>7.3651</v>
      </c>
      <c r="C1319">
        <v>22.614000000000001</v>
      </c>
      <c r="D1319">
        <v>3.8</v>
      </c>
      <c r="E1319" s="1017">
        <v>6.9194172298504046</v>
      </c>
      <c r="F1319" s="1017">
        <v>12.976850005000784</v>
      </c>
      <c r="G1319" s="1017">
        <v>7.3214351898155421</v>
      </c>
    </row>
    <row r="1320" spans="1:7">
      <c r="A1320" s="3"/>
      <c r="B1320">
        <v>22.614100000000001</v>
      </c>
      <c r="C1320">
        <v>75.069999999999993</v>
      </c>
      <c r="D1320">
        <v>7.8</v>
      </c>
      <c r="E1320" s="1017">
        <v>8.0874423838031682</v>
      </c>
      <c r="F1320" s="1017">
        <v>13.864186943662576</v>
      </c>
      <c r="G1320" s="1017">
        <v>7.3214351898155421</v>
      </c>
    </row>
    <row r="1323" spans="1:7" ht="20">
      <c r="A1323" s="968"/>
      <c r="B1323" s="969" t="s">
        <v>4240</v>
      </c>
      <c r="C1323" s="970"/>
      <c r="D1323" s="970"/>
    </row>
    <row r="1324" spans="1:7">
      <c r="A1324" s="966" t="s">
        <v>4046</v>
      </c>
      <c r="B1324" s="937" t="s">
        <v>4240</v>
      </c>
      <c r="C1324" s="950"/>
      <c r="D1324" s="950"/>
    </row>
    <row r="1325" spans="1:7">
      <c r="A1325" s="947">
        <v>5</v>
      </c>
      <c r="B1325" s="971" t="s">
        <v>4241</v>
      </c>
      <c r="C1325" s="73" t="s">
        <v>4242</v>
      </c>
      <c r="D1325" s="74" t="s">
        <v>4243</v>
      </c>
    </row>
    <row r="1326" spans="1:7">
      <c r="A1326" s="3" t="s">
        <v>4252</v>
      </c>
      <c r="B1326">
        <v>0</v>
      </c>
      <c r="C1326" t="s">
        <v>4244</v>
      </c>
      <c r="D1326" s="17">
        <v>21165.713250209614</v>
      </c>
    </row>
    <row r="1327" spans="1:7">
      <c r="A1327" s="3"/>
      <c r="B1327">
        <v>3.1E-2</v>
      </c>
      <c r="C1327" t="s">
        <v>4245</v>
      </c>
      <c r="D1327" s="17">
        <v>20660.02273280502</v>
      </c>
    </row>
    <row r="1328" spans="1:7">
      <c r="A1328" s="3"/>
      <c r="B1328">
        <v>0.1241</v>
      </c>
      <c r="C1328" t="s">
        <v>4246</v>
      </c>
      <c r="D1328" s="17">
        <v>16458.498827329597</v>
      </c>
    </row>
    <row r="1329" spans="1:5">
      <c r="A1329" s="3"/>
      <c r="B1329">
        <v>0.30509999999999998</v>
      </c>
      <c r="C1329" t="s">
        <v>4247</v>
      </c>
      <c r="D1329" s="17">
        <v>19327.219360846331</v>
      </c>
    </row>
    <row r="1330" spans="1:5">
      <c r="A1330" s="3"/>
      <c r="B1330">
        <v>0.74099999999999999</v>
      </c>
      <c r="C1330" t="s">
        <v>4248</v>
      </c>
      <c r="D1330" s="17">
        <v>31219.845835377939</v>
      </c>
    </row>
    <row r="1331" spans="1:5">
      <c r="A1331" s="3"/>
      <c r="B1331">
        <v>2.1520999999999999</v>
      </c>
      <c r="C1331" t="s">
        <v>4249</v>
      </c>
      <c r="D1331" s="17">
        <v>68950.849699201353</v>
      </c>
    </row>
    <row r="1332" spans="1:5">
      <c r="A1332" s="3"/>
      <c r="B1332">
        <v>7.3651</v>
      </c>
      <c r="C1332" t="s">
        <v>4250</v>
      </c>
      <c r="D1332" s="17">
        <v>129311.24247230604</v>
      </c>
    </row>
    <row r="1333" spans="1:5">
      <c r="A1333" s="3"/>
      <c r="B1333">
        <v>22.614100000000001</v>
      </c>
      <c r="C1333" t="s">
        <v>4251</v>
      </c>
      <c r="D1333" s="17">
        <v>262816.68000200921</v>
      </c>
    </row>
    <row r="1336" spans="1:5">
      <c r="A1336" s="966"/>
      <c r="B1336" s="937" t="s">
        <v>4253</v>
      </c>
      <c r="C1336" s="950"/>
    </row>
    <row r="1337" spans="1:5">
      <c r="A1337" s="74"/>
      <c r="B1337" s="73" t="s">
        <v>4254</v>
      </c>
      <c r="C1337" s="73" t="s">
        <v>4255</v>
      </c>
    </row>
    <row r="1338" spans="1:5">
      <c r="A1338" s="3" t="s">
        <v>4256</v>
      </c>
      <c r="B1338">
        <v>0</v>
      </c>
      <c r="C1338" s="17">
        <v>3769.1218688541057</v>
      </c>
    </row>
    <row r="1339" spans="1:5">
      <c r="A1339" s="3"/>
      <c r="B1339">
        <v>1.0009999999999999</v>
      </c>
      <c r="C1339" s="17">
        <v>15599.976623868382</v>
      </c>
    </row>
    <row r="1342" spans="1:5">
      <c r="A1342" s="3" t="s">
        <v>4258</v>
      </c>
      <c r="B1342" s="414" t="s">
        <v>4257</v>
      </c>
      <c r="C1342" s="17">
        <v>30467.068439904022</v>
      </c>
      <c r="D1342" s="17">
        <v>29100</v>
      </c>
      <c r="E1342" s="414">
        <v>2020</v>
      </c>
    </row>
    <row r="1345" spans="1:5">
      <c r="A1345" s="3"/>
      <c r="B1345" t="s">
        <v>4259</v>
      </c>
      <c r="C1345" s="3" t="s">
        <v>4260</v>
      </c>
      <c r="D1345" s="59">
        <v>110.0374190046018</v>
      </c>
      <c r="E1345" s="6" t="s">
        <v>840</v>
      </c>
    </row>
    <row r="1348" spans="1:5">
      <c r="A1348" s="3"/>
      <c r="B1348" s="1018" t="s">
        <v>4261</v>
      </c>
      <c r="C1348" s="1019" t="s">
        <v>4262</v>
      </c>
      <c r="D1348" s="1022">
        <v>0.1</v>
      </c>
      <c r="E1348" s="1023" t="s">
        <v>4217</v>
      </c>
    </row>
    <row r="1351" spans="1:5">
      <c r="A1351" s="3"/>
      <c r="B1351" s="1" t="s">
        <v>4263</v>
      </c>
    </row>
    <row r="1352" spans="1:5">
      <c r="A1352" s="966" t="s">
        <v>4046</v>
      </c>
      <c r="B1352" s="937" t="s">
        <v>4264</v>
      </c>
      <c r="C1352" s="950"/>
    </row>
    <row r="1353" spans="1:5">
      <c r="A1353" s="947">
        <v>5</v>
      </c>
      <c r="B1353" s="73" t="s">
        <v>4265</v>
      </c>
      <c r="C1353" s="73" t="s">
        <v>4255</v>
      </c>
    </row>
    <row r="1354" spans="1:5">
      <c r="A1354" s="3" t="s">
        <v>4266</v>
      </c>
      <c r="B1354">
        <v>0</v>
      </c>
      <c r="C1354" s="17">
        <v>2408.0500828790123</v>
      </c>
    </row>
    <row r="1355" spans="1:5">
      <c r="A1355" s="3"/>
      <c r="B1355">
        <v>100000.1</v>
      </c>
      <c r="C1355" s="17">
        <v>3036.2370610213629</v>
      </c>
    </row>
    <row r="1356" spans="1:5">
      <c r="A1356" s="3"/>
      <c r="B1356">
        <v>1000000.1</v>
      </c>
      <c r="C1356" s="17">
        <v>5548.9849735907674</v>
      </c>
    </row>
    <row r="1359" spans="1:5" ht="20">
      <c r="A1359" s="968"/>
      <c r="B1359" s="969" t="s">
        <v>4267</v>
      </c>
      <c r="C1359" s="970"/>
    </row>
    <row r="1360" spans="1:5">
      <c r="A1360" s="966" t="s">
        <v>4161</v>
      </c>
      <c r="B1360" s="937" t="s">
        <v>4268</v>
      </c>
      <c r="C1360" s="950"/>
    </row>
    <row r="1361" spans="1:3">
      <c r="A1361" s="972">
        <v>4</v>
      </c>
      <c r="B1361" s="973" t="s">
        <v>4269</v>
      </c>
      <c r="C1361" s="974"/>
    </row>
    <row r="1362" spans="1:3">
      <c r="A1362" s="3"/>
      <c r="B1362" t="s">
        <v>4270</v>
      </c>
      <c r="C1362" s="414" t="s">
        <v>4271</v>
      </c>
    </row>
    <row r="1363" spans="1:3">
      <c r="A1363" s="3" t="s">
        <v>4272</v>
      </c>
      <c r="B1363" t="s">
        <v>1772</v>
      </c>
      <c r="C1363" s="792">
        <v>15793.535539996074</v>
      </c>
    </row>
    <row r="1364" spans="1:3">
      <c r="A1364" s="3"/>
      <c r="B1364" s="414" t="s">
        <v>4273</v>
      </c>
      <c r="C1364" s="792">
        <v>15793.535539996074</v>
      </c>
    </row>
    <row r="1365" spans="1:3">
      <c r="A1365" s="3"/>
      <c r="B1365" s="414" t="s">
        <v>4274</v>
      </c>
      <c r="C1365" s="792">
        <v>15793.535539996074</v>
      </c>
    </row>
    <row r="1366" spans="1:3">
      <c r="A1366" s="3"/>
      <c r="B1366" s="414" t="s">
        <v>4275</v>
      </c>
      <c r="C1366" s="792">
        <v>15793.535539996074</v>
      </c>
    </row>
    <row r="1367" spans="1:3">
      <c r="A1367" s="3"/>
      <c r="B1367" s="414" t="s">
        <v>4276</v>
      </c>
      <c r="C1367" s="792">
        <v>15793.535539996074</v>
      </c>
    </row>
    <row r="1368" spans="1:3">
      <c r="A1368" s="3"/>
      <c r="B1368" s="414" t="s">
        <v>4277</v>
      </c>
      <c r="C1368" s="792">
        <v>15793.535539996074</v>
      </c>
    </row>
    <row r="1369" spans="1:3">
      <c r="A1369" s="3"/>
      <c r="B1369" s="414" t="s">
        <v>4278</v>
      </c>
      <c r="C1369" s="792">
        <v>15793.535539996074</v>
      </c>
    </row>
    <row r="1370" spans="1:3">
      <c r="A1370" s="3"/>
      <c r="B1370" s="414" t="s">
        <v>4279</v>
      </c>
      <c r="C1370" s="792">
        <v>15793.535539996074</v>
      </c>
    </row>
    <row r="1371" spans="1:3">
      <c r="A1371" s="3"/>
      <c r="B1371" s="414" t="s">
        <v>4280</v>
      </c>
      <c r="C1371" s="792">
        <v>15793.535539996074</v>
      </c>
    </row>
    <row r="1372" spans="1:3">
      <c r="A1372" s="3"/>
      <c r="B1372" s="414" t="s">
        <v>4281</v>
      </c>
      <c r="C1372" s="792">
        <v>615.39008342245984</v>
      </c>
    </row>
    <row r="1373" spans="1:3">
      <c r="A1373" s="3"/>
      <c r="B1373" t="s">
        <v>4282</v>
      </c>
      <c r="C1373" s="792">
        <v>1217.0660847213492</v>
      </c>
    </row>
    <row r="1374" spans="1:3">
      <c r="A1374" s="3"/>
      <c r="B1374" t="s">
        <v>4283</v>
      </c>
      <c r="C1374" s="792">
        <v>1217.0660847213492</v>
      </c>
    </row>
    <row r="1375" spans="1:3">
      <c r="A1375" s="3"/>
      <c r="B1375" s="414" t="s">
        <v>4284</v>
      </c>
      <c r="C1375" s="792">
        <v>860.39920013666426</v>
      </c>
    </row>
    <row r="1376" spans="1:3">
      <c r="A1376" s="3"/>
      <c r="B1376" t="s">
        <v>4285</v>
      </c>
      <c r="C1376" s="792">
        <v>58859.382028416068</v>
      </c>
    </row>
    <row r="1377" spans="1:3">
      <c r="A1377" s="3"/>
      <c r="B1377" t="s">
        <v>4286</v>
      </c>
      <c r="C1377" s="792">
        <v>58859.382028416068</v>
      </c>
    </row>
    <row r="1378" spans="1:3">
      <c r="A1378" s="3"/>
      <c r="B1378" t="s">
        <v>4287</v>
      </c>
      <c r="C1378" s="792">
        <v>2709.1797841536459</v>
      </c>
    </row>
    <row r="1379" spans="1:3">
      <c r="A1379" s="3"/>
      <c r="B1379" t="s">
        <v>4288</v>
      </c>
      <c r="C1379" s="792">
        <v>2709.1797841536459</v>
      </c>
    </row>
    <row r="1380" spans="1:3">
      <c r="A1380" s="3"/>
      <c r="B1380" t="s">
        <v>4289</v>
      </c>
      <c r="C1380" s="792">
        <v>0</v>
      </c>
    </row>
    <row r="1381" spans="1:3">
      <c r="A1381" s="3"/>
      <c r="B1381" t="s">
        <v>4290</v>
      </c>
      <c r="C1381" s="792">
        <v>24372.554078613746</v>
      </c>
    </row>
    <row r="1382" spans="1:3">
      <c r="A1382" s="3"/>
      <c r="B1382" t="s">
        <v>4291</v>
      </c>
      <c r="C1382" s="792">
        <v>615.39008342245984</v>
      </c>
    </row>
    <row r="1383" spans="1:3">
      <c r="A1383" s="3"/>
      <c r="B1383" s="414" t="s">
        <v>4292</v>
      </c>
      <c r="C1383" s="792">
        <v>16444.957306241584</v>
      </c>
    </row>
    <row r="1384" spans="1:3">
      <c r="A1384" s="3"/>
      <c r="B1384" s="414" t="s">
        <v>4293</v>
      </c>
      <c r="C1384" s="792">
        <v>16444.957306241584</v>
      </c>
    </row>
    <row r="1385" spans="1:3">
      <c r="A1385" s="3"/>
      <c r="B1385" s="414" t="s">
        <v>4294</v>
      </c>
      <c r="C1385" s="792">
        <v>14998.238656107189</v>
      </c>
    </row>
    <row r="1386" spans="1:3">
      <c r="A1386" s="3"/>
      <c r="B1386" t="s">
        <v>4295</v>
      </c>
      <c r="C1386" s="792">
        <v>2499.8674794593167</v>
      </c>
    </row>
    <row r="1387" spans="1:3">
      <c r="A1387" s="3"/>
      <c r="B1387" t="s">
        <v>4296</v>
      </c>
      <c r="C1387" s="792">
        <v>32140.792422095365</v>
      </c>
    </row>
    <row r="1388" spans="1:3">
      <c r="A1388" s="3"/>
      <c r="B1388" t="s">
        <v>4297</v>
      </c>
      <c r="C1388" s="792">
        <v>5513.4302822925574</v>
      </c>
    </row>
    <row r="1389" spans="1:3">
      <c r="A1389" s="3"/>
      <c r="B1389" s="414" t="s">
        <v>4298</v>
      </c>
      <c r="C1389" s="792">
        <v>134602.19700079926</v>
      </c>
    </row>
    <row r="1390" spans="1:3">
      <c r="A1390" s="3"/>
      <c r="B1390" s="414" t="s">
        <v>4299</v>
      </c>
      <c r="C1390" s="792">
        <v>113958.93551980422</v>
      </c>
    </row>
    <row r="1391" spans="1:3">
      <c r="A1391" s="975"/>
      <c r="B1391" s="973" t="s">
        <v>4300</v>
      </c>
      <c r="C1391" s="974"/>
    </row>
    <row r="1392" spans="1:3">
      <c r="A1392" s="3" t="s">
        <v>4301</v>
      </c>
      <c r="B1392" t="s">
        <v>1772</v>
      </c>
      <c r="C1392" s="792">
        <v>70415.236495493649</v>
      </c>
    </row>
    <row r="1393" spans="1:3">
      <c r="A1393" s="3"/>
      <c r="B1393" s="414" t="s">
        <v>4273</v>
      </c>
      <c r="C1393" s="792">
        <v>70415.236495493649</v>
      </c>
    </row>
    <row r="1394" spans="1:3">
      <c r="A1394" s="3"/>
      <c r="B1394" s="414" t="s">
        <v>4274</v>
      </c>
      <c r="C1394" s="792">
        <v>70415.236495493649</v>
      </c>
    </row>
    <row r="1395" spans="1:3">
      <c r="A1395" s="3"/>
      <c r="B1395" s="414" t="s">
        <v>4275</v>
      </c>
      <c r="C1395" s="792">
        <v>70415.236495493649</v>
      </c>
    </row>
    <row r="1396" spans="1:3">
      <c r="A1396" s="3"/>
      <c r="B1396" s="414" t="s">
        <v>4276</v>
      </c>
      <c r="C1396" s="792">
        <v>70415.236495493649</v>
      </c>
    </row>
    <row r="1397" spans="1:3">
      <c r="A1397" s="3"/>
      <c r="B1397" s="414" t="s">
        <v>4277</v>
      </c>
      <c r="C1397" s="792">
        <v>70415.236495493649</v>
      </c>
    </row>
    <row r="1398" spans="1:3">
      <c r="A1398" s="3"/>
      <c r="B1398" s="414" t="s">
        <v>4278</v>
      </c>
      <c r="C1398" s="792">
        <v>70415.236495493649</v>
      </c>
    </row>
    <row r="1399" spans="1:3">
      <c r="A1399" s="3"/>
      <c r="B1399" s="414" t="s">
        <v>4279</v>
      </c>
      <c r="C1399" s="792">
        <v>70415.236495493649</v>
      </c>
    </row>
    <row r="1400" spans="1:3">
      <c r="A1400" s="3"/>
      <c r="B1400" s="414" t="s">
        <v>4280</v>
      </c>
      <c r="C1400" s="792">
        <v>70415.236495493649</v>
      </c>
    </row>
    <row r="1401" spans="1:3">
      <c r="A1401" s="3"/>
      <c r="B1401" s="414" t="s">
        <v>4281</v>
      </c>
      <c r="C1401" s="792">
        <v>615.39008342245984</v>
      </c>
    </row>
    <row r="1402" spans="1:3">
      <c r="A1402" s="3"/>
      <c r="B1402" t="s">
        <v>4282</v>
      </c>
      <c r="C1402" s="792">
        <v>66652.775724390434</v>
      </c>
    </row>
    <row r="1403" spans="1:3">
      <c r="A1403" s="3"/>
      <c r="B1403" t="s">
        <v>4283</v>
      </c>
      <c r="C1403" s="792">
        <v>66652.775724390434</v>
      </c>
    </row>
    <row r="1404" spans="1:3">
      <c r="A1404" s="3"/>
      <c r="B1404" s="414" t="s">
        <v>4284</v>
      </c>
      <c r="C1404" s="792">
        <v>67436.081031866575</v>
      </c>
    </row>
    <row r="1405" spans="1:3">
      <c r="A1405" s="3"/>
      <c r="B1405" t="s">
        <v>4285</v>
      </c>
      <c r="C1405" s="792">
        <v>106012.42499444949</v>
      </c>
    </row>
    <row r="1406" spans="1:3">
      <c r="A1406" s="3"/>
      <c r="B1406" t="s">
        <v>4286</v>
      </c>
      <c r="C1406" s="792">
        <v>106012.42499444949</v>
      </c>
    </row>
    <row r="1407" spans="1:3">
      <c r="A1407" s="3"/>
      <c r="B1407" t="s">
        <v>4287</v>
      </c>
      <c r="C1407" s="792">
        <v>87277.850879096295</v>
      </c>
    </row>
    <row r="1408" spans="1:3">
      <c r="A1408" s="3"/>
      <c r="B1408" t="s">
        <v>4288</v>
      </c>
      <c r="C1408" s="792">
        <v>87277.850879096295</v>
      </c>
    </row>
    <row r="1409" spans="1:3">
      <c r="A1409" s="3"/>
      <c r="B1409" t="s">
        <v>4289</v>
      </c>
      <c r="C1409" s="792">
        <v>20136.618090557393</v>
      </c>
    </row>
    <row r="1410" spans="1:3">
      <c r="A1410" s="3"/>
      <c r="B1410" t="s">
        <v>4290</v>
      </c>
      <c r="C1410" s="792">
        <v>62551.098535576341</v>
      </c>
    </row>
    <row r="1411" spans="1:3">
      <c r="A1411" s="3"/>
      <c r="B1411" t="s">
        <v>4291</v>
      </c>
      <c r="C1411" s="792">
        <v>615.39008342245984</v>
      </c>
    </row>
    <row r="1412" spans="1:3">
      <c r="A1412" s="3"/>
      <c r="B1412" s="414" t="s">
        <v>4292</v>
      </c>
      <c r="C1412" s="792">
        <v>36426.901995363005</v>
      </c>
    </row>
    <row r="1413" spans="1:3">
      <c r="A1413" s="3"/>
      <c r="B1413" s="414" t="s">
        <v>4293</v>
      </c>
      <c r="C1413" s="792">
        <v>36426.901995363005</v>
      </c>
    </row>
    <row r="1414" spans="1:3">
      <c r="A1414" s="3"/>
      <c r="B1414" s="414" t="s">
        <v>4294</v>
      </c>
      <c r="C1414" s="792">
        <v>33992.302523002589</v>
      </c>
    </row>
    <row r="1415" spans="1:3">
      <c r="A1415" s="3"/>
      <c r="B1415" t="s">
        <v>4295</v>
      </c>
      <c r="C1415" s="792">
        <v>3749.8012191889752</v>
      </c>
    </row>
    <row r="1416" spans="1:3">
      <c r="A1416" s="3"/>
      <c r="B1416" t="s">
        <v>4296</v>
      </c>
      <c r="C1416" s="792">
        <v>48543.555387689659</v>
      </c>
    </row>
    <row r="1417" spans="1:3">
      <c r="A1417" s="3"/>
      <c r="B1417" t="s">
        <v>4297</v>
      </c>
      <c r="C1417" s="792">
        <v>189167.22449229649</v>
      </c>
    </row>
    <row r="1418" spans="1:3">
      <c r="A1418" s="3"/>
      <c r="B1418" s="414" t="s">
        <v>4298</v>
      </c>
      <c r="C1418" s="792">
        <v>216124.0034000657</v>
      </c>
    </row>
    <row r="1419" spans="1:3">
      <c r="A1419" s="3"/>
      <c r="B1419" s="414" t="s">
        <v>4299</v>
      </c>
      <c r="C1419" s="792">
        <v>134570.11249132303</v>
      </c>
    </row>
    <row r="1420" spans="1:3">
      <c r="A1420" s="975"/>
      <c r="B1420" s="973" t="s">
        <v>4302</v>
      </c>
      <c r="C1420" s="974"/>
    </row>
    <row r="1421" spans="1:3">
      <c r="A1421" s="3" t="s">
        <v>4303</v>
      </c>
      <c r="B1421" t="s">
        <v>1772</v>
      </c>
      <c r="C1421" s="792">
        <v>70415.236495493649</v>
      </c>
    </row>
    <row r="1422" spans="1:3">
      <c r="A1422" s="3"/>
      <c r="B1422" s="414" t="s">
        <v>4273</v>
      </c>
      <c r="C1422" s="792">
        <v>70415.236495493649</v>
      </c>
    </row>
    <row r="1423" spans="1:3">
      <c r="A1423" s="3"/>
      <c r="B1423" s="414" t="s">
        <v>4274</v>
      </c>
      <c r="C1423" s="792">
        <v>70415.236495493649</v>
      </c>
    </row>
    <row r="1424" spans="1:3">
      <c r="A1424" s="3"/>
      <c r="B1424" s="414" t="s">
        <v>4275</v>
      </c>
      <c r="C1424" s="792">
        <v>70415.236495493649</v>
      </c>
    </row>
    <row r="1425" spans="1:3">
      <c r="A1425" s="3"/>
      <c r="B1425" s="414" t="s">
        <v>4276</v>
      </c>
      <c r="C1425" s="792">
        <v>70415.236495493649</v>
      </c>
    </row>
    <row r="1426" spans="1:3">
      <c r="A1426" s="3"/>
      <c r="B1426" s="414" t="s">
        <v>4277</v>
      </c>
      <c r="C1426" s="792">
        <v>70415.236495493649</v>
      </c>
    </row>
    <row r="1427" spans="1:3">
      <c r="A1427" s="3"/>
      <c r="B1427" s="414" t="s">
        <v>4278</v>
      </c>
      <c r="C1427" s="792">
        <v>70415.236495493649</v>
      </c>
    </row>
    <row r="1428" spans="1:3">
      <c r="A1428" s="3"/>
      <c r="B1428" s="414" t="s">
        <v>4279</v>
      </c>
      <c r="C1428" s="792">
        <v>70415.236495493649</v>
      </c>
    </row>
    <row r="1429" spans="1:3">
      <c r="A1429" s="3"/>
      <c r="B1429" s="414" t="s">
        <v>4280</v>
      </c>
      <c r="C1429" s="792">
        <v>70415.236495493649</v>
      </c>
    </row>
    <row r="1430" spans="1:3">
      <c r="A1430" s="3"/>
      <c r="B1430" s="414" t="s">
        <v>4281</v>
      </c>
      <c r="C1430" s="792">
        <v>615.39008342245984</v>
      </c>
    </row>
    <row r="1431" spans="1:3">
      <c r="A1431" s="3"/>
      <c r="B1431" t="s">
        <v>4282</v>
      </c>
      <c r="C1431" s="792">
        <v>138633.82081554571</v>
      </c>
    </row>
    <row r="1432" spans="1:3">
      <c r="A1432" s="3"/>
      <c r="B1432" t="s">
        <v>4283</v>
      </c>
      <c r="C1432" s="792">
        <v>138633.82081554571</v>
      </c>
    </row>
    <row r="1433" spans="1:3">
      <c r="A1433" s="3"/>
      <c r="B1433" s="414" t="s">
        <v>4284</v>
      </c>
      <c r="C1433" s="792">
        <v>142217.78903377001</v>
      </c>
    </row>
    <row r="1434" spans="1:3">
      <c r="A1434" s="3"/>
      <c r="B1434" t="s">
        <v>4285</v>
      </c>
      <c r="C1434" s="792">
        <v>218629.75925053674</v>
      </c>
    </row>
    <row r="1435" spans="1:3">
      <c r="A1435" s="3"/>
      <c r="B1435" t="s">
        <v>4286</v>
      </c>
      <c r="C1435" s="792">
        <v>218629.75925053674</v>
      </c>
    </row>
    <row r="1436" spans="1:3">
      <c r="A1436" s="3"/>
      <c r="B1436" t="s">
        <v>4287</v>
      </c>
      <c r="C1436" s="792">
        <v>160637.62679028435</v>
      </c>
    </row>
    <row r="1437" spans="1:3">
      <c r="A1437" s="3"/>
      <c r="B1437" t="s">
        <v>4288</v>
      </c>
      <c r="C1437" s="792">
        <v>160637.62679028435</v>
      </c>
    </row>
    <row r="1438" spans="1:3">
      <c r="A1438" s="3"/>
      <c r="B1438" t="s">
        <v>4289</v>
      </c>
      <c r="C1438" s="792">
        <v>39431.052611067469</v>
      </c>
    </row>
    <row r="1439" spans="1:3">
      <c r="A1439" s="3"/>
      <c r="B1439" t="s">
        <v>4290</v>
      </c>
      <c r="C1439" s="792">
        <v>114612.79624085034</v>
      </c>
    </row>
    <row r="1440" spans="1:3">
      <c r="A1440" s="3"/>
      <c r="B1440" t="s">
        <v>4291</v>
      </c>
      <c r="C1440" s="792">
        <v>615.39008342245984</v>
      </c>
    </row>
    <row r="1441" spans="1:3">
      <c r="A1441" s="3"/>
      <c r="B1441" s="414" t="s">
        <v>4292</v>
      </c>
      <c r="C1441" s="792">
        <v>68723.781450000242</v>
      </c>
    </row>
    <row r="1442" spans="1:3">
      <c r="A1442" s="3"/>
      <c r="B1442" s="414" t="s">
        <v>4293</v>
      </c>
      <c r="C1442" s="792">
        <v>68723.781450000242</v>
      </c>
    </row>
    <row r="1443" spans="1:3">
      <c r="A1443" s="3"/>
      <c r="B1443" s="414" t="s">
        <v>4294</v>
      </c>
      <c r="C1443" s="792">
        <v>66289.181977639833</v>
      </c>
    </row>
    <row r="1444" spans="1:3">
      <c r="A1444" s="3"/>
      <c r="B1444" t="s">
        <v>4295</v>
      </c>
      <c r="C1444" s="792">
        <v>4999.7349589186333</v>
      </c>
    </row>
    <row r="1445" spans="1:3">
      <c r="A1445" s="3"/>
      <c r="B1445" t="s">
        <v>4296</v>
      </c>
      <c r="C1445" s="792">
        <v>48543.555387689659</v>
      </c>
    </row>
    <row r="1446" spans="1:3">
      <c r="A1446" s="3"/>
      <c r="B1446" t="s">
        <v>4297</v>
      </c>
      <c r="C1446" s="792">
        <v>222516.75400470028</v>
      </c>
    </row>
    <row r="1447" spans="1:3">
      <c r="A1447" s="3"/>
      <c r="B1447" s="414" t="s">
        <v>4298</v>
      </c>
      <c r="C1447" s="792">
        <v>354406.6446382748</v>
      </c>
    </row>
    <row r="1448" spans="1:3">
      <c r="A1448" s="3"/>
      <c r="B1448" s="414" t="s">
        <v>4299</v>
      </c>
      <c r="C1448" s="792">
        <v>245287.83478699805</v>
      </c>
    </row>
    <row r="1451" spans="1:3" ht="20">
      <c r="A1451" s="968"/>
      <c r="B1451" s="969" t="s">
        <v>4267</v>
      </c>
      <c r="C1451" s="970"/>
    </row>
    <row r="1452" spans="1:3">
      <c r="A1452" s="966" t="s">
        <v>4161</v>
      </c>
      <c r="B1452" s="937" t="s">
        <v>4268</v>
      </c>
      <c r="C1452" s="950"/>
    </row>
    <row r="1453" spans="1:3">
      <c r="A1453" s="972">
        <v>4</v>
      </c>
      <c r="B1453" s="973" t="s">
        <v>4269</v>
      </c>
      <c r="C1453" s="974"/>
    </row>
    <row r="1454" spans="1:3">
      <c r="A1454" s="3"/>
      <c r="B1454" t="s">
        <v>4270</v>
      </c>
      <c r="C1454" s="414" t="s">
        <v>4271</v>
      </c>
    </row>
    <row r="1455" spans="1:3">
      <c r="A1455" s="3" t="s">
        <v>4272</v>
      </c>
      <c r="B1455" t="s">
        <v>1772</v>
      </c>
      <c r="C1455" s="792">
        <v>15793.535539996074</v>
      </c>
    </row>
    <row r="1456" spans="1:3">
      <c r="A1456" s="3"/>
      <c r="B1456" s="414" t="s">
        <v>4273</v>
      </c>
      <c r="C1456" s="792">
        <v>15793.535539996074</v>
      </c>
    </row>
    <row r="1457" spans="1:3">
      <c r="A1457" s="3"/>
      <c r="B1457" s="414" t="s">
        <v>4274</v>
      </c>
      <c r="C1457" s="792">
        <v>15793.535539996074</v>
      </c>
    </row>
    <row r="1458" spans="1:3">
      <c r="A1458" s="3"/>
      <c r="B1458" s="414" t="s">
        <v>4275</v>
      </c>
      <c r="C1458" s="792">
        <v>15793.535539996074</v>
      </c>
    </row>
    <row r="1459" spans="1:3">
      <c r="A1459" s="3"/>
      <c r="B1459" s="414" t="s">
        <v>4276</v>
      </c>
      <c r="C1459" s="792">
        <v>15793.535539996074</v>
      </c>
    </row>
    <row r="1460" spans="1:3">
      <c r="A1460" s="3"/>
      <c r="B1460" s="414" t="s">
        <v>4277</v>
      </c>
      <c r="C1460" s="792">
        <v>15793.535539996074</v>
      </c>
    </row>
    <row r="1461" spans="1:3">
      <c r="A1461" s="3"/>
      <c r="B1461" s="414" t="s">
        <v>4278</v>
      </c>
      <c r="C1461" s="792">
        <v>15793.535539996074</v>
      </c>
    </row>
    <row r="1462" spans="1:3">
      <c r="A1462" s="3"/>
      <c r="B1462" s="414" t="s">
        <v>4279</v>
      </c>
      <c r="C1462" s="792">
        <v>15793.535539996074</v>
      </c>
    </row>
    <row r="1463" spans="1:3">
      <c r="A1463" s="3"/>
      <c r="B1463" s="414" t="s">
        <v>4280</v>
      </c>
      <c r="C1463" s="792">
        <v>15793.535539996074</v>
      </c>
    </row>
    <row r="1464" spans="1:3">
      <c r="A1464" s="3"/>
      <c r="B1464" s="414" t="s">
        <v>4281</v>
      </c>
      <c r="C1464" s="792">
        <v>615.39008342245984</v>
      </c>
    </row>
    <row r="1465" spans="1:3">
      <c r="A1465" s="3"/>
      <c r="B1465" t="s">
        <v>4282</v>
      </c>
      <c r="C1465" s="792">
        <v>1217.0660847213492</v>
      </c>
    </row>
    <row r="1466" spans="1:3">
      <c r="A1466" s="3"/>
      <c r="B1466" t="s">
        <v>4283</v>
      </c>
      <c r="C1466" s="792">
        <v>1217.0660847213492</v>
      </c>
    </row>
    <row r="1467" spans="1:3">
      <c r="A1467" s="3"/>
      <c r="B1467" s="414" t="s">
        <v>4284</v>
      </c>
      <c r="C1467" s="792">
        <v>860.39920013666426</v>
      </c>
    </row>
    <row r="1468" spans="1:3">
      <c r="A1468" s="3"/>
      <c r="B1468" t="s">
        <v>4285</v>
      </c>
      <c r="C1468" s="792">
        <v>58859.382028416068</v>
      </c>
    </row>
    <row r="1469" spans="1:3">
      <c r="A1469" s="3"/>
      <c r="B1469" t="s">
        <v>4286</v>
      </c>
      <c r="C1469" s="792">
        <v>58859.382028416068</v>
      </c>
    </row>
    <row r="1470" spans="1:3">
      <c r="A1470" s="3"/>
      <c r="B1470" t="s">
        <v>4287</v>
      </c>
      <c r="C1470" s="792">
        <v>2709.1797841536459</v>
      </c>
    </row>
    <row r="1471" spans="1:3">
      <c r="A1471" s="3"/>
      <c r="B1471" t="s">
        <v>4288</v>
      </c>
      <c r="C1471" s="792">
        <v>2709.1797841536459</v>
      </c>
    </row>
    <row r="1472" spans="1:3">
      <c r="A1472" s="3"/>
      <c r="B1472" t="s">
        <v>4289</v>
      </c>
      <c r="C1472" s="792">
        <v>0</v>
      </c>
    </row>
    <row r="1473" spans="1:3">
      <c r="A1473" s="3"/>
      <c r="B1473" t="s">
        <v>4290</v>
      </c>
      <c r="C1473" s="792">
        <v>24372.554078613746</v>
      </c>
    </row>
    <row r="1474" spans="1:3">
      <c r="A1474" s="3"/>
      <c r="B1474" t="s">
        <v>4291</v>
      </c>
      <c r="C1474" s="792">
        <v>615.39008342245984</v>
      </c>
    </row>
    <row r="1475" spans="1:3">
      <c r="A1475" s="3"/>
      <c r="B1475" s="414" t="s">
        <v>4292</v>
      </c>
      <c r="C1475" s="792">
        <v>16444.957306241584</v>
      </c>
    </row>
    <row r="1476" spans="1:3">
      <c r="A1476" s="3"/>
      <c r="B1476" s="414" t="s">
        <v>4293</v>
      </c>
      <c r="C1476" s="792">
        <v>16444.957306241584</v>
      </c>
    </row>
    <row r="1477" spans="1:3">
      <c r="A1477" s="3"/>
      <c r="B1477" s="414" t="s">
        <v>4294</v>
      </c>
      <c r="C1477" s="792">
        <v>14998.238656107189</v>
      </c>
    </row>
    <row r="1478" spans="1:3">
      <c r="A1478" s="3"/>
      <c r="B1478" t="s">
        <v>4295</v>
      </c>
      <c r="C1478" s="792">
        <v>2499.8674794593167</v>
      </c>
    </row>
    <row r="1479" spans="1:3">
      <c r="A1479" s="3"/>
      <c r="B1479" t="s">
        <v>4296</v>
      </c>
      <c r="C1479" s="792">
        <v>32140.792422095365</v>
      </c>
    </row>
    <row r="1480" spans="1:3">
      <c r="A1480" s="3"/>
      <c r="B1480" t="s">
        <v>4297</v>
      </c>
      <c r="C1480" s="792">
        <v>5513.4302822925574</v>
      </c>
    </row>
    <row r="1481" spans="1:3">
      <c r="A1481" s="3"/>
      <c r="B1481" s="414" t="s">
        <v>4298</v>
      </c>
      <c r="C1481" s="792">
        <v>134602.19700079926</v>
      </c>
    </row>
    <row r="1482" spans="1:3">
      <c r="A1482" s="3"/>
      <c r="B1482" s="414" t="s">
        <v>4299</v>
      </c>
      <c r="C1482" s="792">
        <v>113958.93551980422</v>
      </c>
    </row>
    <row r="1483" spans="1:3">
      <c r="A1483" s="975"/>
      <c r="B1483" s="973" t="s">
        <v>4300</v>
      </c>
      <c r="C1483" s="974"/>
    </row>
    <row r="1484" spans="1:3">
      <c r="A1484" s="3" t="s">
        <v>4304</v>
      </c>
      <c r="B1484" t="s">
        <v>1772</v>
      </c>
      <c r="C1484" s="792">
        <v>70415.236495493649</v>
      </c>
    </row>
    <row r="1485" spans="1:3">
      <c r="A1485" s="3"/>
      <c r="B1485" s="414" t="s">
        <v>4273</v>
      </c>
      <c r="C1485" s="792">
        <v>70415.236495493649</v>
      </c>
    </row>
    <row r="1486" spans="1:3">
      <c r="A1486" s="3"/>
      <c r="B1486" s="414" t="s">
        <v>4274</v>
      </c>
      <c r="C1486" s="792">
        <v>70415.236495493649</v>
      </c>
    </row>
    <row r="1487" spans="1:3">
      <c r="A1487" s="3"/>
      <c r="B1487" s="414" t="s">
        <v>4275</v>
      </c>
      <c r="C1487" s="792">
        <v>70415.236495493649</v>
      </c>
    </row>
    <row r="1488" spans="1:3">
      <c r="A1488" s="3"/>
      <c r="B1488" s="414" t="s">
        <v>4276</v>
      </c>
      <c r="C1488" s="792">
        <v>70415.236495493649</v>
      </c>
    </row>
    <row r="1489" spans="1:3">
      <c r="A1489" s="3"/>
      <c r="B1489" s="414" t="s">
        <v>4277</v>
      </c>
      <c r="C1489" s="792">
        <v>70415.236495493649</v>
      </c>
    </row>
    <row r="1490" spans="1:3">
      <c r="A1490" s="3"/>
      <c r="B1490" s="414" t="s">
        <v>4278</v>
      </c>
      <c r="C1490" s="792">
        <v>70415.236495493649</v>
      </c>
    </row>
    <row r="1491" spans="1:3">
      <c r="A1491" s="3"/>
      <c r="B1491" s="414" t="s">
        <v>4279</v>
      </c>
      <c r="C1491" s="792">
        <v>70415.236495493649</v>
      </c>
    </row>
    <row r="1492" spans="1:3">
      <c r="A1492" s="3"/>
      <c r="B1492" s="414" t="s">
        <v>4280</v>
      </c>
      <c r="C1492" s="792">
        <v>70415.236495493649</v>
      </c>
    </row>
    <row r="1493" spans="1:3">
      <c r="A1493" s="3"/>
      <c r="B1493" s="414" t="s">
        <v>4281</v>
      </c>
      <c r="C1493" s="792">
        <v>615.39008342245984</v>
      </c>
    </row>
    <row r="1494" spans="1:3">
      <c r="A1494" s="3"/>
      <c r="B1494" t="s">
        <v>4282</v>
      </c>
      <c r="C1494" s="792">
        <v>66652.775724390434</v>
      </c>
    </row>
    <row r="1495" spans="1:3">
      <c r="A1495" s="3"/>
      <c r="B1495" t="s">
        <v>4283</v>
      </c>
      <c r="C1495" s="792">
        <v>66652.775724390434</v>
      </c>
    </row>
    <row r="1496" spans="1:3">
      <c r="A1496" s="3"/>
      <c r="B1496" s="414" t="s">
        <v>4284</v>
      </c>
      <c r="C1496" s="792">
        <v>67436.081031866575</v>
      </c>
    </row>
    <row r="1497" spans="1:3">
      <c r="A1497" s="3"/>
      <c r="B1497" t="s">
        <v>4285</v>
      </c>
      <c r="C1497" s="792">
        <v>106012.42499444949</v>
      </c>
    </row>
    <row r="1498" spans="1:3">
      <c r="A1498" s="3"/>
      <c r="B1498" t="s">
        <v>4286</v>
      </c>
      <c r="C1498" s="792">
        <v>106012.42499444949</v>
      </c>
    </row>
    <row r="1499" spans="1:3">
      <c r="A1499" s="3"/>
      <c r="B1499" t="s">
        <v>4287</v>
      </c>
      <c r="C1499" s="792">
        <v>87277.850879096295</v>
      </c>
    </row>
    <row r="1500" spans="1:3">
      <c r="A1500" s="3"/>
      <c r="B1500" t="s">
        <v>4288</v>
      </c>
      <c r="C1500" s="792">
        <v>87277.850879096295</v>
      </c>
    </row>
    <row r="1501" spans="1:3">
      <c r="A1501" s="3"/>
      <c r="B1501" t="s">
        <v>4289</v>
      </c>
      <c r="C1501" s="792">
        <v>20136.618090557393</v>
      </c>
    </row>
    <row r="1502" spans="1:3">
      <c r="A1502" s="3"/>
      <c r="B1502" t="s">
        <v>4290</v>
      </c>
      <c r="C1502" s="792">
        <v>62551.098535576341</v>
      </c>
    </row>
    <row r="1503" spans="1:3">
      <c r="A1503" s="3"/>
      <c r="B1503" t="s">
        <v>4291</v>
      </c>
      <c r="C1503" s="792">
        <v>615.39008342245984</v>
      </c>
    </row>
    <row r="1504" spans="1:3">
      <c r="A1504" s="3"/>
      <c r="B1504" s="414" t="s">
        <v>4292</v>
      </c>
      <c r="C1504" s="792">
        <v>36426.901995363005</v>
      </c>
    </row>
    <row r="1505" spans="1:3">
      <c r="A1505" s="3"/>
      <c r="B1505" s="414" t="s">
        <v>4293</v>
      </c>
      <c r="C1505" s="792">
        <v>36426.901995363005</v>
      </c>
    </row>
    <row r="1506" spans="1:3">
      <c r="A1506" s="3"/>
      <c r="B1506" s="414" t="s">
        <v>4294</v>
      </c>
      <c r="C1506" s="792">
        <v>33992.302523002589</v>
      </c>
    </row>
    <row r="1507" spans="1:3">
      <c r="A1507" s="3"/>
      <c r="B1507" t="s">
        <v>4295</v>
      </c>
      <c r="C1507" s="792">
        <v>3749.8012191889752</v>
      </c>
    </row>
    <row r="1508" spans="1:3">
      <c r="A1508" s="3"/>
      <c r="B1508" t="s">
        <v>4296</v>
      </c>
      <c r="C1508" s="792">
        <v>48543.555387689659</v>
      </c>
    </row>
    <row r="1509" spans="1:3">
      <c r="A1509" s="3"/>
      <c r="B1509" t="s">
        <v>4297</v>
      </c>
      <c r="C1509" s="792">
        <v>189167.22449229649</v>
      </c>
    </row>
    <row r="1510" spans="1:3">
      <c r="A1510" s="3"/>
      <c r="B1510" s="414" t="s">
        <v>4298</v>
      </c>
      <c r="C1510" s="792">
        <v>216124.0034000657</v>
      </c>
    </row>
    <row r="1511" spans="1:3">
      <c r="A1511" s="3"/>
      <c r="B1511" s="414" t="s">
        <v>4299</v>
      </c>
      <c r="C1511" s="792">
        <v>134570.11249132303</v>
      </c>
    </row>
    <row r="1514" spans="1:3" ht="20">
      <c r="A1514" s="968"/>
      <c r="B1514" s="969" t="s">
        <v>4267</v>
      </c>
      <c r="C1514" s="970"/>
    </row>
    <row r="1515" spans="1:3">
      <c r="A1515" s="966" t="s">
        <v>4161</v>
      </c>
      <c r="B1515" s="937" t="s">
        <v>4268</v>
      </c>
      <c r="C1515" s="950"/>
    </row>
    <row r="1516" spans="1:3">
      <c r="A1516" s="972">
        <v>4</v>
      </c>
      <c r="B1516" s="973" t="s">
        <v>4269</v>
      </c>
      <c r="C1516" s="974"/>
    </row>
    <row r="1517" spans="1:3">
      <c r="A1517" s="3"/>
      <c r="B1517" t="s">
        <v>4270</v>
      </c>
      <c r="C1517" s="414" t="s">
        <v>4271</v>
      </c>
    </row>
    <row r="1518" spans="1:3">
      <c r="A1518" s="3" t="s">
        <v>4305</v>
      </c>
      <c r="B1518" t="s">
        <v>1772</v>
      </c>
      <c r="C1518" s="792">
        <v>15793.535539996074</v>
      </c>
    </row>
    <row r="1519" spans="1:3">
      <c r="A1519" s="3"/>
      <c r="B1519" s="414" t="s">
        <v>4273</v>
      </c>
      <c r="C1519" s="792">
        <v>15793.535539996074</v>
      </c>
    </row>
    <row r="1520" spans="1:3">
      <c r="A1520" s="3"/>
      <c r="B1520" s="414" t="s">
        <v>4274</v>
      </c>
      <c r="C1520" s="792">
        <v>15793.535539996074</v>
      </c>
    </row>
    <row r="1521" spans="1:3">
      <c r="A1521" s="3"/>
      <c r="B1521" s="414" t="s">
        <v>4275</v>
      </c>
      <c r="C1521" s="792">
        <v>15793.535539996074</v>
      </c>
    </row>
    <row r="1522" spans="1:3">
      <c r="A1522" s="3"/>
      <c r="B1522" s="414" t="s">
        <v>4276</v>
      </c>
      <c r="C1522" s="792">
        <v>15793.535539996074</v>
      </c>
    </row>
    <row r="1523" spans="1:3">
      <c r="A1523" s="3"/>
      <c r="B1523" s="414" t="s">
        <v>4277</v>
      </c>
      <c r="C1523" s="792">
        <v>15793.535539996074</v>
      </c>
    </row>
    <row r="1524" spans="1:3">
      <c r="A1524" s="3"/>
      <c r="B1524" s="414" t="s">
        <v>4278</v>
      </c>
      <c r="C1524" s="792">
        <v>15793.535539996074</v>
      </c>
    </row>
    <row r="1525" spans="1:3">
      <c r="A1525" s="3"/>
      <c r="B1525" s="414" t="s">
        <v>4279</v>
      </c>
      <c r="C1525" s="792">
        <v>15793.535539996074</v>
      </c>
    </row>
    <row r="1526" spans="1:3">
      <c r="A1526" s="3"/>
      <c r="B1526" s="414" t="s">
        <v>4280</v>
      </c>
      <c r="C1526" s="792">
        <v>15793.535539996074</v>
      </c>
    </row>
    <row r="1527" spans="1:3">
      <c r="A1527" s="3"/>
      <c r="B1527" s="414" t="s">
        <v>4281</v>
      </c>
      <c r="C1527" s="792">
        <v>615.39008342245984</v>
      </c>
    </row>
    <row r="1528" spans="1:3">
      <c r="A1528" s="3"/>
      <c r="B1528" t="s">
        <v>4282</v>
      </c>
      <c r="C1528" s="792">
        <v>1217.0660847213492</v>
      </c>
    </row>
    <row r="1529" spans="1:3">
      <c r="A1529" s="3"/>
      <c r="B1529" t="s">
        <v>4283</v>
      </c>
      <c r="C1529" s="792">
        <v>1217.0660847213492</v>
      </c>
    </row>
    <row r="1530" spans="1:3">
      <c r="A1530" s="3"/>
      <c r="B1530" s="414" t="s">
        <v>4284</v>
      </c>
      <c r="C1530" s="792">
        <v>860.39920013666426</v>
      </c>
    </row>
    <row r="1531" spans="1:3">
      <c r="A1531" s="3"/>
      <c r="B1531" t="s">
        <v>4285</v>
      </c>
      <c r="C1531" s="792">
        <v>58859.382028416068</v>
      </c>
    </row>
    <row r="1532" spans="1:3">
      <c r="A1532" s="3"/>
      <c r="B1532" t="s">
        <v>4286</v>
      </c>
      <c r="C1532" s="792">
        <v>58859.382028416068</v>
      </c>
    </row>
    <row r="1533" spans="1:3">
      <c r="A1533" s="3"/>
      <c r="B1533" t="s">
        <v>4287</v>
      </c>
      <c r="C1533" s="792">
        <v>2709.1797841536459</v>
      </c>
    </row>
    <row r="1534" spans="1:3">
      <c r="A1534" s="3"/>
      <c r="B1534" t="s">
        <v>4288</v>
      </c>
      <c r="C1534" s="792">
        <v>2709.1797841536459</v>
      </c>
    </row>
    <row r="1535" spans="1:3">
      <c r="A1535" s="3"/>
      <c r="B1535" t="s">
        <v>4289</v>
      </c>
      <c r="C1535" s="792">
        <v>0</v>
      </c>
    </row>
    <row r="1536" spans="1:3">
      <c r="A1536" s="3"/>
      <c r="B1536" t="s">
        <v>4290</v>
      </c>
      <c r="C1536" s="792">
        <v>24372.554078613746</v>
      </c>
    </row>
    <row r="1537" spans="1:5">
      <c r="A1537" s="3"/>
      <c r="B1537" t="s">
        <v>4291</v>
      </c>
      <c r="C1537" s="792">
        <v>615.39008342245984</v>
      </c>
    </row>
    <row r="1538" spans="1:5">
      <c r="A1538" s="3"/>
      <c r="B1538" s="414" t="s">
        <v>4292</v>
      </c>
      <c r="C1538" s="792">
        <v>16444.957306241584</v>
      </c>
    </row>
    <row r="1539" spans="1:5">
      <c r="A1539" s="3"/>
      <c r="B1539" s="414" t="s">
        <v>4293</v>
      </c>
      <c r="C1539" s="792">
        <v>16444.957306241584</v>
      </c>
    </row>
    <row r="1540" spans="1:5">
      <c r="A1540" s="3"/>
      <c r="B1540" s="414" t="s">
        <v>4294</v>
      </c>
      <c r="C1540" s="792">
        <v>14998.238656107189</v>
      </c>
    </row>
    <row r="1541" spans="1:5">
      <c r="A1541" s="3"/>
      <c r="B1541" t="s">
        <v>4295</v>
      </c>
      <c r="C1541" s="792">
        <v>2499.8674794593167</v>
      </c>
    </row>
    <row r="1542" spans="1:5">
      <c r="A1542" s="3"/>
      <c r="B1542" t="s">
        <v>4296</v>
      </c>
      <c r="C1542" s="792">
        <v>32140.792422095365</v>
      </c>
    </row>
    <row r="1543" spans="1:5">
      <c r="A1543" s="3"/>
      <c r="B1543" t="s">
        <v>4297</v>
      </c>
      <c r="C1543" s="792">
        <v>5513.4302822925574</v>
      </c>
    </row>
    <row r="1544" spans="1:5">
      <c r="A1544" s="3"/>
      <c r="B1544" s="414" t="s">
        <v>4298</v>
      </c>
      <c r="C1544" s="792">
        <v>134602.19700079926</v>
      </c>
    </row>
    <row r="1545" spans="1:5">
      <c r="A1545" s="3"/>
      <c r="B1545" s="414" t="s">
        <v>4299</v>
      </c>
      <c r="C1545" s="792">
        <v>113958.93551980422</v>
      </c>
    </row>
    <row r="1548" spans="1:5">
      <c r="A1548" s="3"/>
      <c r="B1548" t="s">
        <v>4306</v>
      </c>
      <c r="C1548" s="3" t="s">
        <v>4308</v>
      </c>
      <c r="D1548" s="59">
        <v>17.200849956393093</v>
      </c>
      <c r="E1548" s="6" t="s">
        <v>4307</v>
      </c>
    </row>
    <row r="1551" spans="1:5">
      <c r="A1551" s="3"/>
      <c r="B1551" t="s">
        <v>4309</v>
      </c>
      <c r="C1551" s="3" t="s">
        <v>4310</v>
      </c>
      <c r="D1551" s="59">
        <v>18.819499575878012</v>
      </c>
      <c r="E1551" s="6" t="s">
        <v>4307</v>
      </c>
    </row>
    <row r="1554" spans="1:5">
      <c r="A1554" s="3"/>
      <c r="B1554" t="s">
        <v>4311</v>
      </c>
      <c r="C1554" s="3" t="s">
        <v>4313</v>
      </c>
      <c r="D1554" s="59">
        <v>0.26599808746868864</v>
      </c>
      <c r="E1554" s="6" t="s">
        <v>4312</v>
      </c>
    </row>
    <row r="1557" spans="1:5">
      <c r="A1557" s="3"/>
      <c r="B1557" t="s">
        <v>4314</v>
      </c>
      <c r="C1557" s="3" t="s">
        <v>4315</v>
      </c>
      <c r="D1557" s="59">
        <v>0.38318831991939695</v>
      </c>
      <c r="E1557" s="6" t="s">
        <v>4312</v>
      </c>
    </row>
    <row r="1560" spans="1:5">
      <c r="A1560" s="3"/>
      <c r="B1560" t="s">
        <v>4316</v>
      </c>
      <c r="C1560" s="3" t="s">
        <v>4318</v>
      </c>
      <c r="D1560" s="59">
        <v>5.5573636935648949</v>
      </c>
      <c r="E1560" s="6" t="s">
        <v>4317</v>
      </c>
    </row>
    <row r="1563" spans="1:5">
      <c r="A1563" s="3"/>
      <c r="B1563" t="s">
        <v>4319</v>
      </c>
      <c r="C1563" s="3" t="s">
        <v>4320</v>
      </c>
      <c r="D1563" s="59">
        <v>6.0105855870206728</v>
      </c>
      <c r="E1563" s="6" t="s">
        <v>4317</v>
      </c>
    </row>
    <row r="1566" spans="1:5">
      <c r="A1566" s="3" t="s">
        <v>4322</v>
      </c>
      <c r="B1566" s="414" t="s">
        <v>4321</v>
      </c>
      <c r="C1566" s="17">
        <v>2722.1435719501874</v>
      </c>
      <c r="D1566" s="17">
        <v>2600</v>
      </c>
    </row>
    <row r="1569" spans="1:5">
      <c r="A1569" s="966"/>
      <c r="B1569" s="937" t="s">
        <v>4323</v>
      </c>
      <c r="C1569" s="950"/>
    </row>
    <row r="1570" spans="1:5">
      <c r="A1570" s="74"/>
      <c r="B1570" s="804" t="s">
        <v>4220</v>
      </c>
      <c r="C1570" s="564" t="s">
        <v>4221</v>
      </c>
    </row>
    <row r="1571" spans="1:5">
      <c r="A1571" s="3" t="s">
        <v>4324</v>
      </c>
      <c r="B1571">
        <v>0</v>
      </c>
      <c r="C1571" s="17">
        <v>953.90523240122491</v>
      </c>
    </row>
    <row r="1572" spans="1:5">
      <c r="A1572" s="3"/>
      <c r="B1572">
        <v>20000</v>
      </c>
      <c r="C1572" s="17">
        <v>4769.5261620061247</v>
      </c>
    </row>
    <row r="1573" spans="1:5">
      <c r="A1573" s="3"/>
      <c r="B1573">
        <v>50000</v>
      </c>
      <c r="C1573" s="17">
        <v>9857.0207348126569</v>
      </c>
    </row>
    <row r="1576" spans="1:5">
      <c r="A1576" s="3"/>
      <c r="B1576" t="s">
        <v>4325</v>
      </c>
      <c r="C1576" s="3" t="s">
        <v>4326</v>
      </c>
      <c r="D1576" s="59">
        <v>14784.380530580231</v>
      </c>
      <c r="E1576" s="6" t="s">
        <v>840</v>
      </c>
    </row>
    <row r="1579" spans="1:5">
      <c r="A1579" s="3"/>
      <c r="B1579" t="s">
        <v>4327</v>
      </c>
      <c r="C1579" s="3" t="s">
        <v>4328</v>
      </c>
      <c r="D1579" s="59">
        <v>3392.2096819686953</v>
      </c>
      <c r="E1579" s="6" t="s">
        <v>4214</v>
      </c>
    </row>
    <row r="1582" spans="1:5">
      <c r="A1582" s="3"/>
      <c r="B1582" t="s">
        <v>4329</v>
      </c>
      <c r="C1582" s="3" t="s">
        <v>4330</v>
      </c>
      <c r="D1582" s="59">
        <v>0.56536828032811592</v>
      </c>
      <c r="E1582" s="6" t="s">
        <v>4217</v>
      </c>
    </row>
    <row r="1585" spans="1:5">
      <c r="A1585" s="3"/>
      <c r="B1585" t="s">
        <v>4331</v>
      </c>
      <c r="C1585" s="3" t="s">
        <v>4332</v>
      </c>
      <c r="D1585" s="59">
        <v>0.39785175282348895</v>
      </c>
      <c r="E1585" s="6" t="s">
        <v>2818</v>
      </c>
    </row>
    <row r="1588" spans="1:5">
      <c r="A1588" s="966"/>
      <c r="B1588" s="937" t="s">
        <v>4333</v>
      </c>
      <c r="C1588" s="950"/>
    </row>
    <row r="1589" spans="1:5">
      <c r="A1589" s="74"/>
      <c r="B1589" s="804" t="s">
        <v>4254</v>
      </c>
      <c r="C1589" s="73" t="s">
        <v>4255</v>
      </c>
    </row>
    <row r="1590" spans="1:5">
      <c r="A1590" s="3" t="s">
        <v>4334</v>
      </c>
      <c r="B1590">
        <v>0</v>
      </c>
      <c r="C1590" s="17">
        <v>0</v>
      </c>
    </row>
    <row r="1591" spans="1:5">
      <c r="A1591" s="3"/>
      <c r="B1591">
        <v>1</v>
      </c>
      <c r="C1591" s="17">
        <v>1779.8631047366612</v>
      </c>
    </row>
    <row r="1592" spans="1:5">
      <c r="A1592" s="3"/>
      <c r="B1592">
        <v>5</v>
      </c>
      <c r="C1592" s="17">
        <v>2722.1435719501874</v>
      </c>
    </row>
    <row r="1595" spans="1:5">
      <c r="A1595" s="966"/>
      <c r="B1595" s="937" t="s">
        <v>4335</v>
      </c>
      <c r="C1595" s="950"/>
      <c r="D1595" s="950"/>
    </row>
    <row r="1596" spans="1:5">
      <c r="A1596" s="74"/>
      <c r="B1596" s="804" t="s">
        <v>4241</v>
      </c>
      <c r="C1596" s="73" t="s">
        <v>4242</v>
      </c>
      <c r="D1596" s="976" t="s">
        <v>4336</v>
      </c>
    </row>
    <row r="1597" spans="1:5">
      <c r="A1597" s="3" t="s">
        <v>4337</v>
      </c>
      <c r="B1597">
        <v>0</v>
      </c>
      <c r="C1597" s="17" t="s">
        <v>4244</v>
      </c>
      <c r="D1597" s="17">
        <v>2.6</v>
      </c>
    </row>
    <row r="1598" spans="1:5">
      <c r="A1598" s="3"/>
      <c r="B1598">
        <v>3.1E-2</v>
      </c>
      <c r="C1598" s="17" t="s">
        <v>4245</v>
      </c>
      <c r="D1598" s="17">
        <v>2.2999999999999998</v>
      </c>
    </row>
    <row r="1599" spans="1:5">
      <c r="A1599" s="3"/>
      <c r="B1599">
        <v>0.1241</v>
      </c>
      <c r="C1599" s="17" t="s">
        <v>4246</v>
      </c>
      <c r="D1599" s="17">
        <v>2.2000000000000002</v>
      </c>
    </row>
    <row r="1600" spans="1:5">
      <c r="B1600">
        <v>0.30509999999999998</v>
      </c>
      <c r="C1600" t="s">
        <v>4247</v>
      </c>
      <c r="D1600">
        <v>1.8</v>
      </c>
    </row>
    <row r="1601" spans="2:4">
      <c r="B1601">
        <v>0.74099999999999999</v>
      </c>
      <c r="C1601" t="s">
        <v>4248</v>
      </c>
      <c r="D1601">
        <v>1.6</v>
      </c>
    </row>
    <row r="1602" spans="2:4">
      <c r="B1602">
        <v>2.1520999999999999</v>
      </c>
      <c r="C1602" t="s">
        <v>4249</v>
      </c>
      <c r="D1602">
        <v>1.5</v>
      </c>
    </row>
    <row r="1603" spans="2:4">
      <c r="B1603">
        <v>7.3651</v>
      </c>
      <c r="C1603" t="s">
        <v>4250</v>
      </c>
      <c r="D1603">
        <v>1.5</v>
      </c>
    </row>
    <row r="1604" spans="2:4">
      <c r="B1604">
        <v>22.614100000000001</v>
      </c>
      <c r="C1604" t="s">
        <v>4251</v>
      </c>
      <c r="D1604">
        <v>1.4</v>
      </c>
    </row>
  </sheetData>
  <phoneticPr fontId="83" type="noConversion"/>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F134"/>
  <sheetViews>
    <sheetView workbookViewId="0">
      <pane ySplit="4" topLeftCell="A5" activePane="bottomLeft" state="frozen"/>
      <selection activeCell="A122" sqref="A122"/>
      <selection pane="bottomLeft" activeCell="C39" sqref="C39"/>
    </sheetView>
  </sheetViews>
  <sheetFormatPr baseColWidth="10" defaultColWidth="9.1640625" defaultRowHeight="13"/>
  <cols>
    <col min="1" max="1" width="60.33203125" style="414" customWidth="1"/>
    <col min="2" max="2" width="21.83203125" style="414" customWidth="1"/>
    <col min="3" max="3" width="17" style="414" customWidth="1"/>
    <col min="4" max="4" width="30" style="414" customWidth="1"/>
    <col min="5" max="5" width="16" style="7" customWidth="1"/>
    <col min="6" max="16384" width="9.1640625" style="414"/>
  </cols>
  <sheetData>
    <row r="1" spans="1:5">
      <c r="A1" s="1" t="s">
        <v>3248</v>
      </c>
      <c r="C1" s="523"/>
      <c r="E1" s="414"/>
    </row>
    <row r="2" spans="1:5">
      <c r="A2" s="570" t="s">
        <v>3247</v>
      </c>
      <c r="C2" s="523"/>
      <c r="E2" s="414"/>
    </row>
    <row r="3" spans="1:5">
      <c r="E3" s="414"/>
    </row>
    <row r="4" spans="1:5">
      <c r="A4" s="168" t="s">
        <v>1368</v>
      </c>
      <c r="B4" s="168" t="s">
        <v>1369</v>
      </c>
      <c r="C4" s="169" t="s">
        <v>1370</v>
      </c>
      <c r="D4" s="168" t="s">
        <v>1371</v>
      </c>
      <c r="E4" s="168" t="s">
        <v>1372</v>
      </c>
    </row>
    <row r="5" spans="1:5">
      <c r="A5" s="2" t="s">
        <v>2740</v>
      </c>
    </row>
    <row r="6" spans="1:5">
      <c r="A6" s="414" t="s">
        <v>257</v>
      </c>
      <c r="B6" s="3" t="s">
        <v>258</v>
      </c>
      <c r="C6" s="527">
        <v>1</v>
      </c>
      <c r="D6" s="414" t="s">
        <v>302</v>
      </c>
    </row>
    <row r="7" spans="1:5" ht="28">
      <c r="A7" s="414" t="s">
        <v>3752</v>
      </c>
      <c r="B7" s="3" t="s">
        <v>2645</v>
      </c>
      <c r="C7" s="409">
        <v>1</v>
      </c>
      <c r="D7" s="556" t="s">
        <v>3753</v>
      </c>
      <c r="E7" s="7" t="s">
        <v>3754</v>
      </c>
    </row>
    <row r="8" spans="1:5">
      <c r="A8" s="1"/>
    </row>
    <row r="9" spans="1:5">
      <c r="A9" s="2" t="s">
        <v>2653</v>
      </c>
    </row>
    <row r="10" spans="1:5">
      <c r="A10" s="414" t="s">
        <v>259</v>
      </c>
      <c r="B10" s="3" t="s">
        <v>260</v>
      </c>
      <c r="C10" s="527">
        <v>1</v>
      </c>
      <c r="D10" s="414" t="s">
        <v>302</v>
      </c>
    </row>
    <row r="11" spans="1:5">
      <c r="A11" s="414" t="s">
        <v>2993</v>
      </c>
      <c r="B11" s="3" t="s">
        <v>2994</v>
      </c>
      <c r="C11" s="527">
        <v>1</v>
      </c>
      <c r="D11" s="414" t="s">
        <v>302</v>
      </c>
    </row>
    <row r="12" spans="1:5">
      <c r="B12" s="3"/>
      <c r="C12" s="523"/>
    </row>
    <row r="13" spans="1:5">
      <c r="A13" s="2" t="s">
        <v>231</v>
      </c>
    </row>
    <row r="14" spans="1:5">
      <c r="A14" s="414" t="s">
        <v>914</v>
      </c>
      <c r="B14" s="3" t="s">
        <v>915</v>
      </c>
      <c r="C14" s="533">
        <v>0</v>
      </c>
      <c r="D14" s="414" t="s">
        <v>264</v>
      </c>
      <c r="E14" s="7" t="s">
        <v>3321</v>
      </c>
    </row>
    <row r="15" spans="1:5">
      <c r="A15" s="414" t="s">
        <v>262</v>
      </c>
      <c r="B15" s="3" t="s">
        <v>263</v>
      </c>
      <c r="C15" s="533">
        <v>0.05</v>
      </c>
      <c r="D15" s="414" t="s">
        <v>264</v>
      </c>
    </row>
    <row r="16" spans="1:5">
      <c r="A16" s="414" t="s">
        <v>265</v>
      </c>
      <c r="B16" s="3" t="s">
        <v>266</v>
      </c>
      <c r="C16" s="533">
        <v>0.04</v>
      </c>
      <c r="D16" s="414" t="s">
        <v>264</v>
      </c>
    </row>
    <row r="17" spans="1:5">
      <c r="A17" s="414" t="s">
        <v>267</v>
      </c>
      <c r="B17" s="3" t="s">
        <v>268</v>
      </c>
      <c r="C17" s="533">
        <v>0.02</v>
      </c>
      <c r="D17" s="414" t="s">
        <v>264</v>
      </c>
    </row>
    <row r="18" spans="1:5">
      <c r="B18" s="3"/>
      <c r="C18" s="743"/>
    </row>
    <row r="19" spans="1:5">
      <c r="A19" s="155" t="s">
        <v>232</v>
      </c>
    </row>
    <row r="20" spans="1:5">
      <c r="A20" s="414" t="s">
        <v>109</v>
      </c>
      <c r="B20" s="3" t="s">
        <v>110</v>
      </c>
      <c r="C20" s="395">
        <v>1</v>
      </c>
      <c r="D20" s="414" t="s">
        <v>302</v>
      </c>
      <c r="E20" s="7" t="s">
        <v>111</v>
      </c>
    </row>
    <row r="21" spans="1:5">
      <c r="A21" s="414" t="s">
        <v>197</v>
      </c>
      <c r="B21" s="3" t="s">
        <v>198</v>
      </c>
      <c r="C21" s="395">
        <v>0</v>
      </c>
      <c r="D21" s="414" t="s">
        <v>302</v>
      </c>
    </row>
    <row r="22" spans="1:5">
      <c r="B22" s="3"/>
      <c r="C22" s="743"/>
    </row>
    <row r="23" spans="1:5">
      <c r="A23" s="155" t="s">
        <v>1704</v>
      </c>
    </row>
    <row r="24" spans="1:5">
      <c r="A24" s="744" t="s">
        <v>269</v>
      </c>
      <c r="B24" s="3" t="s">
        <v>270</v>
      </c>
      <c r="C24" s="533">
        <v>0</v>
      </c>
      <c r="D24" s="414" t="s">
        <v>264</v>
      </c>
      <c r="E24" s="7" t="s">
        <v>271</v>
      </c>
    </row>
    <row r="25" spans="1:5">
      <c r="B25" s="3"/>
      <c r="C25" s="745"/>
    </row>
    <row r="26" spans="1:5">
      <c r="A26" s="2" t="s">
        <v>272</v>
      </c>
    </row>
    <row r="27" spans="1:5">
      <c r="A27" s="414" t="s">
        <v>273</v>
      </c>
      <c r="B27" s="3" t="s">
        <v>274</v>
      </c>
      <c r="C27" s="527">
        <v>1</v>
      </c>
      <c r="D27" s="414" t="s">
        <v>302</v>
      </c>
    </row>
    <row r="29" spans="1:5">
      <c r="A29" s="2" t="s">
        <v>2037</v>
      </c>
    </row>
    <row r="30" spans="1:5">
      <c r="A30" s="414" t="s">
        <v>275</v>
      </c>
      <c r="B30" s="3" t="s">
        <v>276</v>
      </c>
      <c r="C30" s="527">
        <v>1</v>
      </c>
      <c r="D30" s="414" t="s">
        <v>302</v>
      </c>
    </row>
    <row r="31" spans="1:5">
      <c r="A31" s="414" t="s">
        <v>3443</v>
      </c>
      <c r="B31" s="3" t="s">
        <v>3444</v>
      </c>
      <c r="C31" s="527">
        <v>0</v>
      </c>
      <c r="D31" s="414" t="s">
        <v>302</v>
      </c>
    </row>
    <row r="32" spans="1:5">
      <c r="A32" s="414" t="s">
        <v>1008</v>
      </c>
      <c r="B32" s="3" t="s">
        <v>1009</v>
      </c>
      <c r="C32" s="409">
        <v>38</v>
      </c>
      <c r="D32" s="414" t="s">
        <v>531</v>
      </c>
      <c r="E32" s="7" t="s">
        <v>3319</v>
      </c>
    </row>
    <row r="33" spans="1:5">
      <c r="A33" s="414" t="s">
        <v>1010</v>
      </c>
      <c r="B33" s="3" t="s">
        <v>1621</v>
      </c>
      <c r="C33" s="409">
        <v>36</v>
      </c>
      <c r="D33" s="414" t="s">
        <v>531</v>
      </c>
      <c r="E33" s="7" t="s">
        <v>1620</v>
      </c>
    </row>
    <row r="34" spans="1:5">
      <c r="A34" s="414" t="s">
        <v>2555</v>
      </c>
      <c r="B34" s="3" t="s">
        <v>2556</v>
      </c>
      <c r="C34" s="409">
        <v>97</v>
      </c>
      <c r="D34" s="414" t="s">
        <v>3020</v>
      </c>
      <c r="E34" s="7" t="s">
        <v>3021</v>
      </c>
    </row>
    <row r="35" spans="1:5">
      <c r="A35" s="414" t="s">
        <v>3022</v>
      </c>
      <c r="B35" s="3" t="s">
        <v>3024</v>
      </c>
      <c r="C35" s="409">
        <v>3</v>
      </c>
    </row>
    <row r="36" spans="1:5">
      <c r="A36" s="414" t="s">
        <v>3023</v>
      </c>
      <c r="B36" s="3" t="s">
        <v>3025</v>
      </c>
      <c r="C36" s="409">
        <v>0.46700000000000003</v>
      </c>
    </row>
    <row r="37" spans="1:5">
      <c r="A37" s="414" t="s">
        <v>140</v>
      </c>
      <c r="B37" s="3" t="s">
        <v>141</v>
      </c>
      <c r="C37" s="409">
        <v>6</v>
      </c>
      <c r="D37" s="414" t="s">
        <v>531</v>
      </c>
    </row>
    <row r="38" spans="1:5">
      <c r="A38" s="414" t="s">
        <v>1338</v>
      </c>
      <c r="B38" s="3" t="s">
        <v>1339</v>
      </c>
      <c r="C38" s="533">
        <v>0.25</v>
      </c>
      <c r="D38" s="414" t="s">
        <v>1340</v>
      </c>
    </row>
    <row r="39" spans="1:5">
      <c r="A39" s="56" t="s">
        <v>142</v>
      </c>
      <c r="B39" s="3" t="s">
        <v>1728</v>
      </c>
      <c r="C39" s="409">
        <f>RADIANS(45)</f>
        <v>0.78539816339744828</v>
      </c>
      <c r="D39" s="414" t="s">
        <v>2734</v>
      </c>
    </row>
    <row r="40" spans="1:5">
      <c r="A40" s="414" t="s">
        <v>1328</v>
      </c>
      <c r="B40" s="3" t="s">
        <v>1329</v>
      </c>
      <c r="C40" s="409">
        <v>0</v>
      </c>
      <c r="D40" s="414" t="s">
        <v>2219</v>
      </c>
      <c r="E40" s="7" t="s">
        <v>1331</v>
      </c>
    </row>
    <row r="41" spans="1:5">
      <c r="A41" s="414" t="s">
        <v>2735</v>
      </c>
      <c r="B41" s="3" t="s">
        <v>1330</v>
      </c>
      <c r="C41" s="409">
        <v>0</v>
      </c>
      <c r="D41" s="414" t="s">
        <v>2219</v>
      </c>
      <c r="E41" s="7" t="s">
        <v>1332</v>
      </c>
    </row>
    <row r="42" spans="1:5">
      <c r="B42" s="3"/>
    </row>
    <row r="43" spans="1:5">
      <c r="A43" s="2" t="s">
        <v>2038</v>
      </c>
    </row>
    <row r="44" spans="1:5">
      <c r="A44" s="414" t="s">
        <v>873</v>
      </c>
      <c r="B44" s="3" t="s">
        <v>277</v>
      </c>
      <c r="C44" s="527">
        <v>0</v>
      </c>
      <c r="D44" s="414" t="s">
        <v>302</v>
      </c>
      <c r="E44" s="7" t="s">
        <v>278</v>
      </c>
    </row>
    <row r="45" spans="1:5">
      <c r="A45" s="414" t="s">
        <v>874</v>
      </c>
      <c r="B45" s="3" t="s">
        <v>279</v>
      </c>
      <c r="C45" s="527">
        <v>0</v>
      </c>
      <c r="D45" s="414" t="s">
        <v>302</v>
      </c>
    </row>
    <row r="46" spans="1:5">
      <c r="A46" s="414" t="s">
        <v>875</v>
      </c>
      <c r="B46" s="3" t="s">
        <v>280</v>
      </c>
      <c r="C46" s="527">
        <v>1</v>
      </c>
      <c r="D46" s="414" t="s">
        <v>302</v>
      </c>
    </row>
    <row r="47" spans="1:5">
      <c r="A47" s="414" t="s">
        <v>876</v>
      </c>
      <c r="B47" s="3" t="s">
        <v>879</v>
      </c>
      <c r="C47" s="527">
        <v>1</v>
      </c>
      <c r="D47" s="414" t="s">
        <v>302</v>
      </c>
      <c r="E47" s="7" t="s">
        <v>882</v>
      </c>
    </row>
    <row r="48" spans="1:5">
      <c r="A48" s="414" t="s">
        <v>877</v>
      </c>
      <c r="B48" s="3" t="s">
        <v>880</v>
      </c>
      <c r="C48" s="527">
        <v>1</v>
      </c>
      <c r="D48" s="414" t="s">
        <v>302</v>
      </c>
    </row>
    <row r="49" spans="1:5">
      <c r="A49" s="414" t="s">
        <v>878</v>
      </c>
      <c r="B49" s="3" t="s">
        <v>881</v>
      </c>
      <c r="C49" s="527">
        <v>1</v>
      </c>
      <c r="D49" s="414" t="s">
        <v>302</v>
      </c>
    </row>
    <row r="50" spans="1:5">
      <c r="A50" s="414" t="s">
        <v>946</v>
      </c>
      <c r="B50" s="3" t="s">
        <v>3005</v>
      </c>
      <c r="C50" s="409">
        <v>4</v>
      </c>
      <c r="D50" s="414" t="s">
        <v>2219</v>
      </c>
    </row>
    <row r="51" spans="1:5">
      <c r="A51" s="414" t="s">
        <v>947</v>
      </c>
      <c r="B51" s="3" t="s">
        <v>3006</v>
      </c>
      <c r="C51" s="409">
        <v>4</v>
      </c>
      <c r="D51" s="414" t="s">
        <v>2219</v>
      </c>
    </row>
    <row r="52" spans="1:5">
      <c r="A52" s="414" t="s">
        <v>948</v>
      </c>
      <c r="B52" s="3" t="s">
        <v>3007</v>
      </c>
      <c r="C52" s="409">
        <v>7</v>
      </c>
      <c r="D52" s="414" t="s">
        <v>2219</v>
      </c>
    </row>
    <row r="53" spans="1:5">
      <c r="A53" s="414" t="s">
        <v>2870</v>
      </c>
      <c r="B53" s="3" t="s">
        <v>2872</v>
      </c>
      <c r="C53" s="409">
        <v>10</v>
      </c>
      <c r="D53" s="414" t="s">
        <v>2219</v>
      </c>
    </row>
    <row r="54" spans="1:5">
      <c r="A54" s="414" t="s">
        <v>460</v>
      </c>
      <c r="B54" s="3" t="s">
        <v>461</v>
      </c>
      <c r="C54" s="409">
        <v>25</v>
      </c>
      <c r="D54" s="414" t="s">
        <v>2219</v>
      </c>
    </row>
    <row r="55" spans="1:5">
      <c r="A55" s="414" t="s">
        <v>462</v>
      </c>
      <c r="B55" s="3" t="s">
        <v>463</v>
      </c>
      <c r="C55" s="409">
        <v>50</v>
      </c>
      <c r="D55" s="414" t="s">
        <v>2219</v>
      </c>
    </row>
    <row r="56" spans="1:5">
      <c r="A56" s="414" t="s">
        <v>464</v>
      </c>
      <c r="B56" s="3" t="s">
        <v>465</v>
      </c>
      <c r="C56" s="409">
        <v>20</v>
      </c>
      <c r="D56" s="414" t="s">
        <v>2219</v>
      </c>
      <c r="E56" s="7" t="s">
        <v>2871</v>
      </c>
    </row>
    <row r="57" spans="1:5">
      <c r="A57" s="414" t="s">
        <v>3010</v>
      </c>
      <c r="B57" s="3" t="s">
        <v>3009</v>
      </c>
      <c r="C57" s="409">
        <v>2000</v>
      </c>
      <c r="D57" s="414" t="s">
        <v>3114</v>
      </c>
      <c r="E57" s="7" t="s">
        <v>466</v>
      </c>
    </row>
    <row r="58" spans="1:5">
      <c r="A58" s="414" t="s">
        <v>2487</v>
      </c>
      <c r="B58" s="3" t="s">
        <v>2488</v>
      </c>
      <c r="C58" s="409">
        <v>4</v>
      </c>
    </row>
    <row r="59" spans="1:5">
      <c r="A59" s="414" t="s">
        <v>2834</v>
      </c>
      <c r="B59" s="3" t="s">
        <v>2835</v>
      </c>
      <c r="C59" s="409">
        <v>1000</v>
      </c>
      <c r="D59" s="414" t="s">
        <v>3114</v>
      </c>
    </row>
    <row r="60" spans="1:5">
      <c r="A60" s="414" t="s">
        <v>2840</v>
      </c>
      <c r="B60" s="3" t="s">
        <v>2841</v>
      </c>
      <c r="C60" s="409">
        <v>24</v>
      </c>
      <c r="D60" s="414" t="s">
        <v>3029</v>
      </c>
    </row>
    <row r="61" spans="1:5">
      <c r="A61" s="414" t="s">
        <v>3031</v>
      </c>
      <c r="B61" s="3" t="s">
        <v>3028</v>
      </c>
      <c r="C61" s="409">
        <v>55.5</v>
      </c>
      <c r="D61" s="414" t="s">
        <v>3032</v>
      </c>
      <c r="E61" s="7" t="s">
        <v>3030</v>
      </c>
    </row>
    <row r="63" spans="1:5">
      <c r="A63" s="2" t="s">
        <v>2737</v>
      </c>
    </row>
    <row r="64" spans="1:5">
      <c r="A64" s="414" t="s">
        <v>281</v>
      </c>
      <c r="B64" s="3" t="s">
        <v>282</v>
      </c>
      <c r="C64" s="527">
        <v>1</v>
      </c>
      <c r="D64" s="414" t="s">
        <v>302</v>
      </c>
    </row>
    <row r="65" spans="1:5">
      <c r="A65" s="414" t="s">
        <v>195</v>
      </c>
      <c r="B65" s="3" t="s">
        <v>196</v>
      </c>
      <c r="C65" s="527">
        <v>0</v>
      </c>
      <c r="D65" s="414" t="s">
        <v>302</v>
      </c>
    </row>
    <row r="66" spans="1:5">
      <c r="A66" s="414" t="s">
        <v>3445</v>
      </c>
      <c r="B66" s="3" t="s">
        <v>3446</v>
      </c>
      <c r="C66" s="527">
        <v>0</v>
      </c>
      <c r="D66" s="414" t="s">
        <v>302</v>
      </c>
    </row>
    <row r="67" spans="1:5">
      <c r="A67" s="414" t="s">
        <v>2638</v>
      </c>
      <c r="B67" s="3" t="s">
        <v>2639</v>
      </c>
      <c r="C67" s="533">
        <v>0</v>
      </c>
      <c r="E67" s="7" t="s">
        <v>3345</v>
      </c>
    </row>
    <row r="68" spans="1:5">
      <c r="A68" s="414" t="s">
        <v>2692</v>
      </c>
      <c r="B68" s="3" t="s">
        <v>2694</v>
      </c>
      <c r="C68" s="547">
        <v>0</v>
      </c>
      <c r="D68" s="414" t="s">
        <v>302</v>
      </c>
      <c r="E68" s="7" t="s">
        <v>3346</v>
      </c>
    </row>
    <row r="69" spans="1:5">
      <c r="A69" s="414" t="s">
        <v>2693</v>
      </c>
      <c r="B69" s="3" t="s">
        <v>301</v>
      </c>
      <c r="C69" s="547">
        <v>0</v>
      </c>
      <c r="D69" s="414" t="s">
        <v>302</v>
      </c>
      <c r="E69" s="7" t="s">
        <v>965</v>
      </c>
    </row>
    <row r="70" spans="1:5">
      <c r="A70" s="414" t="s">
        <v>234</v>
      </c>
      <c r="B70" s="3" t="s">
        <v>235</v>
      </c>
      <c r="C70" s="434">
        <v>1.5</v>
      </c>
      <c r="D70" s="414" t="s">
        <v>1364</v>
      </c>
    </row>
    <row r="72" spans="1:5">
      <c r="A72" s="155" t="s">
        <v>2738</v>
      </c>
      <c r="B72" s="3"/>
      <c r="C72" s="578"/>
    </row>
    <row r="73" spans="1:5">
      <c r="A73" s="414" t="s">
        <v>283</v>
      </c>
      <c r="B73" s="3" t="s">
        <v>284</v>
      </c>
      <c r="C73" s="533">
        <v>0.1</v>
      </c>
      <c r="D73" s="414" t="s">
        <v>285</v>
      </c>
    </row>
    <row r="74" spans="1:5">
      <c r="B74" s="3"/>
      <c r="C74" s="578"/>
    </row>
    <row r="75" spans="1:5">
      <c r="A75" s="155" t="s">
        <v>2739</v>
      </c>
    </row>
    <row r="76" spans="1:5">
      <c r="A76" s="414" t="s">
        <v>286</v>
      </c>
      <c r="B76" s="3" t="s">
        <v>287</v>
      </c>
      <c r="C76" s="533">
        <v>0</v>
      </c>
      <c r="D76" s="414" t="s">
        <v>285</v>
      </c>
      <c r="E76" s="7" t="s">
        <v>3347</v>
      </c>
    </row>
    <row r="78" spans="1:5">
      <c r="A78" s="2" t="s">
        <v>2654</v>
      </c>
    </row>
    <row r="79" spans="1:5">
      <c r="A79" s="414" t="s">
        <v>917</v>
      </c>
      <c r="B79" s="3" t="s">
        <v>918</v>
      </c>
      <c r="C79" s="527">
        <v>0</v>
      </c>
      <c r="D79" s="414" t="s">
        <v>302</v>
      </c>
    </row>
    <row r="80" spans="1:5">
      <c r="A80" s="414" t="s">
        <v>919</v>
      </c>
      <c r="B80" s="3" t="s">
        <v>806</v>
      </c>
      <c r="C80" s="527">
        <v>0</v>
      </c>
      <c r="D80" s="414" t="s">
        <v>302</v>
      </c>
    </row>
    <row r="81" spans="1:5">
      <c r="A81" s="414" t="s">
        <v>807</v>
      </c>
      <c r="B81" s="3" t="s">
        <v>808</v>
      </c>
      <c r="C81" s="527">
        <v>1</v>
      </c>
      <c r="D81" s="414" t="s">
        <v>302</v>
      </c>
    </row>
    <row r="82" spans="1:5">
      <c r="A82" s="414" t="s">
        <v>1755</v>
      </c>
      <c r="B82" s="3" t="s">
        <v>1756</v>
      </c>
      <c r="C82" s="746">
        <v>1</v>
      </c>
      <c r="E82" s="7" t="s">
        <v>3348</v>
      </c>
    </row>
    <row r="84" spans="1:5">
      <c r="A84" s="2" t="s">
        <v>2655</v>
      </c>
    </row>
    <row r="85" spans="1:5">
      <c r="A85" s="414" t="s">
        <v>288</v>
      </c>
      <c r="B85" s="3" t="s">
        <v>3170</v>
      </c>
      <c r="C85" s="533">
        <v>0.2</v>
      </c>
      <c r="D85" s="414" t="s">
        <v>264</v>
      </c>
      <c r="E85" s="7" t="s">
        <v>3349</v>
      </c>
    </row>
    <row r="86" spans="1:5">
      <c r="A86" s="414" t="s">
        <v>3171</v>
      </c>
      <c r="B86" s="3" t="s">
        <v>3172</v>
      </c>
      <c r="C86" s="533">
        <v>0.12</v>
      </c>
      <c r="D86" s="414" t="s">
        <v>264</v>
      </c>
    </row>
    <row r="87" spans="1:5">
      <c r="A87" s="414" t="s">
        <v>3173</v>
      </c>
      <c r="B87" s="3" t="s">
        <v>3174</v>
      </c>
      <c r="C87" s="533">
        <v>0.08</v>
      </c>
      <c r="D87" s="414" t="s">
        <v>264</v>
      </c>
    </row>
    <row r="89" spans="1:5">
      <c r="A89" s="155" t="s">
        <v>1081</v>
      </c>
    </row>
    <row r="90" spans="1:5">
      <c r="A90" s="744" t="s">
        <v>3175</v>
      </c>
      <c r="B90" s="156" t="s">
        <v>3176</v>
      </c>
      <c r="C90" s="747">
        <v>0.1</v>
      </c>
      <c r="D90" s="414" t="s">
        <v>264</v>
      </c>
      <c r="E90" s="7" t="s">
        <v>3349</v>
      </c>
    </row>
    <row r="91" spans="1:5">
      <c r="A91" s="744"/>
      <c r="B91" s="748"/>
      <c r="C91" s="727"/>
    </row>
    <row r="92" spans="1:5">
      <c r="A92" s="155" t="s">
        <v>2656</v>
      </c>
      <c r="B92" s="748"/>
      <c r="C92" s="727"/>
    </row>
    <row r="93" spans="1:5">
      <c r="A93" s="744" t="s">
        <v>2553</v>
      </c>
      <c r="B93" s="156" t="s">
        <v>2554</v>
      </c>
      <c r="C93" s="747">
        <v>0.02</v>
      </c>
      <c r="D93" s="414" t="s">
        <v>264</v>
      </c>
      <c r="E93" s="7" t="s">
        <v>3322</v>
      </c>
    </row>
    <row r="94" spans="1:5">
      <c r="A94" s="744"/>
      <c r="B94" s="748"/>
      <c r="C94" s="727"/>
    </row>
    <row r="95" spans="1:5">
      <c r="A95" s="155" t="s">
        <v>2657</v>
      </c>
      <c r="B95" s="748"/>
      <c r="C95" s="727"/>
    </row>
    <row r="96" spans="1:5">
      <c r="A96" s="744" t="s">
        <v>2418</v>
      </c>
      <c r="B96" s="156" t="s">
        <v>2419</v>
      </c>
      <c r="C96" s="747">
        <v>0</v>
      </c>
      <c r="D96" s="414" t="s">
        <v>264</v>
      </c>
      <c r="E96" s="7" t="s">
        <v>3350</v>
      </c>
    </row>
    <row r="97" spans="1:6">
      <c r="B97" s="748"/>
      <c r="C97" s="727"/>
    </row>
    <row r="98" spans="1:6">
      <c r="A98" s="2" t="s">
        <v>1636</v>
      </c>
      <c r="B98" s="748"/>
      <c r="C98" s="727"/>
    </row>
    <row r="99" spans="1:6">
      <c r="A99" s="414" t="s">
        <v>2420</v>
      </c>
      <c r="B99" s="156" t="s">
        <v>2421</v>
      </c>
      <c r="C99" s="749">
        <v>0.05</v>
      </c>
      <c r="D99" s="414" t="s">
        <v>264</v>
      </c>
      <c r="E99" s="7" t="s">
        <v>3351</v>
      </c>
    </row>
    <row r="100" spans="1:6">
      <c r="A100" s="414" t="s">
        <v>199</v>
      </c>
      <c r="B100" s="156" t="s">
        <v>201</v>
      </c>
      <c r="C100" s="749">
        <v>0</v>
      </c>
      <c r="D100" s="414" t="s">
        <v>264</v>
      </c>
      <c r="E100" s="7" t="s">
        <v>200</v>
      </c>
    </row>
    <row r="102" spans="1:6">
      <c r="A102" s="2" t="s">
        <v>112</v>
      </c>
      <c r="B102" s="156"/>
      <c r="E102" s="414"/>
    </row>
    <row r="103" spans="1:6">
      <c r="A103" s="414" t="s">
        <v>113</v>
      </c>
      <c r="B103" s="156" t="s">
        <v>114</v>
      </c>
      <c r="C103" s="750">
        <v>3.3999999999999998E-3</v>
      </c>
      <c r="E103" s="7" t="s">
        <v>115</v>
      </c>
    </row>
    <row r="104" spans="1:6">
      <c r="A104" s="414" t="s">
        <v>116</v>
      </c>
      <c r="B104" s="156" t="s">
        <v>486</v>
      </c>
      <c r="C104" s="751">
        <v>1</v>
      </c>
      <c r="D104" s="414" t="s">
        <v>302</v>
      </c>
    </row>
    <row r="105" spans="1:6">
      <c r="A105" s="414" t="s">
        <v>487</v>
      </c>
      <c r="B105" s="156" t="s">
        <v>488</v>
      </c>
      <c r="C105" s="751">
        <v>1</v>
      </c>
      <c r="D105" s="414" t="s">
        <v>302</v>
      </c>
    </row>
    <row r="106" spans="1:6">
      <c r="A106" s="414" t="s">
        <v>809</v>
      </c>
      <c r="B106" s="156" t="s">
        <v>810</v>
      </c>
      <c r="C106" s="751">
        <v>0</v>
      </c>
      <c r="D106" s="414" t="s">
        <v>302</v>
      </c>
      <c r="F106" s="414" t="s">
        <v>139</v>
      </c>
    </row>
    <row r="108" spans="1:6">
      <c r="A108" s="2" t="s">
        <v>3507</v>
      </c>
      <c r="B108" s="1"/>
      <c r="C108" s="120"/>
      <c r="D108" s="1"/>
      <c r="E108" s="1"/>
    </row>
    <row r="109" spans="1:6">
      <c r="A109" s="414" t="s">
        <v>236</v>
      </c>
      <c r="B109" s="3" t="s">
        <v>237</v>
      </c>
      <c r="C109" s="527">
        <v>1</v>
      </c>
      <c r="D109" s="414" t="s">
        <v>302</v>
      </c>
      <c r="E109" s="1"/>
    </row>
    <row r="111" spans="1:6" ht="14" thickBot="1">
      <c r="A111" s="571" t="s">
        <v>2756</v>
      </c>
    </row>
    <row r="112" spans="1:6">
      <c r="A112" s="1064" t="s">
        <v>2757</v>
      </c>
      <c r="B112" s="1066" t="s">
        <v>1369</v>
      </c>
      <c r="C112" s="1062" t="s">
        <v>1891</v>
      </c>
      <c r="D112" s="1062"/>
      <c r="E112" s="1063"/>
    </row>
    <row r="113" spans="1:6">
      <c r="A113" s="1065"/>
      <c r="B113" s="1067"/>
      <c r="C113" s="752" t="s">
        <v>1602</v>
      </c>
      <c r="D113" s="752" t="s">
        <v>1603</v>
      </c>
      <c r="E113" s="753" t="s">
        <v>1604</v>
      </c>
    </row>
    <row r="114" spans="1:6" ht="14">
      <c r="A114" s="407" t="s">
        <v>2758</v>
      </c>
      <c r="B114" s="556"/>
      <c r="C114" s="2"/>
      <c r="D114" s="2"/>
      <c r="E114" s="754"/>
    </row>
    <row r="115" spans="1:6" ht="14">
      <c r="A115" s="755" t="s">
        <v>2759</v>
      </c>
      <c r="B115" s="408" t="s">
        <v>2760</v>
      </c>
      <c r="C115" s="409">
        <v>0</v>
      </c>
      <c r="D115" s="409">
        <v>1</v>
      </c>
      <c r="E115" s="410">
        <v>1</v>
      </c>
      <c r="F115" s="3"/>
    </row>
    <row r="116" spans="1:6" ht="14">
      <c r="A116" s="755" t="s">
        <v>2761</v>
      </c>
      <c r="B116" s="556"/>
      <c r="C116" s="409">
        <v>1</v>
      </c>
      <c r="D116" s="409">
        <v>1</v>
      </c>
      <c r="E116" s="410">
        <v>1</v>
      </c>
    </row>
    <row r="117" spans="1:6" ht="14">
      <c r="A117" s="755" t="s">
        <v>2762</v>
      </c>
      <c r="B117" s="556"/>
      <c r="C117" s="409">
        <v>1</v>
      </c>
      <c r="D117" s="409">
        <v>1</v>
      </c>
      <c r="E117" s="410">
        <v>1</v>
      </c>
    </row>
    <row r="118" spans="1:6">
      <c r="A118" s="413" t="s">
        <v>2763</v>
      </c>
      <c r="E118" s="539"/>
    </row>
    <row r="119" spans="1:6">
      <c r="A119" s="756" t="s">
        <v>2759</v>
      </c>
      <c r="B119" s="3" t="s">
        <v>2764</v>
      </c>
      <c r="C119" s="409">
        <v>0</v>
      </c>
      <c r="D119" s="409">
        <v>0</v>
      </c>
      <c r="E119" s="410">
        <v>1</v>
      </c>
      <c r="F119" s="3"/>
    </row>
    <row r="120" spans="1:6" ht="14">
      <c r="A120" s="755" t="s">
        <v>2761</v>
      </c>
      <c r="B120" s="556"/>
      <c r="C120" s="409">
        <v>0</v>
      </c>
      <c r="D120" s="409">
        <v>0</v>
      </c>
      <c r="E120" s="410">
        <v>1</v>
      </c>
    </row>
    <row r="121" spans="1:6" ht="15" thickBot="1">
      <c r="A121" s="757" t="s">
        <v>2762</v>
      </c>
      <c r="B121" s="758"/>
      <c r="C121" s="541">
        <v>1</v>
      </c>
      <c r="D121" s="541">
        <v>1</v>
      </c>
      <c r="E121" s="546">
        <v>1</v>
      </c>
    </row>
    <row r="122" spans="1:6">
      <c r="A122" s="759"/>
      <c r="B122" s="556"/>
      <c r="E122" s="414"/>
    </row>
    <row r="123" spans="1:6" ht="14" thickBot="1">
      <c r="A123" s="572" t="s">
        <v>2765</v>
      </c>
      <c r="B123" s="556"/>
      <c r="E123" s="414"/>
    </row>
    <row r="124" spans="1:6">
      <c r="A124" s="1064" t="s">
        <v>2757</v>
      </c>
      <c r="B124" s="1066" t="s">
        <v>1369</v>
      </c>
      <c r="C124" s="1062" t="s">
        <v>1891</v>
      </c>
      <c r="D124" s="1062"/>
      <c r="E124" s="1063"/>
    </row>
    <row r="125" spans="1:6">
      <c r="A125" s="1065"/>
      <c r="B125" s="1067"/>
      <c r="C125" s="752" t="s">
        <v>1602</v>
      </c>
      <c r="D125" s="752" t="s">
        <v>1603</v>
      </c>
      <c r="E125" s="753" t="s">
        <v>1604</v>
      </c>
    </row>
    <row r="126" spans="1:6" ht="14">
      <c r="A126" s="407" t="s">
        <v>2758</v>
      </c>
      <c r="B126" s="556"/>
      <c r="C126" s="2"/>
      <c r="D126" s="2"/>
      <c r="E126" s="754"/>
    </row>
    <row r="127" spans="1:6" ht="14">
      <c r="A127" s="755" t="s">
        <v>2759</v>
      </c>
      <c r="B127" s="408" t="s">
        <v>2766</v>
      </c>
      <c r="C127" s="409">
        <v>0</v>
      </c>
      <c r="D127" s="409">
        <v>0</v>
      </c>
      <c r="E127" s="410">
        <v>1</v>
      </c>
      <c r="F127" s="3"/>
    </row>
    <row r="128" spans="1:6" ht="14">
      <c r="A128" s="755" t="s">
        <v>2761</v>
      </c>
      <c r="B128" s="556"/>
      <c r="C128" s="409">
        <v>0</v>
      </c>
      <c r="D128" s="409">
        <v>1</v>
      </c>
      <c r="E128" s="410">
        <v>1</v>
      </c>
    </row>
    <row r="129" spans="1:6" ht="14">
      <c r="A129" s="755" t="s">
        <v>2762</v>
      </c>
      <c r="B129" s="556"/>
      <c r="C129" s="409">
        <v>1</v>
      </c>
      <c r="D129" s="409">
        <v>1</v>
      </c>
      <c r="E129" s="410">
        <v>1</v>
      </c>
    </row>
    <row r="130" spans="1:6">
      <c r="A130" s="413" t="s">
        <v>2763</v>
      </c>
      <c r="B130" s="7"/>
      <c r="E130" s="539"/>
      <c r="F130" s="7"/>
    </row>
    <row r="131" spans="1:6">
      <c r="A131" s="756" t="s">
        <v>2759</v>
      </c>
      <c r="B131" s="3" t="s">
        <v>2767</v>
      </c>
      <c r="C131" s="409">
        <v>0</v>
      </c>
      <c r="D131" s="409">
        <v>0</v>
      </c>
      <c r="E131" s="410">
        <v>0</v>
      </c>
      <c r="F131" s="3"/>
    </row>
    <row r="132" spans="1:6" ht="14">
      <c r="A132" s="755" t="s">
        <v>2761</v>
      </c>
      <c r="B132" s="556"/>
      <c r="C132" s="409">
        <v>0</v>
      </c>
      <c r="D132" s="409">
        <v>0</v>
      </c>
      <c r="E132" s="410">
        <v>0</v>
      </c>
    </row>
    <row r="133" spans="1:6" ht="15" thickBot="1">
      <c r="A133" s="757" t="s">
        <v>2762</v>
      </c>
      <c r="B133" s="758"/>
      <c r="C133" s="541">
        <v>0</v>
      </c>
      <c r="D133" s="541">
        <v>0</v>
      </c>
      <c r="E133" s="546">
        <v>0</v>
      </c>
    </row>
    <row r="134" spans="1:6">
      <c r="A134" s="759"/>
      <c r="B134" s="556"/>
      <c r="E134" s="414"/>
    </row>
  </sheetData>
  <mergeCells count="6">
    <mergeCell ref="C112:E112"/>
    <mergeCell ref="C124:E124"/>
    <mergeCell ref="A112:A113"/>
    <mergeCell ref="B112:B113"/>
    <mergeCell ref="A124:A125"/>
    <mergeCell ref="B124:B125"/>
  </mergeCells>
  <phoneticPr fontId="0" type="noConversion"/>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A1:E102"/>
  <sheetViews>
    <sheetView topLeftCell="B1" workbookViewId="0">
      <pane ySplit="3" topLeftCell="A4" activePane="bottomLeft" state="frozen"/>
      <selection pane="bottomLeft" activeCell="E16" sqref="E16"/>
    </sheetView>
  </sheetViews>
  <sheetFormatPr baseColWidth="10" defaultColWidth="9.1640625" defaultRowHeight="13"/>
  <cols>
    <col min="1" max="1" width="60" style="414" customWidth="1"/>
    <col min="2" max="2" width="21.5" style="414" customWidth="1"/>
    <col min="3" max="3" width="16.5" style="414" customWidth="1"/>
    <col min="4" max="4" width="14.6640625" style="414" customWidth="1"/>
    <col min="5" max="16384" width="9.1640625" style="414"/>
  </cols>
  <sheetData>
    <row r="1" spans="1:5">
      <c r="A1" s="1" t="s">
        <v>3249</v>
      </c>
    </row>
    <row r="3" spans="1:5">
      <c r="A3" s="168" t="s">
        <v>3250</v>
      </c>
      <c r="B3" s="168" t="s">
        <v>1369</v>
      </c>
      <c r="C3" s="169" t="s">
        <v>1370</v>
      </c>
      <c r="D3" s="168" t="s">
        <v>1371</v>
      </c>
      <c r="E3" s="168" t="s">
        <v>1372</v>
      </c>
    </row>
    <row r="4" spans="1:5">
      <c r="A4" s="2" t="s">
        <v>737</v>
      </c>
    </row>
    <row r="5" spans="1:5">
      <c r="A5" s="575" t="s">
        <v>1024</v>
      </c>
      <c r="B5" s="3" t="s">
        <v>1021</v>
      </c>
      <c r="C5" s="414">
        <f>IF(retrofit_I="",0,1)</f>
        <v>0</v>
      </c>
      <c r="D5" s="414" t="s">
        <v>1025</v>
      </c>
    </row>
    <row r="6" spans="1:5">
      <c r="A6" s="575" t="s">
        <v>1031</v>
      </c>
      <c r="B6" s="3" t="s">
        <v>1032</v>
      </c>
      <c r="C6" s="116">
        <f>IF(r_freund_type_I="carbon life value- months",1,IF(r_freund_type_I="calculation from Freundlich isotherm",2,IF(r_freund_type_I="calculation from BDST",3,4)))</f>
        <v>4</v>
      </c>
      <c r="D6" s="520" t="s">
        <v>1287</v>
      </c>
    </row>
    <row r="7" spans="1:5">
      <c r="A7" s="575"/>
      <c r="B7" s="3"/>
      <c r="C7" s="116"/>
      <c r="D7" s="520"/>
    </row>
    <row r="8" spans="1:5">
      <c r="A8" s="575" t="s">
        <v>3402</v>
      </c>
      <c r="B8" s="3" t="s">
        <v>2671</v>
      </c>
      <c r="C8" s="116">
        <f>M</f>
        <v>13679952.112721223</v>
      </c>
      <c r="D8" s="520" t="s">
        <v>2532</v>
      </c>
      <c r="E8" s="570" t="s">
        <v>3406</v>
      </c>
    </row>
    <row r="9" spans="1:5">
      <c r="A9" s="575" t="s">
        <v>3403</v>
      </c>
      <c r="B9" s="414" t="s">
        <v>2674</v>
      </c>
      <c r="C9" s="414">
        <f>QL</f>
        <v>5656.4722222222217</v>
      </c>
      <c r="D9" s="414" t="s">
        <v>2675</v>
      </c>
      <c r="E9" s="570" t="s">
        <v>3406</v>
      </c>
    </row>
    <row r="10" spans="1:5">
      <c r="A10" s="581" t="s">
        <v>2893</v>
      </c>
      <c r="B10" s="33" t="s">
        <v>1034</v>
      </c>
      <c r="C10" s="577">
        <f>r_freund_1*GAC_density*453.59/0.02832</f>
        <v>0</v>
      </c>
      <c r="D10" s="520" t="s">
        <v>2678</v>
      </c>
      <c r="E10" s="51" t="s">
        <v>1035</v>
      </c>
    </row>
    <row r="11" spans="1:5">
      <c r="A11" s="581" t="s">
        <v>3404</v>
      </c>
      <c r="B11" s="33" t="s">
        <v>2491</v>
      </c>
      <c r="C11" s="577">
        <f>v</f>
        <v>0.38720667295856537</v>
      </c>
      <c r="D11" s="520" t="s">
        <v>2492</v>
      </c>
      <c r="E11" s="51" t="s">
        <v>3407</v>
      </c>
    </row>
    <row r="12" spans="1:5">
      <c r="A12" s="581" t="s">
        <v>3405</v>
      </c>
      <c r="B12" s="33" t="s">
        <v>2494</v>
      </c>
      <c r="C12" s="577">
        <f>D</f>
        <v>1.95072</v>
      </c>
      <c r="D12" s="520" t="s">
        <v>2495</v>
      </c>
      <c r="E12" s="51" t="s">
        <v>3407</v>
      </c>
    </row>
    <row r="13" spans="1:5">
      <c r="A13" s="581" t="s">
        <v>2892</v>
      </c>
      <c r="B13" s="33" t="s">
        <v>2891</v>
      </c>
      <c r="C13" s="68">
        <f>CHOOSE(r_freund_type,r_freund_1,(M*(r_freund_1/1000)*(r_C_b*1000)^r_freund_2/(QL*(r_C_0-r_C_b)))/(30*24*60),(r_N_0_e/(1000*v*r_C_0)*D-LOG(r_C_0/r_C_b-1)/(r_freund_2*r_C_0))/(30*24*60),r_freund_1*IF(design_type=1,comm_SA*bed_depth*num_treat_lines,basin_width*basin_length*basin_op_depth*op_num_basins)*7.48/average_flow_rate/60/24/30)</f>
        <v>0</v>
      </c>
      <c r="D13" s="520" t="s">
        <v>2498</v>
      </c>
      <c r="E13" s="520"/>
    </row>
    <row r="14" spans="1:5">
      <c r="A14" s="576"/>
      <c r="B14" s="33"/>
      <c r="C14" s="520"/>
      <c r="D14" s="520"/>
      <c r="E14" s="520"/>
    </row>
    <row r="15" spans="1:5">
      <c r="A15" s="581" t="s">
        <v>1404</v>
      </c>
      <c r="B15" s="33" t="s">
        <v>2894</v>
      </c>
      <c r="C15" s="577">
        <f>IF(retrofit=0,0,GAC_each*IF(design_type=1,op_num_tanks,op_num_basins)/(r_bed_life/12)/365)</f>
        <v>0</v>
      </c>
      <c r="D15" s="520" t="s">
        <v>118</v>
      </c>
      <c r="E15" s="520"/>
    </row>
    <row r="16" spans="1:5">
      <c r="A16" s="581" t="s">
        <v>1405</v>
      </c>
      <c r="B16" s="33" t="s">
        <v>2895</v>
      </c>
      <c r="C16" s="577">
        <f>r_regen_day*365</f>
        <v>0</v>
      </c>
      <c r="D16" s="520" t="s">
        <v>669</v>
      </c>
      <c r="E16" s="51" t="s">
        <v>1732</v>
      </c>
    </row>
    <row r="17" spans="1:5">
      <c r="A17" s="581" t="s">
        <v>1406</v>
      </c>
      <c r="B17" s="33" t="s">
        <v>2896</v>
      </c>
      <c r="C17" s="577">
        <f>CHOOSE(regen_type,(1-makeup_rate)*r_GAC_yr,(1-makeup_rate_off)*r_GAC_yr,0,(1-makeup_rate_off)*r_GAC_yr,0,0,0)</f>
        <v>0</v>
      </c>
      <c r="D17" s="520" t="s">
        <v>669</v>
      </c>
      <c r="E17" s="520"/>
    </row>
    <row r="18" spans="1:5">
      <c r="A18" s="581" t="s">
        <v>1407</v>
      </c>
      <c r="B18" s="33" t="s">
        <v>2897</v>
      </c>
      <c r="C18" s="577">
        <f>CHOOSE(regen_type,makeup_rate*r_GAC_yr,makeup_rate_off*r_GAC_yr,r_GAC_yr,makeup_rate_off*r_GAC_yr,r_GAC_yr,r_GAC_yr,r_GAC_yr)</f>
        <v>0</v>
      </c>
      <c r="D18" s="520" t="s">
        <v>669</v>
      </c>
      <c r="E18" s="520"/>
    </row>
    <row r="19" spans="1:5">
      <c r="A19" s="589"/>
      <c r="B19" s="33"/>
      <c r="C19" s="577"/>
      <c r="D19" s="520"/>
      <c r="E19" s="520"/>
    </row>
    <row r="20" spans="1:5">
      <c r="A20" s="575" t="s">
        <v>1394</v>
      </c>
      <c r="B20" s="3" t="s">
        <v>1393</v>
      </c>
      <c r="C20" s="592">
        <f>IF(r_bed_life=0,0,IF(OR(regen_type=3,regen_type=5),12/r_bed_life,0))</f>
        <v>0</v>
      </c>
      <c r="D20" s="414" t="s">
        <v>1563</v>
      </c>
      <c r="E20" s="520"/>
    </row>
    <row r="21" spans="1:5">
      <c r="A21" s="575" t="s">
        <v>1396</v>
      </c>
      <c r="B21" s="3" t="s">
        <v>1395</v>
      </c>
      <c r="C21" s="593">
        <f>spent_media*r_disp_freq</f>
        <v>0</v>
      </c>
      <c r="D21" s="414" t="s">
        <v>3198</v>
      </c>
      <c r="E21" s="520"/>
    </row>
    <row r="22" spans="1:5">
      <c r="A22" s="575" t="s">
        <v>1389</v>
      </c>
      <c r="B22" s="3" t="s">
        <v>1391</v>
      </c>
      <c r="C22" s="414">
        <f>IF(design_type=1,final_num_tanks,total_num_basins)*IF(OR(regen_type=3,regen_type=5),r_disp_freq,IF(OR(regen_type=2,regen_type=4),IF(r_bed_life=0,0,12/r_bed_life),0))</f>
        <v>0</v>
      </c>
      <c r="D22" s="544"/>
      <c r="E22" s="7" t="s">
        <v>771</v>
      </c>
    </row>
    <row r="23" spans="1:5">
      <c r="A23" s="575" t="s">
        <v>1390</v>
      </c>
      <c r="B23" s="33" t="s">
        <v>1392</v>
      </c>
      <c r="C23" s="414">
        <f>IF(OR(regen_type=3,regen_type=5),r_GAC_makeup+r_spent_media_yr*2000,IF(OR(regen_type=2,regen_type=4),r_GAC_makeup+2*r_regen_yr,0))/GAC_density</f>
        <v>0</v>
      </c>
      <c r="D23" s="520" t="s">
        <v>2979</v>
      </c>
      <c r="E23" s="7" t="s">
        <v>772</v>
      </c>
    </row>
    <row r="24" spans="1:5">
      <c r="A24" s="575" t="s">
        <v>1402</v>
      </c>
      <c r="B24" s="3" t="s">
        <v>1403</v>
      </c>
      <c r="C24" s="580">
        <f>IF(retrofit=0,0,IF(transfer_method=3,r_media_changes_cf*uloe_throwaway,r_media_changes*transfer_time)-IF(transfer_method=3,media_changes_cf*uloe_throwaway,media_changes*transfer_time)+r_regen_labor)</f>
        <v>0</v>
      </c>
      <c r="D24" s="414" t="s">
        <v>1574</v>
      </c>
      <c r="E24" s="520"/>
    </row>
    <row r="25" spans="1:5">
      <c r="A25" s="575"/>
      <c r="B25" s="3"/>
      <c r="C25" s="580"/>
      <c r="E25" s="520"/>
    </row>
    <row r="26" spans="1:5">
      <c r="A26" s="575" t="s">
        <v>1398</v>
      </c>
      <c r="B26" s="55"/>
      <c r="C26" s="55">
        <f>spent_media*r_disp_freq*CHOOSE(regen_type,0,0,nonhaz_disposal_cost_cl,0,haz_disposal_cost_cl,rad_disposal_cost_cl,hazrad_disposal_cost_cl)</f>
        <v>0</v>
      </c>
      <c r="D26" s="414" t="s">
        <v>366</v>
      </c>
    </row>
    <row r="27" spans="1:5">
      <c r="A27" s="575" t="s">
        <v>1400</v>
      </c>
      <c r="B27" s="80"/>
      <c r="C27" s="80">
        <f>CHOOSE(regen_type,r_disp_freq,r_disp_freq,r_disp_freq,r_disp_freq,IF(spent_media&gt;max_waste_ship,ROUNDUP(spent_media/max_waste_ship,0)*r_disp_freq,r_disp_freq),IF(spent_media&gt;max_waste_ship,ROUNDUP(spent_media/max_waste_ship,0)*r_disp_freq,r_disp_freq),IF(spent_media&gt;max_waste_ship,ROUNDUP(spent_media/max_waste_ship,0)*r_disp_freq,r_disp_freq))</f>
        <v>0</v>
      </c>
      <c r="E27" s="7"/>
    </row>
    <row r="28" spans="1:5">
      <c r="A28" s="575" t="s">
        <v>3390</v>
      </c>
      <c r="B28" s="80"/>
      <c r="C28" s="55">
        <f>CHOOSE(regen_type,0,0,nonhaz_transportation_cost_cl,0,haz_transportation_cost_cl,rad_transportation_cost_cl,hazrad_transportation_cost_cl)</f>
        <v>0.1333</v>
      </c>
      <c r="D28" s="414" t="s">
        <v>3391</v>
      </c>
      <c r="E28" s="7"/>
    </row>
    <row r="29" spans="1:5">
      <c r="A29" s="575" t="s">
        <v>3393</v>
      </c>
      <c r="B29" s="3"/>
      <c r="C29" s="55">
        <f>CHOOSE(regen_type,0,0,0,0,haz_trans_min_cost_cl,rad_trans_min_cost_cl,hazrad_trans_min_cost_cl)</f>
        <v>584.59</v>
      </c>
      <c r="D29" s="414" t="s">
        <v>3392</v>
      </c>
      <c r="E29" s="7"/>
    </row>
    <row r="30" spans="1:5">
      <c r="A30" s="575" t="s">
        <v>3394</v>
      </c>
      <c r="B30" s="3"/>
      <c r="C30" s="38">
        <f>CHOOSE(regen_type,0,0,non_haz_miles,0,haz_miles,rad_miles,hazrad_miles)</f>
        <v>200</v>
      </c>
      <c r="D30" s="414" t="s">
        <v>2507</v>
      </c>
      <c r="E30" s="7"/>
    </row>
    <row r="31" spans="1:5">
      <c r="A31" s="127" t="s">
        <v>362</v>
      </c>
      <c r="B31" s="3"/>
      <c r="C31" s="55">
        <f>MAX(C27*C29,spent_media*C27*C30*C28)</f>
        <v>0</v>
      </c>
      <c r="D31" s="414" t="s">
        <v>366</v>
      </c>
    </row>
    <row r="32" spans="1:5">
      <c r="A32" s="575" t="s">
        <v>3749</v>
      </c>
      <c r="B32" s="3"/>
      <c r="C32" s="55">
        <f>CHOOSE(regen_type,0,0,0,0,0,VLOOKUP(households*hh_size,rad_annual_fee_cl,2),VLOOKUP(households*hh_size,hazrad_annual_fee_cl,2))</f>
        <v>0</v>
      </c>
      <c r="D32" s="414" t="s">
        <v>366</v>
      </c>
    </row>
    <row r="33" spans="1:4">
      <c r="A33" s="575" t="s">
        <v>1399</v>
      </c>
      <c r="B33" s="3" t="s">
        <v>1397</v>
      </c>
      <c r="C33" s="44">
        <f>C31+C26+C32</f>
        <v>0</v>
      </c>
      <c r="D33" s="414" t="s">
        <v>366</v>
      </c>
    </row>
    <row r="34" spans="1:4">
      <c r="A34" s="575"/>
      <c r="B34" s="3"/>
      <c r="C34" s="44"/>
    </row>
    <row r="35" spans="1:4">
      <c r="A35" s="574"/>
      <c r="B35" s="3"/>
      <c r="C35" s="12"/>
      <c r="D35" s="544"/>
    </row>
    <row r="36" spans="1:4">
      <c r="A36" s="575" t="s">
        <v>3410</v>
      </c>
      <c r="B36" s="3"/>
      <c r="C36" s="41">
        <f>IF(r_bed_life=0,0,12/r_bed_life)</f>
        <v>0</v>
      </c>
      <c r="D36" s="544"/>
    </row>
    <row r="37" spans="1:4">
      <c r="A37" s="575" t="s">
        <v>3408</v>
      </c>
      <c r="B37" s="3"/>
      <c r="C37" s="80" t="str">
        <f>IF(regen_type=4,IF(r_regen_yr/2000&gt;max_waste_ship,ROUNDUP((r_regen_yr/2000)/max_waste_ship,0)*C36,C36),"NA")</f>
        <v>NA</v>
      </c>
    </row>
    <row r="38" spans="1:4">
      <c r="A38" s="575" t="s">
        <v>3409</v>
      </c>
      <c r="B38" s="3" t="s">
        <v>3411</v>
      </c>
      <c r="C38" s="55">
        <f>IF(regen_type=4,MAX(C37*haz_trans_min_cost_cl,spent_media*C37*haz_miles*haz_transportation_cost_cl),0)</f>
        <v>0</v>
      </c>
      <c r="D38" s="414" t="s">
        <v>366</v>
      </c>
    </row>
    <row r="39" spans="1:4">
      <c r="A39" s="127"/>
      <c r="B39" s="3"/>
      <c r="C39" s="55"/>
    </row>
    <row r="40" spans="1:4">
      <c r="A40" s="575" t="s">
        <v>567</v>
      </c>
      <c r="B40" s="3" t="s">
        <v>566</v>
      </c>
      <c r="C40" s="595">
        <f>IF(include_buildings=0,0,MIN(1,(r_inc_Operator_LOE+Operator_LOE)/(24*365))*(build1_fp*lighting_energy_1+build2_fp*lighting_energy_2)/1000+r_furnace_lighting-lighting)</f>
        <v>0</v>
      </c>
      <c r="D40" s="414" t="s">
        <v>2432</v>
      </c>
    </row>
    <row r="41" spans="1:4">
      <c r="A41" s="575" t="s">
        <v>577</v>
      </c>
      <c r="B41" s="3" t="s">
        <v>350</v>
      </c>
      <c r="C41" s="578">
        <f>IF(include_buildings=0,0,((build1_fp*lighting_energy_1+build2_fp*lighting_energy_2)/1000+r_furnace_lighting-lighting)/365/24*1000)</f>
        <v>0</v>
      </c>
      <c r="D41" s="414" t="s">
        <v>1364</v>
      </c>
    </row>
    <row r="42" spans="1:4">
      <c r="A42" s="575" t="s">
        <v>583</v>
      </c>
      <c r="B42" s="3" t="s">
        <v>581</v>
      </c>
      <c r="C42" s="596">
        <f>ROUNDUP(2*MAX(min_standby,(IF(AND(need_heat=1,need_cool=1),MAX(std_heat,std_cool),need_heat*std_heat+need_cool*std_cool)+std_base+r_std_vent+r_std_lighting)*(1+std_safety_factor)),0)/2</f>
        <v>18.5</v>
      </c>
      <c r="D42" s="414" t="s">
        <v>1364</v>
      </c>
    </row>
    <row r="43" spans="1:4">
      <c r="A43" s="575" t="s">
        <v>578</v>
      </c>
      <c r="B43" s="3" t="s">
        <v>582</v>
      </c>
      <c r="C43" s="414">
        <f>r_std_power-std_power</f>
        <v>0</v>
      </c>
      <c r="D43" s="414" t="s">
        <v>1364</v>
      </c>
    </row>
    <row r="44" spans="1:4">
      <c r="A44" s="575" t="s">
        <v>579</v>
      </c>
      <c r="B44" s="3" t="s">
        <v>580</v>
      </c>
      <c r="C44" s="597">
        <f>VLOOKUP(r_std_power,std_gen_cost_cl,3)*r_inc_std_power</f>
        <v>0</v>
      </c>
    </row>
    <row r="45" spans="1:4">
      <c r="B45" s="3"/>
      <c r="C45" s="597"/>
    </row>
    <row r="46" spans="1:4">
      <c r="A46" s="2" t="s">
        <v>1401</v>
      </c>
    </row>
    <row r="47" spans="1:4">
      <c r="A47" s="574" t="s">
        <v>1380</v>
      </c>
    </row>
    <row r="48" spans="1:4">
      <c r="A48" s="588" t="s">
        <v>734</v>
      </c>
      <c r="B48" s="33" t="s">
        <v>735</v>
      </c>
      <c r="C48" s="577">
        <f>(r_regen_day/regen_runtime)*regen_redund</f>
        <v>0</v>
      </c>
      <c r="D48" s="520" t="s">
        <v>118</v>
      </c>
    </row>
    <row r="49" spans="1:5">
      <c r="A49" s="588" t="s">
        <v>736</v>
      </c>
      <c r="B49" s="33" t="s">
        <v>2987</v>
      </c>
      <c r="C49" s="577">
        <f>MAX(0,C48-regen_capacity)</f>
        <v>0</v>
      </c>
      <c r="D49" s="520" t="s">
        <v>118</v>
      </c>
    </row>
    <row r="50" spans="1:5">
      <c r="A50" s="588" t="s">
        <v>764</v>
      </c>
      <c r="B50" s="33" t="s">
        <v>765</v>
      </c>
      <c r="C50" s="579">
        <f>IF(AND(retrofit=1,regen_type=1,OUTPUT!G251&gt;0),1,0)</f>
        <v>0</v>
      </c>
      <c r="D50" s="520" t="s">
        <v>766</v>
      </c>
      <c r="E50" s="7" t="s">
        <v>767</v>
      </c>
    </row>
    <row r="51" spans="1:5">
      <c r="A51" s="575"/>
    </row>
    <row r="52" spans="1:5">
      <c r="A52" s="574" t="s">
        <v>1379</v>
      </c>
      <c r="B52" s="33"/>
      <c r="C52" s="577"/>
      <c r="D52" s="520"/>
    </row>
    <row r="53" spans="1:5">
      <c r="A53" s="589" t="s">
        <v>740</v>
      </c>
      <c r="B53" s="82" t="s">
        <v>739</v>
      </c>
      <c r="C53" s="577">
        <f>IF(r_new_furnace=0,0,IF(regen_type=1,121.3*r_regen_capacity^0.3656,0))</f>
        <v>0</v>
      </c>
      <c r="D53" s="414" t="s">
        <v>3114</v>
      </c>
      <c r="E53" s="7" t="s">
        <v>2516</v>
      </c>
    </row>
    <row r="54" spans="1:5">
      <c r="A54" s="589" t="s">
        <v>546</v>
      </c>
      <c r="B54" s="82" t="s">
        <v>547</v>
      </c>
      <c r="C54" s="577">
        <f>IF(OR(retrofit=0,r_new_furnace=0),0,r_onsite_regeneration_fp-Onsite_regeneration_fp)</f>
        <v>0</v>
      </c>
      <c r="D54" s="414" t="s">
        <v>3114</v>
      </c>
      <c r="E54" s="7"/>
    </row>
    <row r="55" spans="1:5">
      <c r="A55" s="589" t="s">
        <v>1382</v>
      </c>
      <c r="B55" s="33" t="s">
        <v>1381</v>
      </c>
      <c r="C55" s="577">
        <f>IF(OR(retrofit=0,r_new_furnace=0),0,ROUNDUP(IF(fp_required&lt;add_2nd_building,fp_required+r_onsite_regeneration_fp,vessel_fp),-1))</f>
        <v>0</v>
      </c>
      <c r="D55" s="414" t="s">
        <v>3114</v>
      </c>
      <c r="E55" s="7" t="s">
        <v>2641</v>
      </c>
    </row>
    <row r="56" spans="1:5">
      <c r="A56" s="589" t="s">
        <v>1383</v>
      </c>
      <c r="B56" s="33" t="s">
        <v>738</v>
      </c>
      <c r="C56" s="577">
        <f>IF(OR(retrofit=0,r_new_furnace=0),0,ROUNDUP(IF(fp_required&lt;add_2nd_building,0,back_tank_fp+pump_fp+r_onsite_regeneration_fp+Virgin_GAC_storage_fp+Spent_GAC_storage_fp+Regenerated_GAC_storage_fp+office_fp+htank_fp+cstore_fp),-1))</f>
        <v>0</v>
      </c>
      <c r="D56" s="414" t="s">
        <v>3114</v>
      </c>
      <c r="E56" s="7" t="s">
        <v>788</v>
      </c>
    </row>
    <row r="57" spans="1:5">
      <c r="A57" s="588" t="s">
        <v>1384</v>
      </c>
      <c r="B57" s="33" t="s">
        <v>754</v>
      </c>
      <c r="C57" s="414">
        <f>IF(OR(retrofit=0,r_new_furnace=0),0,r_build1_fp-build1_fp)</f>
        <v>0</v>
      </c>
      <c r="D57" s="414" t="s">
        <v>3114</v>
      </c>
    </row>
    <row r="58" spans="1:5">
      <c r="A58" s="588" t="s">
        <v>1385</v>
      </c>
      <c r="B58" s="33" t="s">
        <v>755</v>
      </c>
      <c r="C58" s="414">
        <f>IF(OR(retrofit=0,r_new_furnace=0),0,r_build2_fp-build2_fp)</f>
        <v>0</v>
      </c>
      <c r="D58" s="414" t="s">
        <v>3114</v>
      </c>
    </row>
    <row r="59" spans="1:5">
      <c r="A59" s="589" t="s">
        <v>756</v>
      </c>
      <c r="B59" s="33" t="s">
        <v>757</v>
      </c>
      <c r="C59" s="414">
        <f>r_build1_fp+r_build2_fp</f>
        <v>0</v>
      </c>
      <c r="D59" s="414" t="s">
        <v>3114</v>
      </c>
    </row>
    <row r="60" spans="1:5">
      <c r="A60" s="589" t="s">
        <v>557</v>
      </c>
      <c r="B60" s="33" t="s">
        <v>558</v>
      </c>
      <c r="C60" s="414">
        <f>IF(OR(retrofit=0,r_new_furnace=0),0,r_total_fp-total_fp)</f>
        <v>0</v>
      </c>
      <c r="D60" s="414" t="s">
        <v>3114</v>
      </c>
    </row>
    <row r="61" spans="1:5">
      <c r="A61" s="588" t="s">
        <v>545</v>
      </c>
      <c r="B61" s="3" t="s">
        <v>548</v>
      </c>
      <c r="C61" s="578">
        <f>ROUNDUP(r_inc_fp_required*IF(ss_cat2=1,pad_thick_small,pad_thick)/27,0)</f>
        <v>0</v>
      </c>
      <c r="D61" s="414" t="s">
        <v>2824</v>
      </c>
    </row>
    <row r="62" spans="1:5">
      <c r="A62" s="589" t="s">
        <v>758</v>
      </c>
      <c r="B62" s="33" t="s">
        <v>759</v>
      </c>
      <c r="C62" s="598">
        <f>IF(OR(retrofit=0,r_new_furnace=0),0,ROUNDUP(((r_build1_fp)^0.5+(2*non_fire_buffer))*((r_build1_fp)^0.5+(non_fire_buffer+fire_buffer))+IF(r_build2_fp=0,0,((r_build2_fp)^0.5+(2*non_fire_buffer))*((r_build2_fp)^0.5+(non_fire_buffer+fire_buffer)))+sept_fp+solids_pad_area,-2)/43560-land_required)</f>
        <v>0</v>
      </c>
      <c r="D62" s="520" t="s">
        <v>851</v>
      </c>
    </row>
    <row r="63" spans="1:5">
      <c r="A63" s="575"/>
    </row>
    <row r="64" spans="1:5">
      <c r="A64" s="574" t="s">
        <v>2740</v>
      </c>
    </row>
    <row r="65" spans="1:5">
      <c r="A65" s="588" t="s">
        <v>550</v>
      </c>
      <c r="C65" s="597">
        <f>SUMPRODUCT(OUTPUT!J305:J308,OUTPUT!L305:L308)</f>
        <v>0</v>
      </c>
      <c r="E65" s="7" t="s">
        <v>1311</v>
      </c>
    </row>
    <row r="66" spans="1:5">
      <c r="A66" s="588" t="s">
        <v>551</v>
      </c>
      <c r="C66" s="597">
        <f>SUMPRODUCT(OUTPUT!J310:J313,OUTPUT!L310:L313)</f>
        <v>0</v>
      </c>
      <c r="E66" s="7" t="s">
        <v>1311</v>
      </c>
    </row>
    <row r="67" spans="1:5">
      <c r="A67" s="588" t="s">
        <v>1304</v>
      </c>
      <c r="C67" s="597">
        <f>BPCost_UBC97(C65)+BPCost_UBC97(C66)</f>
        <v>0</v>
      </c>
      <c r="E67" s="7" t="s">
        <v>1312</v>
      </c>
    </row>
    <row r="68" spans="1:5">
      <c r="A68" s="588" t="s">
        <v>1305</v>
      </c>
      <c r="C68" s="597">
        <v>0</v>
      </c>
      <c r="E68" s="7" t="s">
        <v>552</v>
      </c>
    </row>
    <row r="69" spans="1:5">
      <c r="A69" s="588" t="s">
        <v>1306</v>
      </c>
      <c r="C69" s="597">
        <f>VLOOKUP(land_required+r_land_required,SW_permit_cost_cl,2)-VLOOKUP(land_required,SW_permit_cost_cl,2)</f>
        <v>0</v>
      </c>
      <c r="E69" s="7" t="s">
        <v>553</v>
      </c>
    </row>
    <row r="70" spans="1:5">
      <c r="A70" s="588" t="s">
        <v>1307</v>
      </c>
      <c r="C70" s="594">
        <v>0</v>
      </c>
      <c r="E70" s="7" t="s">
        <v>1315</v>
      </c>
    </row>
    <row r="71" spans="1:5">
      <c r="A71" s="588" t="s">
        <v>1308</v>
      </c>
      <c r="C71" s="597">
        <f>IF(OR(r_new_furnace=0,include_NEPA=2),0,IF(OR(component_level=2,include_NEPA=1),VLOOKUP(r_land_required+land_required,NEPA_cost_cl,2),0))</f>
        <v>0</v>
      </c>
      <c r="E71" s="7" t="s">
        <v>1316</v>
      </c>
    </row>
    <row r="72" spans="1:5">
      <c r="A72" s="588" t="s">
        <v>1309</v>
      </c>
      <c r="B72" s="3" t="s">
        <v>554</v>
      </c>
      <c r="C72" s="599">
        <f>SUM(C67:C71)</f>
        <v>0</v>
      </c>
    </row>
    <row r="73" spans="1:5">
      <c r="A73" s="575"/>
    </row>
    <row r="74" spans="1:5">
      <c r="A74" s="574" t="s">
        <v>559</v>
      </c>
    </row>
    <row r="75" spans="1:5">
      <c r="A75" s="588" t="s">
        <v>555</v>
      </c>
      <c r="B75" s="3" t="s">
        <v>556</v>
      </c>
      <c r="C75" s="597">
        <f>r_inc_total_fp*sitework_sf_cl</f>
        <v>0</v>
      </c>
    </row>
    <row r="76" spans="1:5">
      <c r="A76" s="575"/>
    </row>
    <row r="77" spans="1:5">
      <c r="A77" s="574" t="s">
        <v>3508</v>
      </c>
      <c r="B77" s="3"/>
    </row>
    <row r="78" spans="1:5">
      <c r="A78" s="588" t="s">
        <v>3509</v>
      </c>
      <c r="B78" s="3"/>
      <c r="C78" s="600">
        <f>IF(include_buildings=0,0,building_matl_rate_cl*r_inc_total_fp)</f>
        <v>0</v>
      </c>
      <c r="D78" s="544" t="s">
        <v>1575</v>
      </c>
      <c r="E78" s="7" t="s">
        <v>102</v>
      </c>
    </row>
    <row r="79" spans="1:5">
      <c r="A79" s="588" t="s">
        <v>103</v>
      </c>
      <c r="B79" s="3"/>
      <c r="C79" s="600">
        <f>build1_need_heat*heating_matl_rate_cl*r_inc_build1_fp</f>
        <v>0</v>
      </c>
      <c r="D79" s="544" t="s">
        <v>1575</v>
      </c>
    </row>
    <row r="80" spans="1:5">
      <c r="A80" s="588" t="s">
        <v>104</v>
      </c>
      <c r="B80" s="3"/>
      <c r="C80" s="600">
        <f>build1_need_cool*cooling_matl_rate_cl*r_inc_build1_fp</f>
        <v>0</v>
      </c>
      <c r="D80" s="544" t="s">
        <v>1575</v>
      </c>
    </row>
    <row r="81" spans="1:5">
      <c r="A81" s="588" t="s">
        <v>105</v>
      </c>
      <c r="B81" s="3"/>
      <c r="C81" s="600">
        <f>build2_need_heat*heating_matl_rate_cl*r_inc_build2_fp</f>
        <v>0</v>
      </c>
      <c r="D81" s="544" t="s">
        <v>1575</v>
      </c>
    </row>
    <row r="82" spans="1:5">
      <c r="A82" s="588" t="s">
        <v>106</v>
      </c>
      <c r="B82" s="3"/>
      <c r="C82" s="600">
        <f>build2_need_cool*cooling_matl_rate_cl*r_inc_build2_fp</f>
        <v>0</v>
      </c>
      <c r="D82" s="544" t="s">
        <v>1575</v>
      </c>
    </row>
    <row r="83" spans="1:5">
      <c r="A83" s="588" t="s">
        <v>3510</v>
      </c>
      <c r="B83" s="3" t="s">
        <v>560</v>
      </c>
      <c r="C83" s="599">
        <f>SUM(C78:C82)</f>
        <v>0</v>
      </c>
      <c r="E83" s="7" t="s">
        <v>108</v>
      </c>
    </row>
    <row r="84" spans="1:5">
      <c r="A84" s="575"/>
    </row>
    <row r="85" spans="1:5">
      <c r="A85" s="574" t="s">
        <v>561</v>
      </c>
      <c r="B85" s="3"/>
    </row>
    <row r="86" spans="1:5">
      <c r="A86" s="588" t="s">
        <v>770</v>
      </c>
      <c r="B86" s="3" t="s">
        <v>769</v>
      </c>
      <c r="C86" s="597">
        <f>IF(retrofit=0,0,IF(regen_type=1,8451.4*r_regen_capacity^0.2017,0)-regen_materials)</f>
        <v>0</v>
      </c>
      <c r="D86" s="544" t="s">
        <v>1320</v>
      </c>
      <c r="E86" s="7" t="s">
        <v>963</v>
      </c>
    </row>
    <row r="87" spans="1:5">
      <c r="A87" s="588" t="s">
        <v>773</v>
      </c>
      <c r="B87" s="3" t="s">
        <v>774</v>
      </c>
      <c r="C87" s="578">
        <f>IF(retrofit=0,0,IF(regen_type=1,2.2515*r_regen_capacity^0.7554,0)-regen_labor)</f>
        <v>0</v>
      </c>
      <c r="D87" s="414" t="s">
        <v>962</v>
      </c>
      <c r="E87" s="7" t="s">
        <v>963</v>
      </c>
    </row>
    <row r="88" spans="1:5">
      <c r="A88" s="588" t="s">
        <v>564</v>
      </c>
      <c r="B88" s="3" t="s">
        <v>562</v>
      </c>
      <c r="C88" s="601">
        <f>IF(retrofit=0,0,IF(regen_type=1,9.1217*r_regen_capacity^1.0475/1000-regen_energy,0))</f>
        <v>0</v>
      </c>
      <c r="D88" s="414" t="s">
        <v>2432</v>
      </c>
      <c r="E88" s="7" t="s">
        <v>963</v>
      </c>
    </row>
    <row r="89" spans="1:5">
      <c r="A89" s="588" t="s">
        <v>565</v>
      </c>
      <c r="B89" s="3" t="s">
        <v>563</v>
      </c>
      <c r="C89" s="578">
        <f>IF(retrofit=0,0,IF(regen_type=1,28.161*r_inc_regen_capacity,0))</f>
        <v>0</v>
      </c>
      <c r="D89" s="414" t="s">
        <v>3158</v>
      </c>
      <c r="E89" s="7" t="s">
        <v>963</v>
      </c>
    </row>
    <row r="90" spans="1:5">
      <c r="A90" s="575"/>
    </row>
    <row r="91" spans="1:5">
      <c r="A91" s="574" t="s">
        <v>183</v>
      </c>
      <c r="B91" s="3"/>
      <c r="C91" s="520"/>
    </row>
    <row r="92" spans="1:5">
      <c r="A92" s="588" t="s">
        <v>568</v>
      </c>
      <c r="B92" s="3" t="s">
        <v>569</v>
      </c>
      <c r="C92" s="595">
        <f>IF(include_buildings=0,0,MIN(1,(r_inc_Operator_LOE+Operator_LOE)/(24*365))*(r_inc_build1_fp*lighting_energy_1+r_inc_build2_fp*lighting_energy_2)/1000)</f>
        <v>0</v>
      </c>
      <c r="D92" s="414" t="s">
        <v>2432</v>
      </c>
    </row>
    <row r="93" spans="1:5">
      <c r="A93" s="575"/>
    </row>
    <row r="94" spans="1:5">
      <c r="A94" s="588" t="s">
        <v>570</v>
      </c>
      <c r="B94" s="3" t="s">
        <v>574</v>
      </c>
      <c r="C94" s="577">
        <f>IF(build2_fp=0,IF(r_build1_fp=0,0,(Air_changes_contactor*(vessel_fp+back_tank_fp+r_onsite_regeneration_fp+htank_fp)+Air_changes_pump*pump_fp+Air_changes_chem_storage*(Virgin_GAC_storage_fp+Spent_GAC_storage_fp+Regenerated_GAC_storage_fp+cstore_fp)+Air_changes_office*office_fp)/r_build1_fp),Air_changes_contactor)</f>
        <v>0</v>
      </c>
      <c r="D94" s="602" t="s">
        <v>1586</v>
      </c>
    </row>
    <row r="95" spans="1:5">
      <c r="A95" s="588" t="s">
        <v>571</v>
      </c>
      <c r="B95" s="3" t="s">
        <v>575</v>
      </c>
      <c r="C95" s="577">
        <f>IF(build2_fp=0,0,IF(r_build2_fp=0,0,(Air_changes_contactor*(back_tank_fp+r_onsite_regeneration_fp+htank_fp)+Air_changes_pump*pump_fp+Air_changes_chem_storage*(Virgin_GAC_storage_fp+Spent_GAC_storage_fp+Regenerated_GAC_storage_fp+cstore_fp)+Air_changes_office*office_fp)/r_build2_fp))</f>
        <v>0</v>
      </c>
      <c r="D95" s="602" t="s">
        <v>1586</v>
      </c>
    </row>
    <row r="96" spans="1:5">
      <c r="A96" s="588" t="s">
        <v>572</v>
      </c>
      <c r="B96" s="3"/>
      <c r="C96" s="577">
        <f>CHOOSE(ss_cat2,fan_days_build1_small,fan_days_build1_medium,fan_days_build1_large)*24*0.746*Fan_pressure_drop*r_build1_fp*Building_height*r_air_changes_build1/33000</f>
        <v>0</v>
      </c>
      <c r="D96" s="414" t="s">
        <v>2431</v>
      </c>
    </row>
    <row r="97" spans="1:4">
      <c r="A97" s="588" t="s">
        <v>573</v>
      </c>
      <c r="B97" s="3"/>
      <c r="C97" s="577">
        <f>CHOOSE(ss_cat2,fan_days_build2_small,fan_days_build2_medium,fan_days_build2_large)*24*0.746*Fan_pressure_drop*r_build2_fp*Building_height*r_air_changes_build2/33000</f>
        <v>0</v>
      </c>
      <c r="D97" s="414" t="s">
        <v>2431</v>
      </c>
    </row>
    <row r="98" spans="1:4">
      <c r="A98" s="588" t="s">
        <v>2644</v>
      </c>
      <c r="B98" s="3" t="s">
        <v>576</v>
      </c>
      <c r="C98" s="603">
        <f>IF(include_HVAC=0,0,IF(SUM(C96:C97)=0,0,SUM(C96:C97)/1000-ventilation))</f>
        <v>0</v>
      </c>
      <c r="D98" s="414" t="s">
        <v>2432</v>
      </c>
    </row>
    <row r="99" spans="1:4">
      <c r="A99" s="575"/>
    </row>
    <row r="100" spans="1:4">
      <c r="A100" s="588" t="s">
        <v>2642</v>
      </c>
      <c r="B100" s="3"/>
      <c r="C100" s="577">
        <f>0.746*Fan_pressure_drop*r_inc_build1_fp*Building_height*air_changes_build1/33000</f>
        <v>0</v>
      </c>
      <c r="D100" s="414" t="s">
        <v>1364</v>
      </c>
    </row>
    <row r="101" spans="1:4">
      <c r="A101" s="588" t="s">
        <v>2643</v>
      </c>
      <c r="B101" s="3"/>
      <c r="C101" s="577">
        <f>0.746*Fan_pressure_drop*r_inc_build2_fp*Building_height*air_changes_build2/33000</f>
        <v>0</v>
      </c>
      <c r="D101" s="414" t="s">
        <v>1364</v>
      </c>
    </row>
    <row r="102" spans="1:4">
      <c r="A102" s="588" t="s">
        <v>348</v>
      </c>
      <c r="B102" s="3" t="s">
        <v>349</v>
      </c>
      <c r="C102" s="604">
        <f>IF(include_HVAC=0,0,SUM(C100:C101))</f>
        <v>0</v>
      </c>
      <c r="D102" s="414" t="s">
        <v>1364</v>
      </c>
    </row>
  </sheetData>
  <phoneticPr fontId="48" type="noConversion"/>
  <pageMargins left="0.75" right="0.75"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F83"/>
  <sheetViews>
    <sheetView zoomScaleNormal="100" workbookViewId="0">
      <pane ySplit="4" topLeftCell="A58" activePane="bottomLeft" state="frozen"/>
      <selection pane="bottomLeft" activeCell="A83" sqref="A83"/>
    </sheetView>
  </sheetViews>
  <sheetFormatPr baseColWidth="10" defaultColWidth="9.1640625" defaultRowHeight="13"/>
  <cols>
    <col min="1" max="1" width="45.5" style="414" customWidth="1"/>
    <col min="2" max="2" width="22.33203125" style="3" customWidth="1"/>
    <col min="3" max="3" width="10.33203125" style="414" bestFit="1" customWidth="1"/>
    <col min="4" max="4" width="9.1640625" style="414" customWidth="1"/>
    <col min="5" max="16384" width="9.1640625" style="414"/>
  </cols>
  <sheetData>
    <row r="1" spans="1:5">
      <c r="A1" s="1" t="s">
        <v>3251</v>
      </c>
    </row>
    <row r="2" spans="1:5" s="520" customFormat="1">
      <c r="A2" s="7" t="s">
        <v>3191</v>
      </c>
      <c r="B2" s="33"/>
    </row>
    <row r="3" spans="1:5" s="520" customFormat="1">
      <c r="A3" s="7"/>
      <c r="B3" s="33"/>
    </row>
    <row r="4" spans="1:5" s="520" customFormat="1">
      <c r="A4" s="168" t="s">
        <v>3250</v>
      </c>
      <c r="B4" s="168" t="s">
        <v>1369</v>
      </c>
      <c r="C4" s="169" t="s">
        <v>1370</v>
      </c>
      <c r="D4" s="168" t="s">
        <v>1371</v>
      </c>
      <c r="E4" s="168" t="s">
        <v>1372</v>
      </c>
    </row>
    <row r="5" spans="1:5" s="520" customFormat="1">
      <c r="A5" s="2" t="s">
        <v>3192</v>
      </c>
      <c r="B5" s="33"/>
    </row>
    <row r="6" spans="1:5">
      <c r="A6" s="575" t="s">
        <v>190</v>
      </c>
      <c r="B6" s="3" t="s">
        <v>3107</v>
      </c>
      <c r="C6" s="520">
        <f>IF(df_units="gpm",(1-bp_pct)*design_flow_I*24*60/1000000,(1-bp_pct)*design_flow_I)</f>
        <v>2.1520000000000001</v>
      </c>
      <c r="D6" s="414" t="s">
        <v>188</v>
      </c>
      <c r="E6" s="7" t="s">
        <v>528</v>
      </c>
    </row>
    <row r="7" spans="1:5">
      <c r="A7" s="575" t="s">
        <v>192</v>
      </c>
      <c r="B7" s="3" t="s">
        <v>3108</v>
      </c>
      <c r="C7" s="520">
        <f>(1-bp_pct)*IF(af_units="gpm",average_flow_I*24*60/1000000,IF(af_units="fraction of design flow",average_flow_I*design_flow,average_flow_I))</f>
        <v>2.1520000000000001</v>
      </c>
      <c r="D7" s="414" t="s">
        <v>188</v>
      </c>
      <c r="E7" s="7" t="s">
        <v>528</v>
      </c>
    </row>
    <row r="8" spans="1:5">
      <c r="A8" s="575" t="s">
        <v>3109</v>
      </c>
      <c r="B8" s="3" t="s">
        <v>3110</v>
      </c>
      <c r="C8" s="577">
        <f>design_flow*1000000/(24*60)</f>
        <v>1494.4444444444443</v>
      </c>
      <c r="D8" s="414" t="s">
        <v>1762</v>
      </c>
      <c r="E8" s="7" t="s">
        <v>185</v>
      </c>
    </row>
    <row r="9" spans="1:5">
      <c r="A9" s="575" t="s">
        <v>1593</v>
      </c>
      <c r="B9" s="3" t="s">
        <v>1594</v>
      </c>
      <c r="C9" s="577">
        <f>average_flow*1000000/(24*60)</f>
        <v>1494.4444444444443</v>
      </c>
      <c r="D9" s="414" t="s">
        <v>1762</v>
      </c>
      <c r="E9" s="7" t="s">
        <v>1378</v>
      </c>
    </row>
    <row r="10" spans="1:5">
      <c r="A10" s="575" t="s">
        <v>2211</v>
      </c>
      <c r="B10" s="3" t="s">
        <v>2212</v>
      </c>
      <c r="C10" s="577">
        <f>bp_pct/(1-bp_pct)*design_flow_rate</f>
        <v>0</v>
      </c>
      <c r="D10" s="414" t="s">
        <v>1762</v>
      </c>
    </row>
    <row r="11" spans="1:5">
      <c r="A11" s="581" t="s">
        <v>2939</v>
      </c>
      <c r="B11" s="3" t="s">
        <v>2940</v>
      </c>
      <c r="C11" s="577">
        <f>IF(EBCT_type_I="contaminant removal %",1,IF(EBCT_type_I="influent and effluent concentrations",2, 3))</f>
        <v>3</v>
      </c>
      <c r="D11" s="414" t="s">
        <v>3451</v>
      </c>
    </row>
    <row r="12" spans="1:5">
      <c r="A12" s="575" t="s">
        <v>2058</v>
      </c>
      <c r="B12" s="3" t="s">
        <v>1889</v>
      </c>
      <c r="C12" s="577">
        <v>22</v>
      </c>
      <c r="D12" s="467" t="s">
        <v>3516</v>
      </c>
    </row>
    <row r="13" spans="1:5">
      <c r="A13" s="581" t="s">
        <v>2091</v>
      </c>
      <c r="B13" s="33" t="s">
        <v>2092</v>
      </c>
      <c r="C13" s="577">
        <v>1</v>
      </c>
      <c r="D13" s="520" t="s">
        <v>2093</v>
      </c>
    </row>
    <row r="14" spans="1:5" ht="16">
      <c r="A14" s="575" t="s">
        <v>1547</v>
      </c>
      <c r="B14" s="3" t="s">
        <v>194</v>
      </c>
      <c r="C14" s="582">
        <f>IF(EBCT_type=1,(LN(1/(1-EBCT_I))/Kss)*60,IF(EBCT_type=2,(LN(EBCT_I/EBCT_O)/Kss)*60,EBCT_I))</f>
        <v>10</v>
      </c>
      <c r="D14" s="520" t="s">
        <v>2218</v>
      </c>
      <c r="E14" s="67" t="s">
        <v>1548</v>
      </c>
    </row>
    <row r="15" spans="1:5">
      <c r="A15" s="575" t="s">
        <v>155</v>
      </c>
      <c r="B15" s="3" t="s">
        <v>156</v>
      </c>
      <c r="C15" s="583">
        <f>IF(addon_I="add-on",1,0)</f>
        <v>0</v>
      </c>
      <c r="D15" s="520"/>
      <c r="E15" s="67"/>
    </row>
    <row r="16" spans="1:5">
      <c r="A16" s="520"/>
      <c r="B16" s="33"/>
      <c r="C16" s="577"/>
      <c r="D16" s="520"/>
    </row>
    <row r="17" spans="1:6">
      <c r="A17" s="2" t="s">
        <v>2095</v>
      </c>
      <c r="B17" s="33"/>
      <c r="C17" s="577"/>
      <c r="D17" s="520"/>
    </row>
    <row r="18" spans="1:6">
      <c r="A18" s="575" t="s">
        <v>2216</v>
      </c>
      <c r="B18" s="3" t="s">
        <v>2221</v>
      </c>
      <c r="C18" s="414">
        <f>IF(design_type=2,1,Num_tanks_I)</f>
        <v>2</v>
      </c>
      <c r="D18" s="414" t="s">
        <v>2222</v>
      </c>
    </row>
    <row r="19" spans="1:6">
      <c r="A19" s="575" t="s">
        <v>3186</v>
      </c>
      <c r="B19" s="3" t="s">
        <v>2829</v>
      </c>
      <c r="C19" s="584">
        <f>IF(tank_geom_I="upright",1,2)</f>
        <v>1</v>
      </c>
      <c r="D19" s="414" t="s">
        <v>351</v>
      </c>
      <c r="E19" s="520"/>
    </row>
    <row r="20" spans="1:6">
      <c r="A20" s="575"/>
      <c r="B20" s="120"/>
      <c r="C20" s="3"/>
      <c r="D20" s="121"/>
      <c r="E20" s="3"/>
      <c r="F20" s="520"/>
    </row>
    <row r="21" spans="1:6">
      <c r="A21" s="573" t="s">
        <v>2548</v>
      </c>
      <c r="C21" s="577"/>
      <c r="E21" s="3"/>
      <c r="F21" s="520"/>
    </row>
    <row r="22" spans="1:6">
      <c r="A22" s="575" t="s">
        <v>2549</v>
      </c>
      <c r="B22" s="3" t="s">
        <v>2550</v>
      </c>
      <c r="C22" s="585">
        <f>IF(design_type=2,"-",max_vessel_diam_cl)</f>
        <v>14</v>
      </c>
      <c r="D22" s="414" t="s">
        <v>2219</v>
      </c>
      <c r="E22" s="3"/>
      <c r="F22" s="520"/>
    </row>
    <row r="23" spans="1:6">
      <c r="A23" s="575" t="s">
        <v>3193</v>
      </c>
      <c r="B23" s="3" t="s">
        <v>3194</v>
      </c>
      <c r="C23" s="414">
        <f>IF(design_type=2,"-",min_vessel_diam_cl)</f>
        <v>1.5</v>
      </c>
      <c r="D23" s="520" t="s">
        <v>2219</v>
      </c>
      <c r="E23" s="3"/>
      <c r="F23" s="520"/>
    </row>
    <row r="24" spans="1:6">
      <c r="A24" s="575" t="s">
        <v>3195</v>
      </c>
      <c r="B24" s="3" t="s">
        <v>1753</v>
      </c>
      <c r="C24" s="310">
        <f>IF(design_type=2,"-",IF(max_diam_override&gt;0,max_diam_override,max_diam_std_size))</f>
        <v>14</v>
      </c>
      <c r="D24" s="414" t="s">
        <v>2219</v>
      </c>
      <c r="E24" s="7" t="s">
        <v>2551</v>
      </c>
      <c r="F24" s="520"/>
    </row>
    <row r="25" spans="1:6">
      <c r="A25" s="575"/>
      <c r="C25" s="3"/>
      <c r="D25" s="121"/>
      <c r="E25" s="3"/>
      <c r="F25" s="520"/>
    </row>
    <row r="26" spans="1:6">
      <c r="A26" s="574" t="s">
        <v>1745</v>
      </c>
      <c r="C26" s="536"/>
      <c r="E26" s="8"/>
    </row>
    <row r="27" spans="1:6">
      <c r="A27" s="575" t="s">
        <v>3111</v>
      </c>
      <c r="B27" s="3" t="s">
        <v>34</v>
      </c>
      <c r="C27" s="520">
        <f>IF(design_type=2,"-",EBCT/Num_tanks)</f>
        <v>5</v>
      </c>
      <c r="D27" s="414" t="s">
        <v>2218</v>
      </c>
    </row>
    <row r="28" spans="1:6">
      <c r="A28" s="575" t="s">
        <v>30</v>
      </c>
      <c r="B28" s="3" t="s">
        <v>31</v>
      </c>
      <c r="C28" s="520">
        <f>IF(tank_geom=1,(comm_diam-(2*Vessel_thickness))^2*PI()/4,IF(tank_geom=2,(comm_diam-(2*Vessel_thickness))*comm_height_length))</f>
        <v>78.539816339744831</v>
      </c>
      <c r="D28" s="414" t="s">
        <v>3114</v>
      </c>
    </row>
    <row r="29" spans="1:6">
      <c r="A29" s="575" t="s">
        <v>1283</v>
      </c>
      <c r="B29" s="3" t="s">
        <v>1284</v>
      </c>
      <c r="C29" s="726" t="str">
        <f>IF(design_type=2,"-",IF(tank_geom=2,comm_diam-bed_depth-horiz_underdrain,"NA"))</f>
        <v>NA</v>
      </c>
      <c r="D29" s="414" t="s">
        <v>120</v>
      </c>
    </row>
    <row r="30" spans="1:6">
      <c r="A30" s="575" t="s">
        <v>1285</v>
      </c>
      <c r="B30" s="3" t="s">
        <v>1286</v>
      </c>
      <c r="C30" s="606" t="str">
        <f>IF(design_type=2,"-",IF(tank_geom=2,comm_height_length*(comm_diam*comm_diam/2*ASIN(SQRT(distance_above/comm_diam))-(comm_diam/2-distance_above)*SQRT((comm_diam-distance_above)*distance_above)),"NA"))</f>
        <v>NA</v>
      </c>
      <c r="D30" s="414" t="s">
        <v>1809</v>
      </c>
    </row>
    <row r="31" spans="1:6">
      <c r="A31" s="575" t="s">
        <v>32</v>
      </c>
      <c r="B31" s="3" t="s">
        <v>33</v>
      </c>
      <c r="C31" s="577">
        <f>IF(design_type=2,"-",IF(tank_geom=1,(max_sa*bed_depth*7.48)/EBCT_tank,media_volume*7.48/EBCT_tank))</f>
        <v>751.97161756325295</v>
      </c>
      <c r="D31" s="414" t="s">
        <v>1762</v>
      </c>
    </row>
    <row r="32" spans="1:6">
      <c r="A32" s="575" t="s">
        <v>1295</v>
      </c>
      <c r="B32" s="3" t="s">
        <v>1442</v>
      </c>
      <c r="C32" s="520">
        <f>IF(design_type=2,"-",ROUNDUP(design_flow_rate/flow_per_vessel,0))</f>
        <v>2</v>
      </c>
      <c r="D32" s="414" t="s">
        <v>1443</v>
      </c>
    </row>
    <row r="33" spans="1:5">
      <c r="A33" s="575" t="s">
        <v>1701</v>
      </c>
      <c r="B33" s="3" t="s">
        <v>1702</v>
      </c>
      <c r="C33" s="520">
        <f>IF(design_type=2,"-",ROUNDUP(design_flow_rate/flow_per_vessel,0)*Num_tanks)</f>
        <v>4</v>
      </c>
      <c r="D33" s="414" t="s">
        <v>2222</v>
      </c>
    </row>
    <row r="34" spans="1:5">
      <c r="A34" s="575" t="s">
        <v>1444</v>
      </c>
      <c r="B34" s="3" t="s">
        <v>1445</v>
      </c>
      <c r="C34" s="520">
        <f>IF(design_type=2,"-",IF(NRD_I&lt;&gt;"",NRD_I,IF(design_flow&gt;=1,ROUNDUP(num_treat_lines/redund_freq,0),IF(op_num_tanks=1,NRD_small_1,NRD_small))))</f>
        <v>1</v>
      </c>
      <c r="D34" s="414" t="s">
        <v>2222</v>
      </c>
      <c r="E34" s="9"/>
    </row>
    <row r="35" spans="1:5">
      <c r="A35" s="575" t="s">
        <v>1699</v>
      </c>
      <c r="B35" s="3" t="s">
        <v>1700</v>
      </c>
      <c r="C35" s="520">
        <f>IF(design_type=2,0,op_num_tanks+NRD)</f>
        <v>5</v>
      </c>
      <c r="D35" s="414" t="s">
        <v>2222</v>
      </c>
    </row>
    <row r="36" spans="1:5">
      <c r="A36" s="575"/>
      <c r="C36" s="520"/>
    </row>
    <row r="37" spans="1:5" s="520" customFormat="1">
      <c r="A37" s="574" t="s">
        <v>2176</v>
      </c>
      <c r="B37" s="33"/>
    </row>
    <row r="38" spans="1:5">
      <c r="A38" s="581" t="s">
        <v>1746</v>
      </c>
      <c r="B38" s="3" t="s">
        <v>1808</v>
      </c>
      <c r="C38" s="583">
        <f>IF(design_type=2,"-",design_flow_rate*EBCT/(7.481))</f>
        <v>1997.6533143222086</v>
      </c>
      <c r="D38" s="414" t="s">
        <v>1809</v>
      </c>
    </row>
    <row r="39" spans="1:5">
      <c r="A39" s="581" t="s">
        <v>1747</v>
      </c>
      <c r="B39" s="3" t="s">
        <v>1810</v>
      </c>
      <c r="C39" s="583">
        <f>IF(design_type=2,"-",contact_material/op_num_tanks)</f>
        <v>499.41332858055216</v>
      </c>
      <c r="D39" s="414" t="s">
        <v>1809</v>
      </c>
    </row>
    <row r="40" spans="1:5">
      <c r="A40" s="581" t="s">
        <v>1082</v>
      </c>
      <c r="B40" s="3" t="s">
        <v>1811</v>
      </c>
      <c r="C40" s="583">
        <f>IF(design_type=2,"-",contact_mat_per_vessel/(bed_depth))</f>
        <v>78.033332590711282</v>
      </c>
      <c r="D40" s="414" t="s">
        <v>3114</v>
      </c>
    </row>
    <row r="41" spans="1:5">
      <c r="A41" s="575"/>
      <c r="C41" s="583"/>
    </row>
    <row r="42" spans="1:5">
      <c r="A42" s="574" t="s">
        <v>145</v>
      </c>
      <c r="C42" s="583"/>
    </row>
    <row r="43" spans="1:5">
      <c r="A43" s="581" t="s">
        <v>1748</v>
      </c>
      <c r="B43" s="33" t="s">
        <v>1750</v>
      </c>
      <c r="C43" s="520">
        <f>IF(design_type=2,"-",IF(tank_geom=1,(comm_diam-(2*Vessel_thickness))^2*PI()/4,IF(tank_geom=2,(comm_diam-(2*Vessel_thickness))*comm_height_length)))</f>
        <v>78.539816339744831</v>
      </c>
      <c r="D43" s="414" t="s">
        <v>3114</v>
      </c>
    </row>
    <row r="44" spans="1:5">
      <c r="A44" s="581" t="s">
        <v>1749</v>
      </c>
      <c r="B44" s="33" t="s">
        <v>1751</v>
      </c>
      <c r="C44" s="586">
        <f>IF(design_type=2,"-",(design_flow_rate/num_treat_lines)/comm_SA)</f>
        <v>9.513928820382187</v>
      </c>
      <c r="D44" s="414" t="s">
        <v>2455</v>
      </c>
    </row>
    <row r="45" spans="1:5">
      <c r="A45" s="581" t="s">
        <v>422</v>
      </c>
      <c r="B45" s="33" t="s">
        <v>2842</v>
      </c>
      <c r="C45" s="577">
        <f>IF(design_type=2,"-",PI()*comm_diam^2/4*comm_height_length)</f>
        <v>824.66807156732068</v>
      </c>
      <c r="D45" s="414" t="s">
        <v>1809</v>
      </c>
    </row>
    <row r="46" spans="1:5">
      <c r="A46" s="587"/>
      <c r="B46" s="33" t="s">
        <v>19</v>
      </c>
      <c r="C46" s="577">
        <f>IF(design_type=2,"-",comm_vol*7.48)</f>
        <v>6168.5171753235591</v>
      </c>
      <c r="D46" s="414" t="s">
        <v>2843</v>
      </c>
    </row>
    <row r="47" spans="1:5">
      <c r="A47" s="587"/>
      <c r="B47" s="33"/>
      <c r="C47" s="577"/>
    </row>
    <row r="48" spans="1:5">
      <c r="A48" s="574" t="s">
        <v>2177</v>
      </c>
      <c r="B48" s="33"/>
      <c r="C48" s="583"/>
    </row>
    <row r="49" spans="1:5">
      <c r="A49" s="575" t="s">
        <v>2178</v>
      </c>
      <c r="B49" s="33"/>
      <c r="C49" s="583"/>
    </row>
    <row r="50" spans="1:5">
      <c r="A50" s="575" t="s">
        <v>2179</v>
      </c>
      <c r="B50" s="33" t="s">
        <v>1813</v>
      </c>
      <c r="C50" s="520">
        <f>IF(design_type=2,"-",bed_depth*(1+bed_expansion)+free_board)</f>
        <v>10.1</v>
      </c>
      <c r="D50" s="414" t="s">
        <v>2219</v>
      </c>
    </row>
    <row r="51" spans="1:5">
      <c r="A51" s="581" t="s">
        <v>1814</v>
      </c>
      <c r="B51" s="33" t="s">
        <v>1812</v>
      </c>
      <c r="C51" s="582">
        <f>IF(design_type=2,"-",(SA*4/PI())^0.5+(2*Vessel_thickness))</f>
        <v>9.9677040918139603</v>
      </c>
      <c r="D51" s="414" t="s">
        <v>2219</v>
      </c>
    </row>
    <row r="52" spans="1:5">
      <c r="A52" s="587" t="s">
        <v>2180</v>
      </c>
      <c r="B52" s="33" t="s">
        <v>2181</v>
      </c>
      <c r="C52" s="583">
        <f>IF(design_type=2,"-",VLOOKUP(comm_diam,vessel_size_table_cl,2))</f>
        <v>6</v>
      </c>
      <c r="D52" s="414" t="s">
        <v>2219</v>
      </c>
    </row>
    <row r="53" spans="1:5">
      <c r="A53" s="587" t="s">
        <v>2182</v>
      </c>
      <c r="B53" s="33" t="s">
        <v>2183</v>
      </c>
      <c r="C53" s="583">
        <f>IF(design_type=2,"-",VLOOKUP(comm_diam,vessel_size_table_cl,3))</f>
        <v>24</v>
      </c>
      <c r="D53" s="414" t="s">
        <v>2219</v>
      </c>
    </row>
    <row r="54" spans="1:5">
      <c r="A54" s="575"/>
      <c r="C54" s="583"/>
    </row>
    <row r="55" spans="1:5" s="520" customFormat="1">
      <c r="A55" s="575" t="s">
        <v>2184</v>
      </c>
      <c r="B55" s="33"/>
    </row>
    <row r="56" spans="1:5" s="520" customFormat="1">
      <c r="A56" s="588" t="s">
        <v>410</v>
      </c>
      <c r="B56" s="3" t="s">
        <v>411</v>
      </c>
      <c r="C56" s="586">
        <f>IF(design_type=2,"-",comm_height_length*(comm_diam*comm_diam/2*ASIN(SQRT(free_board/comm_diam))-(comm_diam/2-free_board)*SQRT((comm_diam-free_board)*free_board)))</f>
        <v>15.415550555370473</v>
      </c>
      <c r="D56" s="414" t="s">
        <v>1809</v>
      </c>
      <c r="E56" s="7" t="s">
        <v>419</v>
      </c>
    </row>
    <row r="57" spans="1:5" s="520" customFormat="1">
      <c r="A57" s="588" t="s">
        <v>412</v>
      </c>
      <c r="B57" s="3" t="s">
        <v>413</v>
      </c>
      <c r="C57" s="586">
        <f>IF(design_type=2,"-",comm_height_length*(comm_diam*comm_diam/2*ASIN(SQRT(horiz_underdrain/comm_diam))-(comm_diam/2-horiz_underdrain)*SQRT((comm_diam-horiz_underdrain)*horiz_underdrain)))</f>
        <v>77.568445548862812</v>
      </c>
      <c r="D57" s="414" t="s">
        <v>1809</v>
      </c>
    </row>
    <row r="58" spans="1:5" s="520" customFormat="1">
      <c r="A58" s="589" t="s">
        <v>414</v>
      </c>
      <c r="B58" s="3" t="s">
        <v>415</v>
      </c>
      <c r="C58" s="586">
        <f>IF(design_type=2,"-",freeboard_horiz_void+underdrain_horiz_void)</f>
        <v>92.983996104233285</v>
      </c>
      <c r="D58" s="414" t="s">
        <v>1809</v>
      </c>
    </row>
    <row r="59" spans="1:5" s="520" customFormat="1">
      <c r="A59" s="575"/>
      <c r="B59" s="33"/>
    </row>
    <row r="60" spans="1:5">
      <c r="A60" s="575" t="s">
        <v>1652</v>
      </c>
    </row>
    <row r="61" spans="1:5">
      <c r="A61" s="588" t="s">
        <v>1653</v>
      </c>
      <c r="B61" s="3" t="s">
        <v>1654</v>
      </c>
      <c r="C61" s="590">
        <f>IF(design_type=2,"-",(comm_height_length-free_board)*PI()*comm_diam^2/4)</f>
        <v>785.39816339744823</v>
      </c>
      <c r="D61" s="414" t="s">
        <v>1809</v>
      </c>
    </row>
    <row r="62" spans="1:5">
      <c r="A62" s="588" t="s">
        <v>1655</v>
      </c>
      <c r="B62" s="3" t="s">
        <v>1656</v>
      </c>
      <c r="C62" s="590">
        <f>IF(design_type=2,"-",comm_vol-horiz_void)</f>
        <v>731.68407546308742</v>
      </c>
      <c r="D62" s="414" t="s">
        <v>1809</v>
      </c>
    </row>
    <row r="63" spans="1:5">
      <c r="A63" s="588" t="s">
        <v>1657</v>
      </c>
      <c r="B63" s="3" t="s">
        <v>1658</v>
      </c>
      <c r="C63" s="590">
        <f>IF(design_type=2,"-",CHOOSE(tank_geom,vert_vol_available,horiz_vol_available))</f>
        <v>785.39816339744823</v>
      </c>
      <c r="D63" s="414" t="s">
        <v>1809</v>
      </c>
      <c r="E63" s="7" t="s">
        <v>2175</v>
      </c>
    </row>
    <row r="64" spans="1:5">
      <c r="A64" s="575"/>
    </row>
    <row r="65" spans="1:5">
      <c r="A65" s="2" t="s">
        <v>2096</v>
      </c>
    </row>
    <row r="66" spans="1:5">
      <c r="A66" s="575" t="s">
        <v>2097</v>
      </c>
      <c r="B66" s="33" t="s">
        <v>2098</v>
      </c>
      <c r="C66" s="577" t="str">
        <f>IF(design_type=1,"-",design_flow_rate*EBCT/7.48)</f>
        <v>-</v>
      </c>
      <c r="D66" s="414" t="s">
        <v>1739</v>
      </c>
    </row>
    <row r="67" spans="1:5">
      <c r="A67" s="575" t="s">
        <v>2099</v>
      </c>
      <c r="B67" s="33" t="s">
        <v>2100</v>
      </c>
      <c r="C67" s="520" t="str">
        <f>IF(design_type=1,"-",ROUNDUP(min_basin_vol/(basin_width*basin_length*basin_op_depth),0))</f>
        <v>-</v>
      </c>
    </row>
    <row r="68" spans="1:5">
      <c r="A68" s="575" t="s">
        <v>2101</v>
      </c>
      <c r="B68" s="33" t="s">
        <v>2102</v>
      </c>
      <c r="C68" s="582" t="str">
        <f>IF(design_type=1,"-",basin_op_depth*(1+bed_expansion)+basin_freeboard)</f>
        <v>-</v>
      </c>
      <c r="D68" s="414" t="s">
        <v>120</v>
      </c>
    </row>
    <row r="69" spans="1:5">
      <c r="A69" s="575" t="s">
        <v>2103</v>
      </c>
      <c r="B69" s="33" t="s">
        <v>2104</v>
      </c>
      <c r="C69" s="577" t="str">
        <f>IF(design_type=1,"-",basin_width*basin_length*basin_depth*7.48)</f>
        <v>-</v>
      </c>
      <c r="D69" s="414" t="s">
        <v>2843</v>
      </c>
    </row>
    <row r="70" spans="1:5">
      <c r="A70" s="575" t="s">
        <v>2105</v>
      </c>
      <c r="B70" s="33" t="s">
        <v>2116</v>
      </c>
      <c r="C70" s="580" t="str">
        <f>IF(design_type=1,"-",design_flow_rate/(op_num_basins*(basin_width*basin_length)))</f>
        <v>-</v>
      </c>
      <c r="D70" s="414" t="s">
        <v>2455</v>
      </c>
    </row>
    <row r="71" spans="1:5">
      <c r="A71" s="575" t="s">
        <v>2106</v>
      </c>
      <c r="B71" s="33" t="s">
        <v>2117</v>
      </c>
      <c r="C71" s="591" t="str">
        <f>IF(design_type=1,"-",IF(NRD_I&lt;&gt;"",NRD_I,IF(op_num_basins=1,NRD_small_1,CHOOSE(ss_cat2,NRD_small,NRD_basins_medium,NRD_basins_large))))</f>
        <v>-</v>
      </c>
      <c r="D71" s="414" t="s">
        <v>2222</v>
      </c>
    </row>
    <row r="72" spans="1:5">
      <c r="A72" s="575" t="s">
        <v>2107</v>
      </c>
      <c r="B72" s="33" t="s">
        <v>2090</v>
      </c>
      <c r="C72" s="414">
        <f>IF(design_type=1,0,op_num_basins+NRD_g)</f>
        <v>0</v>
      </c>
      <c r="D72" s="414" t="s">
        <v>2222</v>
      </c>
    </row>
    <row r="73" spans="1:5">
      <c r="A73" s="575" t="s">
        <v>2061</v>
      </c>
      <c r="B73" s="33" t="s">
        <v>2108</v>
      </c>
      <c r="C73" s="578">
        <f>IF(design_type=1,0,(2*(basin_width*total_num_basins+conc_thick*(total_num_basins+1))*basin_depth*conc_thick+(total_num_basins+1)*basin_length*basin_depth*conc_thick+(basin_length+2*conc_thick)*(basin_width*total_num_basins+conc_thick*(total_num_basins+1))*conc_thick)/27)</f>
        <v>0</v>
      </c>
      <c r="D73" s="414" t="s">
        <v>1725</v>
      </c>
      <c r="E73" s="7" t="s">
        <v>2120</v>
      </c>
    </row>
    <row r="74" spans="1:5">
      <c r="A74" s="575" t="s">
        <v>2109</v>
      </c>
      <c r="B74" s="33" t="s">
        <v>2110</v>
      </c>
      <c r="C74" s="578" t="str">
        <f>IF(design_type=1,"-",((total_num_basins*basin_width+(total_num_basins+1)*conc_thick+overexcavate)*(basin_length+2*conc_thick+overexcavate)*(basin_depth+conc_thick+overexcavate)+0.5*(3*(basin_depth+conc_thick+overexcavate)*(basin_depth+conc_thick+overexcavate)*(basin_length+2*conc_thick+overexcavate)))/27)</f>
        <v>-</v>
      </c>
      <c r="D74" s="414" t="s">
        <v>1725</v>
      </c>
      <c r="E74" s="7" t="s">
        <v>2121</v>
      </c>
    </row>
    <row r="75" spans="1:5">
      <c r="A75" s="575" t="s">
        <v>2062</v>
      </c>
      <c r="B75" s="33" t="s">
        <v>2111</v>
      </c>
      <c r="C75" s="578" t="str">
        <f>IF(design_type=1,"-",excavation_vol-(total_num_basins*basin_width+(total_num_basins+1)*conc_thick)*(basin_length+2*conc_thick)*(basin_depth+conc_thick)/27)</f>
        <v>-</v>
      </c>
      <c r="D75" s="414" t="s">
        <v>1725</v>
      </c>
    </row>
    <row r="76" spans="1:5">
      <c r="A76" s="575" t="s">
        <v>1705</v>
      </c>
      <c r="B76" s="33" t="s">
        <v>2112</v>
      </c>
      <c r="C76" s="414" t="str">
        <f>IF(design_type=1,"-",2*(total_num_basins*basin_width+2*conc_thick/2+(total_num_basins-1)*conc_thick)+2*(basin_length+2*conc_thick/2))</f>
        <v>-</v>
      </c>
      <c r="D76" s="414" t="s">
        <v>2526</v>
      </c>
      <c r="E76" s="7" t="s">
        <v>2122</v>
      </c>
    </row>
    <row r="77" spans="1:5">
      <c r="A77" s="575" t="s">
        <v>2114</v>
      </c>
      <c r="B77" s="33" t="s">
        <v>2115</v>
      </c>
      <c r="C77" s="414" t="str">
        <f>IF(design_type=1,"-",basin_width*basin_length)</f>
        <v>-</v>
      </c>
      <c r="D77" s="414" t="s">
        <v>1595</v>
      </c>
      <c r="E77" s="7" t="s">
        <v>2123</v>
      </c>
    </row>
    <row r="78" spans="1:5">
      <c r="B78" s="33"/>
      <c r="E78" s="7"/>
    </row>
    <row r="79" spans="1:5">
      <c r="A79" s="2" t="s">
        <v>2124</v>
      </c>
    </row>
    <row r="80" spans="1:5">
      <c r="A80" s="575" t="s">
        <v>2113</v>
      </c>
      <c r="B80" s="3" t="s">
        <v>420</v>
      </c>
      <c r="C80" s="583">
        <f>IF(design_type=1,IF(tank_geom=1,comm_SA*bed_depth,IF(tank_geom=2,comm_vol-underdrain_horiz_void-void_above)),basin_width*basin_length*basin_op_depth)</f>
        <v>502.6548245743669</v>
      </c>
      <c r="D80" s="414" t="s">
        <v>1809</v>
      </c>
    </row>
    <row r="81" spans="1:4">
      <c r="A81" s="575" t="s">
        <v>2666</v>
      </c>
      <c r="B81" s="33" t="s">
        <v>2667</v>
      </c>
      <c r="C81" s="577">
        <f>media_volume*GAC_density</f>
        <v>15079.644737231007</v>
      </c>
      <c r="D81" s="414" t="s">
        <v>2255</v>
      </c>
    </row>
    <row r="82" spans="1:4">
      <c r="A82" s="575" t="s">
        <v>2665</v>
      </c>
      <c r="B82" s="33" t="s">
        <v>1772</v>
      </c>
      <c r="C82" s="577">
        <f>GAC_each*IF(design_type=1,final_num_tanks,total_num_basins)</f>
        <v>75398.223686155034</v>
      </c>
      <c r="D82" s="414" t="s">
        <v>2255</v>
      </c>
    </row>
    <row r="83" spans="1:4">
      <c r="A83" s="581" t="s">
        <v>1363</v>
      </c>
      <c r="B83" s="3" t="s">
        <v>421</v>
      </c>
      <c r="C83" s="583">
        <f>media_volume*(1+bed_expansion)</f>
        <v>753.98223686155029</v>
      </c>
      <c r="D83" s="414" t="s">
        <v>1809</v>
      </c>
    </row>
  </sheetData>
  <phoneticPr fontId="0" type="noConversion"/>
  <hyperlinks>
    <hyperlink ref="D12" location="contam_list" display="&lt;-- 1 for perchlorate, 2 for atrazine, 3 for radon, 4 for TCE, 5 for PCE, etc." xr:uid="{00000000-0004-0000-0B00-000000000000}"/>
  </hyperlinks>
  <pageMargins left="0.75" right="0.75" top="1" bottom="1" header="0.5" footer="0.5"/>
  <pageSetup orientation="portrait" r:id="rId1"/>
  <headerFooter alignWithMargins="0"/>
  <ignoredErrors>
    <ignoredError sqref="C19" unlockedFormula="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86"/>
  <sheetViews>
    <sheetView zoomScaleNormal="100" workbookViewId="0">
      <pane ySplit="3" topLeftCell="A4" activePane="bottomLeft" state="frozen"/>
      <selection activeCell="A2" sqref="A2"/>
      <selection pane="bottomLeft" activeCell="B36" sqref="B36"/>
    </sheetView>
  </sheetViews>
  <sheetFormatPr baseColWidth="10" defaultColWidth="9.1640625" defaultRowHeight="13"/>
  <cols>
    <col min="1" max="1" width="36.83203125" style="414" customWidth="1"/>
    <col min="2" max="2" width="18.6640625" style="3" customWidth="1"/>
    <col min="3" max="3" width="14.5" style="414" customWidth="1"/>
    <col min="4" max="4" width="12.5" style="414" customWidth="1"/>
    <col min="5" max="16384" width="9.1640625" style="414"/>
  </cols>
  <sheetData>
    <row r="1" spans="1:5">
      <c r="A1" s="1" t="s">
        <v>3252</v>
      </c>
    </row>
    <row r="3" spans="1:5">
      <c r="A3" s="168" t="s">
        <v>3250</v>
      </c>
      <c r="B3" s="168" t="s">
        <v>1369</v>
      </c>
      <c r="C3" s="169" t="s">
        <v>1370</v>
      </c>
      <c r="D3" s="168" t="s">
        <v>1371</v>
      </c>
      <c r="E3" s="168" t="s">
        <v>1372</v>
      </c>
    </row>
    <row r="4" spans="1:5">
      <c r="A4" s="2" t="s">
        <v>2140</v>
      </c>
    </row>
    <row r="5" spans="1:5">
      <c r="A5" s="414" t="s">
        <v>3182</v>
      </c>
      <c r="B5" s="3" t="s">
        <v>2944</v>
      </c>
      <c r="C5" s="116">
        <f>IF(freund_type_I="carbon life value- months",1,IF(freund_type_I="calculation from Freundlich isotherm",2,IF(freund_type_I="calculation from BDST",3,4)))</f>
        <v>4</v>
      </c>
      <c r="D5" s="520" t="s">
        <v>1287</v>
      </c>
    </row>
    <row r="6" spans="1:5">
      <c r="A6" s="414" t="s">
        <v>1436</v>
      </c>
      <c r="B6" s="3" t="s">
        <v>1354</v>
      </c>
      <c r="C6" s="414">
        <f>IF(regen_type_I="regeneration on-site",1,IF(regen_type_I="regeneration off-site (non-hazardous)",2,IF(regen_type_I="throwaway (non-hazardous)",3,IF(regen_type_I="regeneration off-site (hazardous)",4,IF(regen_type_I="throwaway (hazardous)",5,IF(regen_type_I="throwaway (radioactive)",6,7))))))</f>
        <v>5</v>
      </c>
      <c r="D6" s="414" t="s">
        <v>2744</v>
      </c>
    </row>
    <row r="8" spans="1:5">
      <c r="A8" s="414" t="s">
        <v>121</v>
      </c>
      <c r="B8" s="3" t="s">
        <v>122</v>
      </c>
      <c r="C8" s="414">
        <f>back_interval_I</f>
        <v>168</v>
      </c>
      <c r="D8" s="414" t="s">
        <v>2816</v>
      </c>
      <c r="E8" s="7"/>
    </row>
    <row r="9" spans="1:5">
      <c r="A9" s="520" t="s">
        <v>1950</v>
      </c>
      <c r="B9" s="33" t="s">
        <v>2029</v>
      </c>
      <c r="C9" s="116" t="str">
        <f>IF(no_backwash_I="existing pumps",1,IF(no_backwash_I="new pumps","",IF(ss_cat2=1,1,"")))</f>
        <v/>
      </c>
      <c r="D9" s="414" t="s">
        <v>1047</v>
      </c>
    </row>
    <row r="10" spans="1:5">
      <c r="A10" s="414" t="s">
        <v>1951</v>
      </c>
      <c r="B10" s="3" t="s">
        <v>387</v>
      </c>
      <c r="C10" s="116" t="str">
        <f>IF(no_back_tank_I="existing storage",1,IF(no_back_tank_I="new storage","",IF(ss_cat2=2,"",1)))</f>
        <v/>
      </c>
      <c r="D10" s="414" t="s">
        <v>1048</v>
      </c>
    </row>
    <row r="12" spans="1:5">
      <c r="A12" s="2" t="s">
        <v>717</v>
      </c>
    </row>
    <row r="13" spans="1:5">
      <c r="A13" s="414" t="s">
        <v>2669</v>
      </c>
      <c r="B13" s="3" t="s">
        <v>1673</v>
      </c>
      <c r="C13" s="577">
        <f>ROUND(h2oflush_backwash_rate*IF(design_type=1,comm_SA,basin_width*basin_length),0)</f>
        <v>942</v>
      </c>
      <c r="D13" s="414" t="s">
        <v>1762</v>
      </c>
    </row>
    <row r="14" spans="1:5">
      <c r="A14" s="414" t="s">
        <v>2668</v>
      </c>
      <c r="B14" s="3" t="s">
        <v>2256</v>
      </c>
      <c r="C14" s="577">
        <f>water_flush*backwash_time</f>
        <v>9420</v>
      </c>
      <c r="D14" s="414" t="s">
        <v>1765</v>
      </c>
      <c r="E14" s="7"/>
    </row>
    <row r="15" spans="1:5">
      <c r="A15" s="414" t="s">
        <v>467</v>
      </c>
      <c r="B15" s="33" t="s">
        <v>468</v>
      </c>
      <c r="C15" s="577">
        <f>total_backwash*back_multiplier/7.48</f>
        <v>1259.3582887700534</v>
      </c>
      <c r="D15" s="414" t="s">
        <v>1739</v>
      </c>
      <c r="E15" s="7" t="s">
        <v>1724</v>
      </c>
    </row>
    <row r="16" spans="1:5">
      <c r="A16" s="414" t="s">
        <v>469</v>
      </c>
      <c r="B16" s="3" t="s">
        <v>470</v>
      </c>
      <c r="C16" s="414">
        <f>IF(no_back_tank=1,0,back_basins_default)</f>
        <v>1</v>
      </c>
      <c r="D16" s="414" t="s">
        <v>2222</v>
      </c>
      <c r="E16" s="7" t="s">
        <v>1724</v>
      </c>
    </row>
    <row r="17" spans="1:5">
      <c r="A17" s="414" t="s">
        <v>471</v>
      </c>
      <c r="B17" s="33" t="s">
        <v>472</v>
      </c>
      <c r="C17" s="577">
        <f>IF(back_basins=0,0,ROUNDUP((back_vol_ft/back_basins)^(1/3)*back_ratio,0))</f>
        <v>7</v>
      </c>
      <c r="D17" s="414" t="s">
        <v>2219</v>
      </c>
      <c r="E17" s="7" t="s">
        <v>1724</v>
      </c>
    </row>
    <row r="18" spans="1:5">
      <c r="A18" s="414" t="s">
        <v>473</v>
      </c>
      <c r="B18" s="33" t="s">
        <v>474</v>
      </c>
      <c r="C18" s="577">
        <f>IF(back_basins=0,0,ROUNDUP(((back_vol_ft/back_basins)/back_basin_op_depth)^0.5,0))</f>
        <v>14</v>
      </c>
      <c r="D18" s="414" t="s">
        <v>2219</v>
      </c>
      <c r="E18" s="7" t="s">
        <v>1724</v>
      </c>
    </row>
    <row r="19" spans="1:5">
      <c r="A19" s="414" t="s">
        <v>475</v>
      </c>
      <c r="B19" s="33" t="s">
        <v>476</v>
      </c>
      <c r="C19" s="577">
        <f>back_basin_width</f>
        <v>14</v>
      </c>
      <c r="D19" s="414" t="s">
        <v>2219</v>
      </c>
      <c r="E19" s="7" t="s">
        <v>1724</v>
      </c>
    </row>
    <row r="20" spans="1:5">
      <c r="A20" s="414" t="s">
        <v>477</v>
      </c>
      <c r="B20" s="33" t="s">
        <v>478</v>
      </c>
      <c r="C20" s="577">
        <f>IF(back_basins=0,0,back_basin_op_depth+back_freeboard)</f>
        <v>10</v>
      </c>
      <c r="D20" s="414" t="s">
        <v>2219</v>
      </c>
      <c r="E20" s="7" t="s">
        <v>1724</v>
      </c>
    </row>
    <row r="21" spans="1:5">
      <c r="A21" s="414" t="s">
        <v>479</v>
      </c>
      <c r="B21" s="33" t="s">
        <v>480</v>
      </c>
      <c r="C21" s="577">
        <f>ROUND(back_basin_width*back_basin_length*back_basin_depth*7.48,0)</f>
        <v>14661</v>
      </c>
      <c r="D21" s="414" t="s">
        <v>2843</v>
      </c>
      <c r="E21" s="7" t="s">
        <v>1724</v>
      </c>
    </row>
    <row r="22" spans="1:5">
      <c r="A22" s="414" t="s">
        <v>2061</v>
      </c>
      <c r="B22" s="33" t="s">
        <v>481</v>
      </c>
      <c r="C22" s="578">
        <f>(2*(back_basin_width*back_basins+conc_thick*(back_basins+1))*back_basin_depth*conc_thick+(back_basins+1)*back_basin_length*back_basin_depth*conc_thick+(back_basin_length+2*conc_thick)*(back_basin_width*back_basins+conc_thick*(back_basins+1))*conc_thick)/27</f>
        <v>31.703703703703702</v>
      </c>
      <c r="D22" s="414" t="s">
        <v>1725</v>
      </c>
      <c r="E22" s="7" t="s">
        <v>1724</v>
      </c>
    </row>
    <row r="23" spans="1:5">
      <c r="A23" s="414" t="s">
        <v>2109</v>
      </c>
      <c r="B23" s="33" t="s">
        <v>482</v>
      </c>
      <c r="C23" s="578">
        <f>IF(back_basins=0,0,((back_basins*back_basin_width+(back_basins+1)*conc_thick+overexcavate)*(back_basin_length+2*conc_thick+overexcavate)*(back_basin_depth+conc_thick+overexcavate)+0.5*(3*(back_basin_depth+conc_thick+overexcavate)*(back_basin_depth+conc_thick+overexcavate)*(back_basin_length+2*conc_thick+overexcavate)))/27)</f>
        <v>472.22222222222223</v>
      </c>
      <c r="D23" s="414" t="s">
        <v>1725</v>
      </c>
      <c r="E23" s="7" t="s">
        <v>1724</v>
      </c>
    </row>
    <row r="24" spans="1:5">
      <c r="A24" s="414" t="s">
        <v>2062</v>
      </c>
      <c r="B24" s="33" t="s">
        <v>483</v>
      </c>
      <c r="C24" s="577">
        <f>IF(back_basins=0,0,back_excavation_vol-(back_basins*back_basin_width+(back_basins+1)*conc_thick)*(back_basin_length+2*conc_thick)*(back_basin_depth+conc_thick)/27)</f>
        <v>367.92592592592592</v>
      </c>
      <c r="D24" s="414" t="s">
        <v>1725</v>
      </c>
      <c r="E24" s="7" t="s">
        <v>1724</v>
      </c>
    </row>
    <row r="25" spans="1:5">
      <c r="A25" s="414" t="s">
        <v>1705</v>
      </c>
      <c r="B25" s="33" t="s">
        <v>484</v>
      </c>
      <c r="C25" s="578">
        <f>IF(back_basins=0,0,2*(back_basins*back_basin_width+2*conc_thick/2+(back_basins-1)*conc_thick)+2*(back_basin_length+2*conc_thick/2))</f>
        <v>60</v>
      </c>
      <c r="D25" s="414" t="s">
        <v>2526</v>
      </c>
      <c r="E25" s="7" t="s">
        <v>1724</v>
      </c>
    </row>
    <row r="26" spans="1:5">
      <c r="A26" s="414" t="s">
        <v>25</v>
      </c>
      <c r="B26" s="3" t="s">
        <v>26</v>
      </c>
      <c r="C26" s="517">
        <f>MAX(VLOOKUP(10^6,st_bwt_cost_cl,1)-1,VLOOKUP(10^6,fg_bwt_cost_cl,1)-1,VLOOKUP(10^6,hdpe_bwt_cost_cl,1)-1)</f>
        <v>289000</v>
      </c>
      <c r="D26" s="414" t="s">
        <v>1765</v>
      </c>
      <c r="E26" s="7" t="s">
        <v>423</v>
      </c>
    </row>
    <row r="27" spans="1:5">
      <c r="A27" s="414" t="s">
        <v>677</v>
      </c>
      <c r="B27" s="3" t="s">
        <v>678</v>
      </c>
      <c r="C27" s="579">
        <f>IF(no_back_tank=1,0,ROUNDUP(total_backwash*back_multiplier/max_back_tank_size,0))</f>
        <v>1</v>
      </c>
      <c r="D27" s="414" t="s">
        <v>2222</v>
      </c>
      <c r="E27" s="7"/>
    </row>
    <row r="28" spans="1:5">
      <c r="A28" s="414" t="s">
        <v>28</v>
      </c>
      <c r="B28" s="3" t="s">
        <v>29</v>
      </c>
      <c r="C28" s="577">
        <f>IF(no_back_tank=1,0,total_backwash*back_multiplier/num_back_tanks)</f>
        <v>9420</v>
      </c>
      <c r="D28" s="414" t="s">
        <v>1765</v>
      </c>
      <c r="E28" s="7"/>
    </row>
    <row r="29" spans="1:5">
      <c r="C29" s="520"/>
    </row>
    <row r="30" spans="1:5">
      <c r="A30" s="493" t="s">
        <v>1353</v>
      </c>
      <c r="B30" s="33"/>
      <c r="C30" s="520"/>
      <c r="D30" s="520"/>
      <c r="E30" s="520"/>
    </row>
    <row r="31" spans="1:5">
      <c r="A31" s="520" t="s">
        <v>2670</v>
      </c>
      <c r="B31" s="33" t="s">
        <v>2671</v>
      </c>
      <c r="C31" s="577">
        <f>IF(design_type=1,GAC_each*num_treat_lines,GAC)*453.59</f>
        <v>13679952.112721223</v>
      </c>
      <c r="D31" s="520" t="s">
        <v>2532</v>
      </c>
      <c r="E31" s="51" t="s">
        <v>2672</v>
      </c>
    </row>
    <row r="32" spans="1:5">
      <c r="A32" s="520" t="s">
        <v>2673</v>
      </c>
      <c r="B32" s="33" t="s">
        <v>2674</v>
      </c>
      <c r="C32" s="580">
        <f>average_flow_rate*3.785</f>
        <v>5656.4722222222217</v>
      </c>
      <c r="D32" s="520" t="s">
        <v>2675</v>
      </c>
      <c r="E32" s="51" t="s">
        <v>2672</v>
      </c>
    </row>
    <row r="33" spans="1:5">
      <c r="A33" s="520" t="s">
        <v>2676</v>
      </c>
      <c r="B33" s="33" t="s">
        <v>2677</v>
      </c>
      <c r="C33" s="577">
        <f>freund_1*GAC_density*453.59/0.02832</f>
        <v>5814024364.4067793</v>
      </c>
      <c r="D33" s="520" t="s">
        <v>2678</v>
      </c>
      <c r="E33" s="51" t="s">
        <v>2489</v>
      </c>
    </row>
    <row r="34" spans="1:5">
      <c r="A34" s="520" t="s">
        <v>2490</v>
      </c>
      <c r="B34" s="33" t="s">
        <v>2491</v>
      </c>
      <c r="C34" s="580">
        <f>QL*0.001/IF(design_type=1,comm_SA*num_treat_lines*0.093,basin_width*basin_length*total_num_basins*0.093)</f>
        <v>0.38720667295856537</v>
      </c>
      <c r="D34" s="520" t="s">
        <v>2492</v>
      </c>
      <c r="E34" s="51" t="s">
        <v>2489</v>
      </c>
    </row>
    <row r="35" spans="1:5">
      <c r="A35" s="520" t="s">
        <v>2493</v>
      </c>
      <c r="B35" s="33" t="s">
        <v>2494</v>
      </c>
      <c r="C35" s="520">
        <f>IF(design_type=1,bed_depth,basin_op_depth)*0.3048</f>
        <v>1.95072</v>
      </c>
      <c r="D35" s="520" t="s">
        <v>2495</v>
      </c>
      <c r="E35" s="51" t="s">
        <v>2489</v>
      </c>
    </row>
    <row r="36" spans="1:5">
      <c r="A36" s="520" t="s">
        <v>2496</v>
      </c>
      <c r="B36" s="33" t="s">
        <v>2497</v>
      </c>
      <c r="C36" s="68">
        <f>CHOOSE(freund_type,freund_1,(M*(freund_1/1000)*(C_0*1000)^freund_2/(QL*(C_0-C_b)))/(30*24*60),(N_0_e/(1000*v*C_0)*D-LOG(C_0/C_b-1)/(freund_2*C_0))/(30*24*60),freund_1*IF(design_type=1,media_volume*num_treat_lines*IF(BV_definition="EBCT per vessel",1,Num_tanks),media_volume*op_num_basins)*7.48/average_flow_rate/60/24/30)</f>
        <v>1.4093644009472368</v>
      </c>
      <c r="D36" s="520" t="s">
        <v>2498</v>
      </c>
      <c r="E36" s="520"/>
    </row>
    <row r="37" spans="1:5">
      <c r="A37" s="65"/>
      <c r="B37" s="33"/>
      <c r="C37" s="520"/>
      <c r="D37" s="520"/>
      <c r="E37" s="520"/>
    </row>
    <row r="38" spans="1:5">
      <c r="A38" s="520" t="s">
        <v>2499</v>
      </c>
      <c r="B38" s="33" t="s">
        <v>2500</v>
      </c>
      <c r="C38" s="577">
        <f>GAC_each*IF(design_type=1,num_treat_lines,op_num_basins)/(bed_life/12)/365</f>
        <v>703.53578068630566</v>
      </c>
      <c r="D38" s="520" t="s">
        <v>118</v>
      </c>
      <c r="E38" s="520"/>
    </row>
    <row r="39" spans="1:5">
      <c r="A39" s="520" t="s">
        <v>2501</v>
      </c>
      <c r="B39" s="33" t="s">
        <v>2502</v>
      </c>
      <c r="C39" s="577">
        <f>(regen_day/regen_runtime)*regen_redund</f>
        <v>827.68915374859489</v>
      </c>
      <c r="D39" s="520" t="s">
        <v>118</v>
      </c>
      <c r="E39" s="51" t="s">
        <v>1729</v>
      </c>
    </row>
    <row r="40" spans="1:5">
      <c r="A40" s="520" t="s">
        <v>3463</v>
      </c>
      <c r="B40" s="33" t="s">
        <v>3464</v>
      </c>
      <c r="C40" s="577">
        <f>VLOOKUP(10^6,on_regen_cost_cl,1)-1</f>
        <v>100000</v>
      </c>
      <c r="D40" s="520" t="s">
        <v>118</v>
      </c>
      <c r="E40" s="7" t="s">
        <v>3092</v>
      </c>
    </row>
    <row r="41" spans="1:5">
      <c r="A41" s="520" t="s">
        <v>3465</v>
      </c>
      <c r="B41" s="33" t="s">
        <v>3466</v>
      </c>
      <c r="C41" s="577">
        <f>IF(regen_type=1,ROUNDUP(regen_capacity/max_furnace_size,0),0)</f>
        <v>0</v>
      </c>
      <c r="D41" s="520" t="s">
        <v>2222</v>
      </c>
      <c r="E41" s="7"/>
    </row>
    <row r="42" spans="1:5">
      <c r="A42" s="520" t="s">
        <v>3467</v>
      </c>
      <c r="B42" s="33" t="s">
        <v>3468</v>
      </c>
      <c r="C42" s="577">
        <f>IF(num_furnaces=0,0,regen_capacity/num_furnaces)</f>
        <v>0</v>
      </c>
      <c r="D42" s="520" t="s">
        <v>118</v>
      </c>
      <c r="E42" s="51"/>
    </row>
    <row r="43" spans="1:5">
      <c r="A43" s="520" t="s">
        <v>1730</v>
      </c>
      <c r="B43" s="33" t="s">
        <v>1731</v>
      </c>
      <c r="C43" s="577">
        <f>regen_day*365</f>
        <v>256790.55995050157</v>
      </c>
      <c r="D43" s="520" t="s">
        <v>669</v>
      </c>
      <c r="E43" s="51" t="s">
        <v>1732</v>
      </c>
    </row>
    <row r="44" spans="1:5">
      <c r="A44" s="520" t="s">
        <v>1733</v>
      </c>
      <c r="B44" s="33" t="s">
        <v>1734</v>
      </c>
      <c r="C44" s="577">
        <f>CHOOSE(regen_type,(1-makeup_rate)*GAC_yr,(1-makeup_rate_off)*GAC_yr,0,(1-makeup_rate_off)*GAC_yr,0,0,0)</f>
        <v>0</v>
      </c>
      <c r="D44" s="520" t="s">
        <v>669</v>
      </c>
      <c r="E44" s="520"/>
    </row>
    <row r="45" spans="1:5">
      <c r="A45" s="520" t="s">
        <v>1735</v>
      </c>
      <c r="B45" s="33" t="s">
        <v>1736</v>
      </c>
      <c r="C45" s="577">
        <f>CHOOSE(regen_type,makeup_rate*GAC_yr,makeup_rate_off*GAC_yr,GAC_yr,makeup_rate_off*GAC_yr,GAC_yr,GAC_yr,GAC_yr)</f>
        <v>256790.55995050157</v>
      </c>
      <c r="D45" s="520" t="s">
        <v>669</v>
      </c>
      <c r="E45" s="520"/>
    </row>
    <row r="46" spans="1:5">
      <c r="A46" s="520"/>
      <c r="B46" s="33"/>
      <c r="C46" s="577"/>
      <c r="D46" s="520"/>
      <c r="E46" s="520"/>
    </row>
    <row r="47" spans="1:5">
      <c r="A47" s="493" t="s">
        <v>1743</v>
      </c>
      <c r="B47" s="33"/>
      <c r="C47" s="520"/>
      <c r="D47" s="520"/>
      <c r="E47" s="520"/>
    </row>
    <row r="48" spans="1:5">
      <c r="A48" s="520" t="s">
        <v>2053</v>
      </c>
      <c r="B48" s="33" t="s">
        <v>1738</v>
      </c>
      <c r="C48" s="577">
        <f>(GAC_each/GAC_density)*virgin_storage_bv</f>
        <v>668.530916683908</v>
      </c>
      <c r="D48" s="520" t="s">
        <v>1739</v>
      </c>
      <c r="E48" s="520"/>
    </row>
    <row r="49" spans="1:5">
      <c r="A49" s="520" t="s">
        <v>46</v>
      </c>
      <c r="B49" s="33" t="s">
        <v>1740</v>
      </c>
      <c r="C49" s="577">
        <f>(GAC_each/GAC_density)*spent_storage_bv</f>
        <v>668.530916683908</v>
      </c>
      <c r="D49" s="520" t="s">
        <v>1739</v>
      </c>
      <c r="E49" s="520"/>
    </row>
    <row r="50" spans="1:5">
      <c r="A50" s="520" t="s">
        <v>48</v>
      </c>
      <c r="B50" s="33" t="s">
        <v>1741</v>
      </c>
      <c r="C50" s="577">
        <f>(GAC_each/GAC_density)*regen_storage_bv</f>
        <v>668.530916683908</v>
      </c>
      <c r="D50" s="520" t="s">
        <v>1739</v>
      </c>
      <c r="E50" s="520"/>
    </row>
    <row r="52" spans="1:5">
      <c r="A52" s="414" t="s">
        <v>1711</v>
      </c>
      <c r="B52" s="33" t="s">
        <v>1712</v>
      </c>
      <c r="C52" s="414">
        <f>ROUNDUP((virgin_storage/storage_basins)^(1/3)*storage_ratio,0)</f>
        <v>6</v>
      </c>
      <c r="D52" s="414" t="s">
        <v>2219</v>
      </c>
      <c r="E52" s="7" t="s">
        <v>1724</v>
      </c>
    </row>
    <row r="53" spans="1:5">
      <c r="A53" s="414" t="s">
        <v>1706</v>
      </c>
      <c r="B53" s="33" t="s">
        <v>1713</v>
      </c>
      <c r="C53" s="414">
        <f>ROUNDUP(((virgin_storage/storage_basins)/virgin_basin_op_depth)^0.5,0)</f>
        <v>11</v>
      </c>
      <c r="D53" s="414" t="s">
        <v>2219</v>
      </c>
      <c r="E53" s="7" t="s">
        <v>1724</v>
      </c>
    </row>
    <row r="54" spans="1:5">
      <c r="A54" s="414" t="s">
        <v>1707</v>
      </c>
      <c r="B54" s="33" t="s">
        <v>1714</v>
      </c>
      <c r="C54" s="414">
        <f>virgin_basin_width</f>
        <v>11</v>
      </c>
      <c r="D54" s="414" t="s">
        <v>2219</v>
      </c>
      <c r="E54" s="7" t="s">
        <v>1724</v>
      </c>
    </row>
    <row r="55" spans="1:5">
      <c r="A55" s="414" t="s">
        <v>1723</v>
      </c>
      <c r="B55" s="33" t="s">
        <v>1715</v>
      </c>
      <c r="C55" s="414">
        <f>virgin_basin_op_depth+storage_freeboard</f>
        <v>9</v>
      </c>
      <c r="D55" s="414" t="s">
        <v>2219</v>
      </c>
      <c r="E55" s="7" t="s">
        <v>1724</v>
      </c>
    </row>
    <row r="56" spans="1:5">
      <c r="A56" s="414" t="s">
        <v>1708</v>
      </c>
      <c r="B56" s="33" t="s">
        <v>1716</v>
      </c>
      <c r="C56" s="578">
        <f>ROUND(virgin_basin_width*virgin_basin_length*virgin_basin_depth*7.48,0)</f>
        <v>8146</v>
      </c>
      <c r="D56" s="414" t="s">
        <v>2843</v>
      </c>
      <c r="E56" s="7" t="s">
        <v>1724</v>
      </c>
    </row>
    <row r="57" spans="1:5">
      <c r="A57" s="414" t="s">
        <v>2061</v>
      </c>
      <c r="B57" s="33" t="s">
        <v>1717</v>
      </c>
      <c r="C57" s="414">
        <f>ROUNDUP(((2*virgin_basin_depth*virgin_basin_length+2*virgin_basin_depth*virgin_basin_width+virgin_basin_width*virgin_basin_length)*1.2*conc_thick*storage_basins)/27,0)</f>
        <v>23</v>
      </c>
      <c r="D57" s="414" t="s">
        <v>1725</v>
      </c>
      <c r="E57" s="7" t="s">
        <v>1724</v>
      </c>
    </row>
    <row r="58" spans="1:5">
      <c r="B58" s="33" t="s">
        <v>1718</v>
      </c>
      <c r="C58" s="414">
        <f>ROUNDUP(((virgin_basin_width+overexcavate)*(virgin_basin_length+overexcavate)*(virgin_basin_depth+overexcavate)+0.5*(3*(virgin_basin_depth+overexcavate)*(virgin_basin_width+overexcavate)*(virgin_basin_depth+overexcavate)))*storage_basins/27,0)</f>
        <v>250</v>
      </c>
      <c r="D58" s="414" t="s">
        <v>1725</v>
      </c>
      <c r="E58" s="7" t="s">
        <v>1724</v>
      </c>
    </row>
    <row r="59" spans="1:5">
      <c r="A59" s="414" t="s">
        <v>2062</v>
      </c>
      <c r="B59" s="33" t="s">
        <v>1719</v>
      </c>
      <c r="C59" s="414">
        <f>ROUNDUP(virgin_excavation_vol-(virgin_basin_width*virgin_basin_length*virgin_basin_depth*storage_basins)/27,0)</f>
        <v>210</v>
      </c>
      <c r="D59" s="414" t="s">
        <v>1725</v>
      </c>
      <c r="E59" s="7" t="s">
        <v>1724</v>
      </c>
    </row>
    <row r="60" spans="1:5">
      <c r="A60" s="414" t="s">
        <v>1705</v>
      </c>
      <c r="B60" s="33" t="s">
        <v>1720</v>
      </c>
      <c r="C60" s="414">
        <f>(virgin_basin_width*2+virgin_basin_length*2)*storage_basins*2</f>
        <v>88</v>
      </c>
      <c r="D60" s="414" t="s">
        <v>2526</v>
      </c>
      <c r="E60" s="7" t="s">
        <v>1724</v>
      </c>
    </row>
    <row r="61" spans="1:5">
      <c r="A61" s="414" t="s">
        <v>1709</v>
      </c>
      <c r="B61" s="33" t="s">
        <v>1721</v>
      </c>
      <c r="C61" s="414">
        <f>ROUNDUP(virgin_storage*7.48/max_back_tank_size,0)</f>
        <v>1</v>
      </c>
      <c r="D61" s="414" t="s">
        <v>2222</v>
      </c>
      <c r="E61" s="7" t="s">
        <v>1726</v>
      </c>
    </row>
    <row r="62" spans="1:5">
      <c r="A62" s="414" t="s">
        <v>1710</v>
      </c>
      <c r="B62" s="33" t="s">
        <v>1722</v>
      </c>
      <c r="C62" s="578">
        <f>virgin_storage*7.48/virgin_tanks</f>
        <v>5000.6112567956325</v>
      </c>
      <c r="D62" s="414" t="s">
        <v>2843</v>
      </c>
      <c r="E62" s="7" t="s">
        <v>1726</v>
      </c>
    </row>
    <row r="64" spans="1:5">
      <c r="A64" s="414" t="s">
        <v>452</v>
      </c>
      <c r="B64" s="33" t="s">
        <v>1481</v>
      </c>
      <c r="C64" s="414">
        <f>ROUNDUP((spent_storage/storage_basins)^(1/3)*storage_ratio,0)</f>
        <v>6</v>
      </c>
      <c r="D64" s="414" t="s">
        <v>2219</v>
      </c>
      <c r="E64" s="7" t="s">
        <v>1724</v>
      </c>
    </row>
    <row r="65" spans="1:5">
      <c r="A65" s="414" t="s">
        <v>447</v>
      </c>
      <c r="B65" s="33" t="s">
        <v>437</v>
      </c>
      <c r="C65" s="414">
        <f>ROUNDUP(((spent_storage/storage_basins)/spent_basin_op_depth)^0.5,0)</f>
        <v>11</v>
      </c>
      <c r="D65" s="414" t="s">
        <v>2219</v>
      </c>
      <c r="E65" s="7" t="s">
        <v>1724</v>
      </c>
    </row>
    <row r="66" spans="1:5">
      <c r="A66" s="414" t="s">
        <v>448</v>
      </c>
      <c r="B66" s="33" t="s">
        <v>438</v>
      </c>
      <c r="C66" s="414">
        <f>spent_basin_width</f>
        <v>11</v>
      </c>
      <c r="D66" s="414" t="s">
        <v>2219</v>
      </c>
      <c r="E66" s="7" t="s">
        <v>1724</v>
      </c>
    </row>
    <row r="67" spans="1:5">
      <c r="A67" s="414" t="s">
        <v>1723</v>
      </c>
      <c r="B67" s="33" t="s">
        <v>439</v>
      </c>
      <c r="C67" s="414">
        <f>spent_basin_op_depth+storage_freeboard</f>
        <v>9</v>
      </c>
      <c r="D67" s="414" t="s">
        <v>2219</v>
      </c>
      <c r="E67" s="7" t="s">
        <v>1724</v>
      </c>
    </row>
    <row r="68" spans="1:5">
      <c r="A68" s="414" t="s">
        <v>449</v>
      </c>
      <c r="B68" s="33" t="s">
        <v>440</v>
      </c>
      <c r="C68" s="578">
        <f>ROUND(spent_basin_width*spent_basin_length*spent_basin_depth*7.48,0)</f>
        <v>8146</v>
      </c>
      <c r="D68" s="414" t="s">
        <v>2843</v>
      </c>
      <c r="E68" s="7" t="s">
        <v>1724</v>
      </c>
    </row>
    <row r="69" spans="1:5">
      <c r="A69" s="414" t="s">
        <v>2061</v>
      </c>
      <c r="B69" s="33" t="s">
        <v>441</v>
      </c>
      <c r="C69" s="414">
        <f>ROUNDUP(((2*spent_basin_depth*spent_basin_length+2*spent_basin_depth*spent_basin_width+spent_basin_width*spent_basin_length)*1.2*conc_thick*storage_basins)/27,0)</f>
        <v>23</v>
      </c>
      <c r="D69" s="414" t="s">
        <v>1725</v>
      </c>
      <c r="E69" s="7" t="s">
        <v>1724</v>
      </c>
    </row>
    <row r="70" spans="1:5">
      <c r="B70" s="33" t="s">
        <v>442</v>
      </c>
      <c r="C70" s="414">
        <f>ROUNDUP(((spent_basin_width+overexcavate)*(spent_basin_length+overexcavate)*(spent_basin_depth+overexcavate)+0.5*(3*(spent_basin_depth+overexcavate)*(spent_basin_width+overexcavate)*(spent_basin_depth+overexcavate)))*storage_basins/27,0)</f>
        <v>250</v>
      </c>
      <c r="D70" s="414" t="s">
        <v>1725</v>
      </c>
      <c r="E70" s="7" t="s">
        <v>1724</v>
      </c>
    </row>
    <row r="71" spans="1:5">
      <c r="A71" s="414" t="s">
        <v>2062</v>
      </c>
      <c r="B71" s="33" t="s">
        <v>443</v>
      </c>
      <c r="C71" s="414">
        <f>ROUNDUP(spent_excavation_vol-(spent_basin_width*spent_basin_length*spent_basin_depth*storage_basins)/27,0)</f>
        <v>210</v>
      </c>
      <c r="D71" s="414" t="s">
        <v>1725</v>
      </c>
      <c r="E71" s="7" t="s">
        <v>1724</v>
      </c>
    </row>
    <row r="72" spans="1:5">
      <c r="A72" s="414" t="s">
        <v>1705</v>
      </c>
      <c r="B72" s="33" t="s">
        <v>444</v>
      </c>
      <c r="C72" s="414">
        <f>(spent_basin_width*2+spent_basin_length*2)*storage_basins*2</f>
        <v>88</v>
      </c>
      <c r="D72" s="414" t="s">
        <v>2526</v>
      </c>
      <c r="E72" s="7" t="s">
        <v>1724</v>
      </c>
    </row>
    <row r="73" spans="1:5">
      <c r="A73" s="414" t="s">
        <v>450</v>
      </c>
      <c r="B73" s="33" t="s">
        <v>445</v>
      </c>
      <c r="C73" s="414">
        <f>ROUNDUP(spent_storage*7.48/max_back_tank_size,0)</f>
        <v>1</v>
      </c>
      <c r="D73" s="414" t="s">
        <v>2222</v>
      </c>
      <c r="E73" s="7" t="s">
        <v>1726</v>
      </c>
    </row>
    <row r="74" spans="1:5">
      <c r="A74" s="414" t="s">
        <v>451</v>
      </c>
      <c r="B74" s="33" t="s">
        <v>446</v>
      </c>
      <c r="C74" s="578">
        <f>spent_storage*7.48/spent_tanks</f>
        <v>5000.6112567956325</v>
      </c>
      <c r="D74" s="414" t="s">
        <v>2843</v>
      </c>
      <c r="E74" s="7" t="s">
        <v>1726</v>
      </c>
    </row>
    <row r="76" spans="1:5">
      <c r="A76" s="414" t="s">
        <v>2021</v>
      </c>
      <c r="B76" s="33" t="s">
        <v>2704</v>
      </c>
      <c r="C76" s="414">
        <f>ROUNDUP((regen_storage/storage_basins)^(1/3)*storage_ratio,0)</f>
        <v>6</v>
      </c>
      <c r="D76" s="414" t="s">
        <v>2219</v>
      </c>
      <c r="E76" s="7" t="s">
        <v>1724</v>
      </c>
    </row>
    <row r="77" spans="1:5">
      <c r="A77" s="414" t="s">
        <v>453</v>
      </c>
      <c r="B77" s="33" t="s">
        <v>2022</v>
      </c>
      <c r="C77" s="414">
        <f>ROUNDUP(((regen_storage/storage_basins)/regen_basin_op_depth)^0.5,0)</f>
        <v>11</v>
      </c>
      <c r="D77" s="414" t="s">
        <v>2219</v>
      </c>
      <c r="E77" s="7" t="s">
        <v>1724</v>
      </c>
    </row>
    <row r="78" spans="1:5">
      <c r="A78" s="414" t="s">
        <v>2017</v>
      </c>
      <c r="B78" s="33" t="s">
        <v>2023</v>
      </c>
      <c r="C78" s="414">
        <f>regen_basin_width</f>
        <v>11</v>
      </c>
      <c r="D78" s="414" t="s">
        <v>2219</v>
      </c>
      <c r="E78" s="7" t="s">
        <v>1724</v>
      </c>
    </row>
    <row r="79" spans="1:5">
      <c r="A79" s="414" t="s">
        <v>1723</v>
      </c>
      <c r="B79" s="33" t="s">
        <v>2024</v>
      </c>
      <c r="C79" s="414">
        <f>regen_basin_op_depth+storage_freeboard</f>
        <v>9</v>
      </c>
      <c r="D79" s="414" t="s">
        <v>2219</v>
      </c>
      <c r="E79" s="7" t="s">
        <v>1724</v>
      </c>
    </row>
    <row r="80" spans="1:5">
      <c r="A80" s="414" t="s">
        <v>2018</v>
      </c>
      <c r="B80" s="33" t="s">
        <v>2025</v>
      </c>
      <c r="C80" s="578">
        <f>ROUND(regen_basin_width*regen_basin_length*regen_basin_depth*7.48,0)</f>
        <v>8146</v>
      </c>
      <c r="D80" s="414" t="s">
        <v>2843</v>
      </c>
      <c r="E80" s="7" t="s">
        <v>1724</v>
      </c>
    </row>
    <row r="81" spans="1:5">
      <c r="A81" s="414" t="s">
        <v>2061</v>
      </c>
      <c r="B81" s="33" t="s">
        <v>2026</v>
      </c>
      <c r="C81" s="414">
        <f>ROUNDUP(((2*regen_basin_depth*regen_basin_length+2*regen_basin_depth*regen_basin_width+regen_basin_width*regen_basin_length)*1.2*conc_thick*storage_basins)/27,0)</f>
        <v>23</v>
      </c>
      <c r="D81" s="414" t="s">
        <v>1725</v>
      </c>
      <c r="E81" s="7" t="s">
        <v>1724</v>
      </c>
    </row>
    <row r="82" spans="1:5">
      <c r="B82" s="33" t="s">
        <v>2027</v>
      </c>
      <c r="C82" s="414">
        <f>ROUNDUP(((regen_basin_width+overexcavate)*(regen_basin_length+overexcavate)*(regen_basin_depth+overexcavate)+0.5*(3*(regen_basin_depth+overexcavate)*(regen_basin_width+overexcavate)*(regen_basin_depth+overexcavate)))*storage_basins/27,0)</f>
        <v>250</v>
      </c>
      <c r="D82" s="414" t="s">
        <v>1725</v>
      </c>
      <c r="E82" s="7" t="s">
        <v>1724</v>
      </c>
    </row>
    <row r="83" spans="1:5">
      <c r="A83" s="414" t="s">
        <v>2062</v>
      </c>
      <c r="B83" s="33" t="s">
        <v>2700</v>
      </c>
      <c r="C83" s="414">
        <f>ROUNDUP(regen_excavation_vol-(regen_basin_width*regen_basin_length*regen_basin_depth*storage_basins)/27,0)</f>
        <v>210</v>
      </c>
      <c r="D83" s="414" t="s">
        <v>1725</v>
      </c>
      <c r="E83" s="7" t="s">
        <v>1724</v>
      </c>
    </row>
    <row r="84" spans="1:5">
      <c r="A84" s="414" t="s">
        <v>1705</v>
      </c>
      <c r="B84" s="33" t="s">
        <v>2701</v>
      </c>
      <c r="C84" s="414">
        <f>(regen_basin_width*2+regen_basin_length*2)*storage_basins*2</f>
        <v>88</v>
      </c>
      <c r="D84" s="414" t="s">
        <v>2526</v>
      </c>
      <c r="E84" s="7" t="s">
        <v>1724</v>
      </c>
    </row>
    <row r="85" spans="1:5">
      <c r="A85" s="414" t="s">
        <v>2019</v>
      </c>
      <c r="B85" s="33" t="s">
        <v>2702</v>
      </c>
      <c r="C85" s="414">
        <f>ROUNDUP(regen_storage*7.48/max_back_tank_size,0)</f>
        <v>1</v>
      </c>
      <c r="D85" s="414" t="s">
        <v>2222</v>
      </c>
      <c r="E85" s="7" t="s">
        <v>1726</v>
      </c>
    </row>
    <row r="86" spans="1:5">
      <c r="A86" s="414" t="s">
        <v>2020</v>
      </c>
      <c r="B86" s="33" t="s">
        <v>2703</v>
      </c>
      <c r="C86" s="578">
        <f>regen_storage*7.48/regen_tanks</f>
        <v>5000.6112567956325</v>
      </c>
      <c r="D86" s="414" t="s">
        <v>2843</v>
      </c>
      <c r="E86" s="7" t="s">
        <v>1726</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E84"/>
  <sheetViews>
    <sheetView zoomScaleNormal="100" workbookViewId="0">
      <pane ySplit="3" topLeftCell="A46" activePane="bottomLeft" state="frozen"/>
      <selection pane="bottomLeft" activeCell="C75" sqref="C75"/>
    </sheetView>
  </sheetViews>
  <sheetFormatPr baseColWidth="10" defaultColWidth="9.1640625" defaultRowHeight="13"/>
  <cols>
    <col min="1" max="1" width="47" style="414" customWidth="1"/>
    <col min="2" max="2" width="23.5" style="3" customWidth="1"/>
    <col min="3" max="3" width="11.33203125" style="414" bestFit="1" customWidth="1"/>
    <col min="4" max="4" width="9.1640625" style="414" customWidth="1"/>
    <col min="5" max="16384" width="9.1640625" style="414"/>
  </cols>
  <sheetData>
    <row r="1" spans="1:5">
      <c r="A1" s="1" t="s">
        <v>3254</v>
      </c>
    </row>
    <row r="3" spans="1:5">
      <c r="A3" s="168" t="s">
        <v>3250</v>
      </c>
      <c r="B3" s="168" t="s">
        <v>1369</v>
      </c>
      <c r="C3" s="169" t="s">
        <v>1370</v>
      </c>
      <c r="D3" s="168" t="s">
        <v>1371</v>
      </c>
      <c r="E3" s="168" t="s">
        <v>1372</v>
      </c>
    </row>
    <row r="4" spans="1:5">
      <c r="A4" s="2" t="s">
        <v>3253</v>
      </c>
    </row>
    <row r="5" spans="1:5">
      <c r="A5" s="414" t="s">
        <v>1352</v>
      </c>
      <c r="B5" s="3" t="s">
        <v>775</v>
      </c>
      <c r="C5" s="116">
        <f>IF(transfer_method_I="slurry pumps",1,IF(transfer_method_I="eductors",2,3))</f>
        <v>3</v>
      </c>
      <c r="D5" s="414" t="s">
        <v>353</v>
      </c>
    </row>
    <row r="6" spans="1:5">
      <c r="C6" s="116"/>
    </row>
    <row r="7" spans="1:5">
      <c r="A7" s="414" t="s">
        <v>1684</v>
      </c>
      <c r="B7" s="3" t="s">
        <v>1822</v>
      </c>
      <c r="C7" s="577">
        <f>IF(lines_pump_I="",IF(AND(ss_cat2=1,design_type=1),0,MIN(MAX(average_flow_rate+bp_flow_rate*average_flow_rate/design_flow_rate,(design_flow_rate+bp_flow_rate)/2)*(1+pump_safety_factor),max_pump_size)),IF(lines_pump_I=0,0,(design_flow_rate+bp_flow_rate)*(1+pump_safety_factor)/lines_pump_I))</f>
        <v>1868.0555555555554</v>
      </c>
      <c r="D7" s="414" t="s">
        <v>1762</v>
      </c>
      <c r="E7" s="7" t="s">
        <v>529</v>
      </c>
    </row>
    <row r="8" spans="1:5">
      <c r="A8" s="414" t="s">
        <v>23</v>
      </c>
      <c r="B8" s="3" t="s">
        <v>24</v>
      </c>
      <c r="C8" s="517">
        <f>VLOOKUP(10^6,pump_cost_cl,1)-1</f>
        <v>10000</v>
      </c>
      <c r="D8" s="414" t="s">
        <v>1762</v>
      </c>
      <c r="E8" s="7" t="s">
        <v>2131</v>
      </c>
    </row>
    <row r="9" spans="1:5">
      <c r="A9" s="414" t="s">
        <v>1820</v>
      </c>
      <c r="B9" s="3" t="s">
        <v>1821</v>
      </c>
      <c r="C9" s="520">
        <f>IF(pump_rating=0,0,ROUNDUP((design_flow_rate+bp_flow_rate)*(1+pump_safety_factor)/pump_rating,0))</f>
        <v>1</v>
      </c>
      <c r="D9" s="414" t="s">
        <v>2222</v>
      </c>
      <c r="E9" s="7" t="s">
        <v>535</v>
      </c>
    </row>
    <row r="10" spans="1:5">
      <c r="A10" s="414" t="s">
        <v>1823</v>
      </c>
      <c r="B10" s="3" t="s">
        <v>1824</v>
      </c>
      <c r="C10" s="520">
        <f>IF(booster_pumps=0,0,booster_pumps+NRD_pumps)</f>
        <v>1</v>
      </c>
      <c r="D10" s="414" t="s">
        <v>2222</v>
      </c>
      <c r="E10" s="7" t="s">
        <v>534</v>
      </c>
    </row>
    <row r="11" spans="1:5">
      <c r="C11" s="520"/>
      <c r="E11" s="7"/>
    </row>
    <row r="12" spans="1:5">
      <c r="A12" s="414" t="s">
        <v>2610</v>
      </c>
      <c r="B12" s="3" t="s">
        <v>2614</v>
      </c>
      <c r="C12" s="577">
        <f>water_flush*(1+pump_safety_factor)</f>
        <v>1177.5</v>
      </c>
      <c r="D12" s="414" t="s">
        <v>1762</v>
      </c>
      <c r="E12" s="7" t="s">
        <v>529</v>
      </c>
    </row>
    <row r="13" spans="1:5">
      <c r="A13" s="414" t="s">
        <v>2688</v>
      </c>
      <c r="B13" s="3" t="s">
        <v>2690</v>
      </c>
      <c r="C13" s="414">
        <f>IF(no_backwash=1,0,ROUNDUP(back_pump_flow_total/max_pump_size,0)+NRD_back_pumps)</f>
        <v>2</v>
      </c>
      <c r="D13" s="414" t="s">
        <v>2689</v>
      </c>
      <c r="E13" s="7" t="s">
        <v>2613</v>
      </c>
    </row>
    <row r="14" spans="1:5">
      <c r="A14" s="414" t="s">
        <v>1683</v>
      </c>
      <c r="B14" s="3" t="s">
        <v>1685</v>
      </c>
      <c r="C14" s="577">
        <f>IF(no_backwash=1,0,back_pump_flow_total/(backwash_pumps-NRD_back_pumps))</f>
        <v>1177.5</v>
      </c>
      <c r="D14" s="414" t="s">
        <v>1762</v>
      </c>
    </row>
    <row r="15" spans="1:5">
      <c r="C15" s="577"/>
    </row>
    <row r="16" spans="1:5">
      <c r="A16" s="520" t="s">
        <v>1737</v>
      </c>
      <c r="B16" s="33" t="s">
        <v>1074</v>
      </c>
      <c r="C16" s="577">
        <f>GAC_each/transfer_time</f>
        <v>3769.9111843077517</v>
      </c>
      <c r="D16" s="520" t="s">
        <v>1075</v>
      </c>
      <c r="E16" s="7"/>
    </row>
    <row r="17" spans="1:5">
      <c r="A17" s="414" t="s">
        <v>54</v>
      </c>
      <c r="B17" s="3" t="s">
        <v>55</v>
      </c>
      <c r="C17" s="517">
        <f>VLOOKUP(10^6,eductor_size_table_cl,1)*GAC_density/7.48*60</f>
        <v>12874.331550802139</v>
      </c>
      <c r="D17" s="414" t="s">
        <v>1075</v>
      </c>
      <c r="E17" s="7" t="s">
        <v>56</v>
      </c>
    </row>
    <row r="18" spans="1:5">
      <c r="A18" s="414" t="s">
        <v>2622</v>
      </c>
      <c r="B18" s="3" t="s">
        <v>2615</v>
      </c>
      <c r="C18" s="605">
        <f>IF(transfer_method=2,ROUNDUP(transfer_rate/max_eductor_size,0)+NRD_eductors,0)</f>
        <v>0</v>
      </c>
      <c r="D18" s="414" t="s">
        <v>2222</v>
      </c>
    </row>
    <row r="19" spans="1:5">
      <c r="A19" s="414" t="s">
        <v>1076</v>
      </c>
      <c r="B19" s="3" t="s">
        <v>1077</v>
      </c>
      <c r="C19" s="606" t="str">
        <f>IF(transfer_method=2,VLOOKUP(transfer_rate/(eductors-NRD_eductors),eductor_size_table,2),"NA")</f>
        <v>NA</v>
      </c>
      <c r="D19" s="414" t="s">
        <v>531</v>
      </c>
      <c r="E19" s="7"/>
    </row>
    <row r="20" spans="1:5">
      <c r="C20" s="577"/>
      <c r="E20" s="7"/>
    </row>
    <row r="21" spans="1:5">
      <c r="A21" s="2" t="s">
        <v>1682</v>
      </c>
      <c r="C21" s="520"/>
    </row>
    <row r="22" spans="1:5">
      <c r="A22" s="414" t="s">
        <v>3761</v>
      </c>
      <c r="B22" s="3" t="s">
        <v>2258</v>
      </c>
      <c r="C22" s="577">
        <f>in_out_pipe_mult*facil_length</f>
        <v>140</v>
      </c>
      <c r="D22" s="414" t="s">
        <v>1580</v>
      </c>
    </row>
    <row r="23" spans="1:5">
      <c r="A23" s="414" t="s">
        <v>3759</v>
      </c>
      <c r="B23" s="3" t="s">
        <v>530</v>
      </c>
      <c r="C23" s="577">
        <f>design_flow_rate</f>
        <v>1494.4444444444443</v>
      </c>
      <c r="D23" s="414" t="s">
        <v>1762</v>
      </c>
    </row>
    <row r="24" spans="1:5">
      <c r="A24" s="414" t="s">
        <v>3760</v>
      </c>
      <c r="B24" s="3" t="s">
        <v>2259</v>
      </c>
      <c r="C24" s="520">
        <f>VLOOKUP(in_out_pipe_flow,pipe_size_table_cl,2)</f>
        <v>10</v>
      </c>
      <c r="D24" s="414" t="s">
        <v>531</v>
      </c>
    </row>
    <row r="25" spans="1:5">
      <c r="A25" s="414" t="s">
        <v>2691</v>
      </c>
      <c r="B25" s="3" t="s">
        <v>1577</v>
      </c>
      <c r="C25" s="577">
        <f>proc_pipe_mult*facil_length</f>
        <v>140</v>
      </c>
      <c r="D25" s="414" t="s">
        <v>1580</v>
      </c>
    </row>
    <row r="26" spans="1:5">
      <c r="A26" s="414" t="s">
        <v>533</v>
      </c>
      <c r="B26" s="3" t="s">
        <v>1670</v>
      </c>
      <c r="C26" s="577">
        <f>IF(design_type=1,flow_per_vessel,design_flow_rate/op_num_basins)</f>
        <v>751.97161756325295</v>
      </c>
      <c r="D26" s="414" t="s">
        <v>1762</v>
      </c>
    </row>
    <row r="27" spans="1:5">
      <c r="A27" s="414" t="s">
        <v>1671</v>
      </c>
      <c r="B27" s="3" t="s">
        <v>1672</v>
      </c>
      <c r="C27" s="520">
        <f>VLOOKUP(proc_pipe_flow,pipe_size_table_cl,2)</f>
        <v>8</v>
      </c>
      <c r="D27" s="414" t="s">
        <v>531</v>
      </c>
    </row>
    <row r="28" spans="1:5">
      <c r="A28" s="414" t="s">
        <v>1578</v>
      </c>
      <c r="B28" s="3" t="s">
        <v>1579</v>
      </c>
      <c r="C28" s="520">
        <f>back_pipe_mult*facil_length</f>
        <v>175</v>
      </c>
      <c r="D28" s="414" t="s">
        <v>1580</v>
      </c>
    </row>
    <row r="29" spans="1:5">
      <c r="A29" s="414" t="s">
        <v>1686</v>
      </c>
      <c r="B29" s="3" t="s">
        <v>1687</v>
      </c>
      <c r="C29" s="577">
        <f>water_flush</f>
        <v>942</v>
      </c>
      <c r="D29" s="414" t="s">
        <v>1762</v>
      </c>
    </row>
    <row r="30" spans="1:5">
      <c r="A30" s="414" t="s">
        <v>1688</v>
      </c>
      <c r="B30" s="3" t="s">
        <v>1689</v>
      </c>
      <c r="C30" s="520">
        <f>VLOOKUP(back_pipe_flow,pipe_size_table_cl,2)</f>
        <v>8</v>
      </c>
      <c r="D30" s="414" t="s">
        <v>531</v>
      </c>
    </row>
    <row r="31" spans="1:5">
      <c r="A31" s="414" t="s">
        <v>2214</v>
      </c>
      <c r="B31" s="3" t="s">
        <v>2215</v>
      </c>
      <c r="C31" s="520">
        <f>IF(bp_pct&gt;0,bp_pipe_mult*facil_length,0)</f>
        <v>0</v>
      </c>
      <c r="D31" s="414" t="s">
        <v>1580</v>
      </c>
    </row>
    <row r="32" spans="1:5">
      <c r="A32" s="414" t="s">
        <v>205</v>
      </c>
      <c r="B32" s="3" t="s">
        <v>206</v>
      </c>
      <c r="C32" s="520">
        <f>IF(bp_pct&gt;0,VLOOKUP(bp_flow_rate,pipe_size_table_cl,2),0)</f>
        <v>0</v>
      </c>
      <c r="D32" s="414" t="s">
        <v>531</v>
      </c>
    </row>
    <row r="33" spans="1:4">
      <c r="A33" s="520" t="s">
        <v>3631</v>
      </c>
      <c r="B33" s="33" t="s">
        <v>3628</v>
      </c>
      <c r="C33" s="520">
        <f>IF(coag_day_gal=0,0,chem_pipe_mult*facil_length)</f>
        <v>0</v>
      </c>
      <c r="D33" s="414" t="s">
        <v>1580</v>
      </c>
    </row>
    <row r="34" spans="1:4">
      <c r="A34" s="414" t="s">
        <v>3632</v>
      </c>
      <c r="B34" s="33" t="s">
        <v>3629</v>
      </c>
      <c r="C34" s="607">
        <f>coag_rate/60</f>
        <v>0</v>
      </c>
      <c r="D34" s="414" t="s">
        <v>1762</v>
      </c>
    </row>
    <row r="35" spans="1:4">
      <c r="A35" s="414" t="s">
        <v>3633</v>
      </c>
      <c r="B35" s="3" t="s">
        <v>3630</v>
      </c>
      <c r="C35">
        <f>IF(coag_day_gal=0,0,VLOOKUP(coag_pipe_flow,pipe_size_table_cl,2))</f>
        <v>0</v>
      </c>
      <c r="D35" s="414" t="s">
        <v>531</v>
      </c>
    </row>
    <row r="36" spans="1:4">
      <c r="A36" s="520" t="s">
        <v>2286</v>
      </c>
      <c r="B36" s="33" t="s">
        <v>2287</v>
      </c>
      <c r="C36" s="520">
        <f>IF(polymer_day=0,0,chem_pipe_mult*facil_length)</f>
        <v>0</v>
      </c>
      <c r="D36" s="414" t="s">
        <v>1580</v>
      </c>
    </row>
    <row r="37" spans="1:4">
      <c r="A37" s="414" t="s">
        <v>2282</v>
      </c>
      <c r="B37" s="33" t="s">
        <v>2283</v>
      </c>
      <c r="C37" s="607">
        <f>polymer_rate/60</f>
        <v>0</v>
      </c>
      <c r="D37" s="414" t="s">
        <v>1762</v>
      </c>
    </row>
    <row r="38" spans="1:4">
      <c r="A38" s="414" t="s">
        <v>2284</v>
      </c>
      <c r="B38" s="3" t="s">
        <v>2285</v>
      </c>
      <c r="C38" s="520">
        <f>IF(polymer_day=0,0,VLOOKUP(polymer_pipe_flow,pipe_size_table_cl,2))</f>
        <v>0</v>
      </c>
      <c r="D38" s="414" t="s">
        <v>531</v>
      </c>
    </row>
    <row r="39" spans="1:4">
      <c r="C39" s="520"/>
    </row>
    <row r="40" spans="1:4">
      <c r="A40" s="2" t="s">
        <v>1842</v>
      </c>
      <c r="C40" s="520"/>
    </row>
    <row r="41" spans="1:4">
      <c r="A41" s="414" t="s">
        <v>2899</v>
      </c>
      <c r="B41" s="33" t="s">
        <v>2900</v>
      </c>
      <c r="C41" s="520" cm="1">
        <f t="array" ref="C41">ROUNDUP(2*(MAX((2*back_tank_vol/7.48/PI())^(1/3),(4*back_tank_vol/7.48/PI()/(Building_height-ceiling_clearance))^(1/2))),0)/2</f>
        <v>11</v>
      </c>
      <c r="D41" s="414" t="s">
        <v>2219</v>
      </c>
    </row>
    <row r="42" spans="1:4">
      <c r="A42" s="414" t="s">
        <v>2904</v>
      </c>
      <c r="B42" s="33" t="s">
        <v>2905</v>
      </c>
      <c r="C42" s="520">
        <f>ROUNDUP(2*(MAX((2*virgin_tank_vol/7.48/PI())^(1/3),(4*virgin_tank_vol/7.48/PI()/(Building_height-ceiling_clearance))^(1/2))),0)/2</f>
        <v>8</v>
      </c>
      <c r="D42" s="414" t="s">
        <v>2219</v>
      </c>
    </row>
    <row r="43" spans="1:4">
      <c r="A43" s="414" t="s">
        <v>2906</v>
      </c>
      <c r="B43" s="33" t="s">
        <v>2901</v>
      </c>
      <c r="C43" s="520">
        <f>ROUNDUP(2*(MAX((2*spent_tank_vol/7.48/PI())^(1/3),(4*spent_tank_vol/7.48/PI()/(Building_height-ceiling_clearance))^(1/2))),0)/2</f>
        <v>8</v>
      </c>
      <c r="D43" s="414" t="s">
        <v>2219</v>
      </c>
    </row>
    <row r="44" spans="1:4">
      <c r="A44" s="414" t="s">
        <v>2907</v>
      </c>
      <c r="B44" s="33" t="s">
        <v>2908</v>
      </c>
      <c r="C44" s="520">
        <f>ROUNDUP(2*(MAX((2*regen_tank_vol/7.48/PI())^(1/3),(4*regen_tank_vol/7.48/PI()/(Building_height-ceiling_clearance))^(1/2))),0)/2</f>
        <v>8</v>
      </c>
      <c r="D44" s="414" t="s">
        <v>2219</v>
      </c>
    </row>
    <row r="45" spans="1:4">
      <c r="A45" s="414" t="s">
        <v>2902</v>
      </c>
      <c r="B45" s="33" t="s">
        <v>2903</v>
      </c>
      <c r="C45" s="520">
        <f>ROUNDUP(2*(MAX((2*htank_vol/7.48/PI())^(1/3),(4*htank_vol/7.48/PI()/(Building_height-ceiling_clearance))^(1/2))),0)/2</f>
        <v>15.5</v>
      </c>
      <c r="D45" s="414" t="s">
        <v>2219</v>
      </c>
    </row>
    <row r="46" spans="1:4">
      <c r="A46" s="520" t="s">
        <v>3634</v>
      </c>
      <c r="B46" s="33" t="s">
        <v>3635</v>
      </c>
      <c r="C46" s="520">
        <f>ROUNDUP(2*(MAX((2*coag_tank_vol/7.48/PI())^(1/3),(4*coag_tank_vol/7.48/PI()/(Building_height-ceiling_clearance))^(1/2))),0)/2</f>
        <v>0</v>
      </c>
      <c r="D46" s="414" t="s">
        <v>2219</v>
      </c>
    </row>
    <row r="47" spans="1:4">
      <c r="A47" s="520" t="s">
        <v>2289</v>
      </c>
      <c r="B47" s="33" t="s">
        <v>2290</v>
      </c>
      <c r="C47" s="520">
        <f>ROUNDUP(2*(MAX((2*polymer_tank_vol/7.48/PI())^(1/3),(4*polymer_tank_vol/7.48/PI()/(Building_height-ceiling_clearance))^(1/2))),0)/2</f>
        <v>0</v>
      </c>
      <c r="D47" s="414" t="s">
        <v>2219</v>
      </c>
    </row>
    <row r="48" spans="1:4">
      <c r="A48" s="414" t="s">
        <v>2972</v>
      </c>
      <c r="B48" s="3" t="s">
        <v>2973</v>
      </c>
      <c r="C48" s="414">
        <f>IF(AND(design_type=1,ss_cat2=1),max_space_vessels_pre,max_space_vessels_cust)</f>
        <v>6</v>
      </c>
      <c r="D48" s="414" t="s">
        <v>2219</v>
      </c>
    </row>
    <row r="49" spans="1:5">
      <c r="A49" s="414" t="s">
        <v>2128</v>
      </c>
      <c r="B49" s="3" t="s">
        <v>244</v>
      </c>
      <c r="C49" s="414">
        <f>IF(tank_geom=2,max_space_vessels,IF(comm_diam&gt;max_space_vessels,max_space_vessels,comm_diam))</f>
        <v>6</v>
      </c>
      <c r="D49" s="414" t="s">
        <v>2219</v>
      </c>
    </row>
    <row r="50" spans="1:5">
      <c r="A50" s="414" t="s">
        <v>2971</v>
      </c>
      <c r="B50" s="3" t="s">
        <v>1427</v>
      </c>
      <c r="C50" s="520">
        <f>IF(bt_diam&gt;max_space_vessels,max_space_vessels,bt_diam)</f>
        <v>6</v>
      </c>
      <c r="D50" s="414" t="s">
        <v>2219</v>
      </c>
    </row>
    <row r="51" spans="1:5">
      <c r="A51" s="414" t="s">
        <v>952</v>
      </c>
      <c r="B51" s="3" t="s">
        <v>953</v>
      </c>
      <c r="C51" s="520">
        <f>IF(vt_diam&gt;max_space_vessels,max_space_vessels,vt_diam)</f>
        <v>6</v>
      </c>
      <c r="D51" s="414" t="s">
        <v>2219</v>
      </c>
    </row>
    <row r="52" spans="1:5">
      <c r="A52" s="414" t="s">
        <v>954</v>
      </c>
      <c r="B52" s="3" t="s">
        <v>956</v>
      </c>
      <c r="C52" s="520">
        <f>IF(st_diam&gt;max_space_vessels,max_space_vessels,st_diam)</f>
        <v>6</v>
      </c>
      <c r="D52" s="414" t="s">
        <v>2219</v>
      </c>
    </row>
    <row r="53" spans="1:5">
      <c r="A53" s="414" t="s">
        <v>955</v>
      </c>
      <c r="B53" s="3" t="s">
        <v>957</v>
      </c>
      <c r="C53" s="520">
        <f>IF(rt_diam&gt;max_space_vessels,max_space_vessels,rt_diam)</f>
        <v>6</v>
      </c>
      <c r="D53" s="414" t="s">
        <v>2219</v>
      </c>
    </row>
    <row r="54" spans="1:5">
      <c r="A54" s="414" t="s">
        <v>367</v>
      </c>
      <c r="B54" s="3" t="s">
        <v>368</v>
      </c>
      <c r="C54" s="520">
        <f>IF(ht_diam&gt;max_space_vessels,max_space_vessels,ht_diam)</f>
        <v>6</v>
      </c>
      <c r="D54" s="414" t="s">
        <v>2219</v>
      </c>
    </row>
    <row r="55" spans="1:5">
      <c r="A55" s="414" t="s">
        <v>3731</v>
      </c>
      <c r="B55" s="3" t="s">
        <v>3636</v>
      </c>
      <c r="C55" s="520">
        <f>IF(coag_st_diam&gt;max_space_vessels,max_space_vessels,coag_st_diam)</f>
        <v>0</v>
      </c>
      <c r="D55" s="414" t="s">
        <v>2219</v>
      </c>
    </row>
    <row r="56" spans="1:5">
      <c r="A56" s="414" t="s">
        <v>3732</v>
      </c>
      <c r="B56" s="3" t="s">
        <v>2291</v>
      </c>
      <c r="C56" s="520">
        <f>IF(polymer_st_diam&gt;max_space_vessels,max_space_vessels,polymer_st_diam)</f>
        <v>0</v>
      </c>
      <c r="D56" s="414" t="s">
        <v>2219</v>
      </c>
    </row>
    <row r="57" spans="1:5">
      <c r="A57" s="414" t="s">
        <v>2825</v>
      </c>
      <c r="B57" s="3" t="s">
        <v>2969</v>
      </c>
      <c r="C57" s="414">
        <f>IF(AND(design_type=1,ss_cat2=1),space_pumps_pre,space_pumps_cust)</f>
        <v>4</v>
      </c>
      <c r="D57" s="414" t="s">
        <v>2219</v>
      </c>
    </row>
    <row r="58" spans="1:5">
      <c r="A58" s="414" t="s">
        <v>2067</v>
      </c>
      <c r="C58" s="577">
        <f>IF(design_type=2,0,IF(tank_geom=1,ROUNDUP(((comm_diam+2*space_vessels)^2+(final_num_tanks-1)*(comm_diam+2*space_vessels)*(comm_diam+space_vessels)),0),IF(tank_geom=2,ROUNDUP((comm_diam+2*space_vessels)*(comm_height_length+2*space_vessels)+(final_num_tanks-1)*(comm_height_length+2*space_vessels)*(comm_diam+space_vessels),0))))</f>
        <v>1892</v>
      </c>
      <c r="D58" s="414" t="s">
        <v>3114</v>
      </c>
    </row>
    <row r="59" spans="1:5">
      <c r="A59" s="414" t="s">
        <v>2127</v>
      </c>
      <c r="C59" s="577">
        <f>IF(design_type=2,0,IF(tank_geom=1,ROUNDUP(((comm_diam+2*space_vessels)^2+(final_num_tanks-1)*(comm_diam+2*space_vessels)*(comm_diam+space_vessels/2)),0),IF(tank_geom=2,ROUNDUP((comm_diam+2*space_vessels)*(comm_height_length+2*space_vessels)+(final_num_tanks-1)*(comm_height_length+2*space_vessels)*(comm_diam+space_vessels/2),0))))</f>
        <v>1628</v>
      </c>
      <c r="D59" s="414" t="s">
        <v>3114</v>
      </c>
      <c r="E59" s="7" t="s">
        <v>934</v>
      </c>
    </row>
    <row r="60" spans="1:5">
      <c r="A60" s="414" t="s">
        <v>2129</v>
      </c>
      <c r="C60" s="577">
        <f>ROUNDUP(total_num_basins*basin_length*basin_width*2,0)</f>
        <v>0</v>
      </c>
      <c r="D60" s="414" t="s">
        <v>3114</v>
      </c>
      <c r="E60" s="7" t="s">
        <v>428</v>
      </c>
    </row>
    <row r="61" spans="1:5">
      <c r="A61" s="414" t="s">
        <v>427</v>
      </c>
      <c r="B61" s="3" t="s">
        <v>1843</v>
      </c>
      <c r="C61" s="577">
        <f>IF(ss_cat2=1,C59,C58)+C60+IF(transfer_method=1,ROUNDUP(IF(transfer_rate&lt;40000,99.152*transfer_rate^0.0434,0.8761*transfer_rate^0.49),0),0)</f>
        <v>1892</v>
      </c>
      <c r="D61" s="414" t="s">
        <v>3114</v>
      </c>
    </row>
    <row r="62" spans="1:5">
      <c r="A62" s="414" t="s">
        <v>1742</v>
      </c>
      <c r="B62" s="3" t="s">
        <v>2028</v>
      </c>
      <c r="C62" s="578">
        <f>IF(OUTPUT!L53=1,ROUNDUP(back_basins*back_basin_length*back_basin_width*2,0),IF(num_back_tanks=0,0,ROUNDUP((bt_diam+2*space_bt)^2+(num_back_tanks-1)*(bt_diam+2*space_bt)*(bt_diam+space_bt),0)))</f>
        <v>529</v>
      </c>
      <c r="D62" s="414" t="s">
        <v>3114</v>
      </c>
    </row>
    <row r="63" spans="1:5">
      <c r="A63" s="414" t="s">
        <v>1598</v>
      </c>
      <c r="C63" s="578">
        <f>IF(total_booster_pumps=0,0,ROUNDUP((VLOOKUP(pump_rating,pump_dim_table_cl,3)+space_pumps)*(VLOOKUP(pump_rating,pump_dim_table_cl,4)+2*space_pumps)+(total_booster_pumps-1)*(VLOOKUP(pump_rating,pump_dim_table_cl,3)+space_pumps)*(VLOOKUP(pump_rating,pump_dim_table_cl,4)+space_pumps),0))</f>
        <v>117</v>
      </c>
      <c r="D63" s="414" t="s">
        <v>3114</v>
      </c>
    </row>
    <row r="64" spans="1:5">
      <c r="A64" s="414" t="s">
        <v>1226</v>
      </c>
      <c r="C64" s="578">
        <f>IF(backwash_pumps=0,0,ROUNDUP((VLOOKUP(back_pump_rating,pump_dim_table_cl,3)+space_pumps)*(VLOOKUP(back_pump_rating,pump_dim_table_cl,4)+2*space_pumps)+(backwash_pumps-1)*(VLOOKUP(back_pump_rating,pump_dim_table_cl,3)+2*space_pumps)*(VLOOKUP(back_pump_rating,pump_dim_table_cl,4)+space_pumps),0))</f>
        <v>183</v>
      </c>
      <c r="D64" s="414" t="s">
        <v>3114</v>
      </c>
    </row>
    <row r="65" spans="1:5">
      <c r="A65" s="414" t="s">
        <v>369</v>
      </c>
      <c r="C65" s="578">
        <f>IF(res_pumps=0,0,ROUNDUP((VLOOKUP(res_pump_rating,pump_dim_table_cl,3)+space_pumps)*(VLOOKUP(res_pump_rating,pump_dim_table_cl,4)+2*space_pumps)+(res_pumps-1)*(VLOOKUP(res_pump_rating,pump_dim_table_cl,3)+2*space_pumps)*(VLOOKUP(res_pump_rating,pump_dim_table_cl,4)+space_pumps),0))</f>
        <v>137</v>
      </c>
      <c r="D65" s="520" t="s">
        <v>3114</v>
      </c>
    </row>
    <row r="66" spans="1:5">
      <c r="A66" s="414" t="s">
        <v>1599</v>
      </c>
      <c r="B66" s="3" t="s">
        <v>2819</v>
      </c>
      <c r="C66" s="577">
        <f>C63+C64+C65</f>
        <v>437</v>
      </c>
      <c r="D66" s="414" t="s">
        <v>3114</v>
      </c>
      <c r="E66" s="577"/>
    </row>
    <row r="67" spans="1:5">
      <c r="A67" s="520" t="s">
        <v>1744</v>
      </c>
      <c r="B67" s="69" t="s">
        <v>290</v>
      </c>
      <c r="C67" s="577">
        <f>IF(regen_type=1,num_furnaces*(121.3*furnace_size^0.3656),0)</f>
        <v>0</v>
      </c>
      <c r="D67" s="414" t="s">
        <v>3114</v>
      </c>
      <c r="E67" s="7" t="s">
        <v>2516</v>
      </c>
    </row>
    <row r="68" spans="1:5">
      <c r="A68" s="520" t="s">
        <v>1785</v>
      </c>
      <c r="B68" s="69" t="s">
        <v>1782</v>
      </c>
      <c r="C68" s="578">
        <f>IF(regen_type=1,IF(OUTPUT!L254=1,ROUNDUP((vt_diam+2*space_vt)^2+(virgin_tanks-1)*(vt_diam+2*space_vt)*(vt_diam+space_vt),0),ROUNDUP(virgin_basin_length*virgin_basin_width*2,0)),0)</f>
        <v>0</v>
      </c>
      <c r="D68" s="414" t="s">
        <v>3114</v>
      </c>
      <c r="E68" s="7"/>
    </row>
    <row r="69" spans="1:5">
      <c r="A69" s="520" t="s">
        <v>950</v>
      </c>
      <c r="B69" s="69" t="s">
        <v>1783</v>
      </c>
      <c r="C69" s="578">
        <f>IF(regen_type=1,IF(OUTPUT!L257=1,ROUNDUP((st_diam+2*space_st)^2+(spent_tanks-1)*(st_diam+2*space_st)*(st_diam+space_st),0),ROUNDUP(spent_basin_length*spent_basin_width*2,0)),0)</f>
        <v>0</v>
      </c>
      <c r="D69" s="414" t="s">
        <v>3114</v>
      </c>
      <c r="E69" s="7"/>
    </row>
    <row r="70" spans="1:5">
      <c r="A70" s="520" t="s">
        <v>951</v>
      </c>
      <c r="B70" s="69" t="s">
        <v>1784</v>
      </c>
      <c r="C70" s="578">
        <f>IF(regen_type=1,IF(OUTPUT!L260=1,ROUNDUP((rt_diam+2*space_rt)^2+(regen_tanks-1)*(rt_diam+2*space_rt)*(rt_diam+space_rt),0),ROUNDUP(regen_basin_length*regen_basin_width*2,0)),0)</f>
        <v>0</v>
      </c>
      <c r="D70" s="414" t="s">
        <v>3114</v>
      </c>
      <c r="E70" s="7"/>
    </row>
    <row r="71" spans="1:5">
      <c r="A71" s="520" t="s">
        <v>370</v>
      </c>
      <c r="B71" s="82" t="s">
        <v>371</v>
      </c>
      <c r="C71" s="578">
        <f>IF(res_holding&lt;&gt;"tanks",0,ROUNDUP((ht_diam+2*space_ht)^2+(htanks-1)*(ht_diam+2*space_ht)*(ht_diam+space_ht),0))</f>
        <v>757</v>
      </c>
      <c r="D71" s="414" t="s">
        <v>3114</v>
      </c>
      <c r="E71" s="7"/>
    </row>
    <row r="72" spans="1:5">
      <c r="A72" s="520" t="s">
        <v>2002</v>
      </c>
      <c r="B72" s="82" t="s">
        <v>2001</v>
      </c>
      <c r="C72" s="578">
        <f>IF(res_holding&lt;&gt;"basins",0,ROUNDUP(hbasins*hbasin_length*hbasin_width*2,0))</f>
        <v>0</v>
      </c>
      <c r="D72" s="414" t="s">
        <v>3114</v>
      </c>
      <c r="E72" s="7"/>
    </row>
    <row r="73" spans="1:5">
      <c r="A73" s="520" t="s">
        <v>2292</v>
      </c>
      <c r="B73" s="82" t="s">
        <v>2293</v>
      </c>
      <c r="C73" s="578">
        <f>ROUNDUP((polymer_st_diam+2*space_polymer_st)^2+(polymer_tanks-1)*(polymer_st_diam+2*space_polymer_st)*(polymer_st_diam+space_polymer_st),0)</f>
        <v>0</v>
      </c>
      <c r="D73" s="414" t="s">
        <v>3114</v>
      </c>
      <c r="E73" s="7"/>
    </row>
    <row r="74" spans="1:5">
      <c r="A74" s="520" t="s">
        <v>3637</v>
      </c>
      <c r="B74" s="82" t="s">
        <v>2463</v>
      </c>
      <c r="C74" s="578">
        <f>ROUNDUP((coag_st_diam+2*space_coag_st)^2+(coag_tanks-1)*(coag_st_diam+2*space_coag_st)*(coag_st_diam+space_coag_st),0)</f>
        <v>0</v>
      </c>
      <c r="D74" s="414" t="s">
        <v>3114</v>
      </c>
      <c r="E74" s="7"/>
    </row>
    <row r="75" spans="1:5">
      <c r="A75" s="414" t="s">
        <v>1674</v>
      </c>
      <c r="B75" s="3" t="s">
        <v>1675</v>
      </c>
      <c r="C75" s="577">
        <f>VLOOKUP(design_flow,labor_table_cl,3)*IF(ss_cat2=1,space_office_small,space_office)</f>
        <v>160</v>
      </c>
      <c r="D75" s="414" t="s">
        <v>3114</v>
      </c>
      <c r="E75" s="1"/>
    </row>
    <row r="76" spans="1:5">
      <c r="A76" s="520" t="s">
        <v>2132</v>
      </c>
      <c r="B76" s="33" t="s">
        <v>2133</v>
      </c>
      <c r="C76" s="577">
        <f>vessel_fp+back_tank_fp+pump_fp+Onsite_regeneration_fp+Virgin_GAC_storage_fp+Spent_GAC_storage_fp+Regenerated_GAC_storage_fp+office_fp+htank_fp+hbasin_fp+cstore_fp+polymer_fp</f>
        <v>3775</v>
      </c>
      <c r="D76" s="414" t="s">
        <v>3114</v>
      </c>
      <c r="E76" s="1"/>
    </row>
    <row r="77" spans="1:5">
      <c r="A77" s="520" t="s">
        <v>2050</v>
      </c>
      <c r="B77" s="33" t="s">
        <v>2051</v>
      </c>
      <c r="C77" s="577">
        <f>ROUNDUP(IF(fp_required&lt;add_2nd_building,fp_required,vessel_fp),-1)</f>
        <v>3780</v>
      </c>
      <c r="D77" s="520" t="s">
        <v>3114</v>
      </c>
      <c r="E77" s="7" t="s">
        <v>2641</v>
      </c>
    </row>
    <row r="78" spans="1:5">
      <c r="A78" s="520" t="s">
        <v>2052</v>
      </c>
      <c r="B78" s="33" t="s">
        <v>2249</v>
      </c>
      <c r="C78" s="577">
        <f>ROUNDUP(IF(fp_required&lt;add_2nd_building,0,back_tank_fp+pump_fp+Onsite_regeneration_fp+Virgin_GAC_storage_fp+Spent_GAC_storage_fp+Regenerated_GAC_storage_fp+office_fp+htank_fp+hbasin_fp+cstore_fp+polymer_fp),-1)</f>
        <v>0</v>
      </c>
      <c r="D78" s="520" t="s">
        <v>3114</v>
      </c>
      <c r="E78" s="7" t="s">
        <v>788</v>
      </c>
    </row>
    <row r="79" spans="1:5">
      <c r="A79" s="414" t="s">
        <v>2820</v>
      </c>
      <c r="B79" s="3" t="s">
        <v>2821</v>
      </c>
      <c r="C79" s="577">
        <f>build1_fp+build2_fp</f>
        <v>3780</v>
      </c>
      <c r="D79" s="414" t="s">
        <v>3114</v>
      </c>
      <c r="E79" s="7"/>
    </row>
    <row r="80" spans="1:5">
      <c r="A80" s="414" t="s">
        <v>2822</v>
      </c>
      <c r="B80" s="3" t="s">
        <v>2823</v>
      </c>
      <c r="C80" s="578">
        <f>ROUNDUP((fp_required-office_fp)*IF(ss_cat2=1,pad_thick_small,pad_thick)/27,0)</f>
        <v>67</v>
      </c>
      <c r="D80" s="414" t="s">
        <v>2824</v>
      </c>
    </row>
    <row r="81" spans="1:4">
      <c r="A81" s="414" t="s">
        <v>2257</v>
      </c>
      <c r="B81" s="3" t="s">
        <v>2774</v>
      </c>
      <c r="C81" s="578">
        <f>ROUNDUP(total_fp^0.5,-1)</f>
        <v>70</v>
      </c>
      <c r="D81" s="414" t="s">
        <v>2219</v>
      </c>
    </row>
    <row r="82" spans="1:4">
      <c r="A82" s="520" t="s">
        <v>2397</v>
      </c>
      <c r="B82" s="33" t="s">
        <v>2398</v>
      </c>
      <c r="C82" s="578">
        <f>IF(ep_cells=0,0,ROUNDUP((ep_cell_side+2*non_fire_buffer)^2+(ep_cells-1)*(ep_cell_side+2*non_fire_buffer)*(ep_cell_side+non_fire_buffer),0))</f>
        <v>0</v>
      </c>
      <c r="D82" s="520" t="s">
        <v>3114</v>
      </c>
    </row>
    <row r="83" spans="1:4">
      <c r="A83" s="520" t="s">
        <v>872</v>
      </c>
      <c r="B83" s="33" t="s">
        <v>850</v>
      </c>
      <c r="C83" s="598">
        <f>ROUNDUP(((build1_fp)^0.5+(2*non_fire_buffer))*((build1_fp)^0.5+(non_fire_buffer+fire_buffer))+IF(build2_fp=0,0,((build2_fp)^0.5+(2*non_fire_buffer))*((build2_fp)^0.5+(non_fire_buffer+fire_buffer)))+sept_fp+ep_fp+solids_pad_area,-2)/43560</f>
        <v>0.26859504132231404</v>
      </c>
      <c r="D83" s="520" t="s">
        <v>851</v>
      </c>
    </row>
    <row r="84" spans="1:4">
      <c r="A84" s="414" t="s">
        <v>2923</v>
      </c>
      <c r="B84" s="3" t="s">
        <v>2924</v>
      </c>
      <c r="C84" s="597">
        <f>VLOOKUP(design_flow,land_cost_cl,3)</f>
        <v>31219.845835377939</v>
      </c>
      <c r="D84" s="414" t="s">
        <v>1703</v>
      </c>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A1:H75"/>
  <sheetViews>
    <sheetView workbookViewId="0">
      <pane ySplit="3" topLeftCell="A4" activePane="bottomLeft" state="frozen"/>
      <selection pane="bottomLeft"/>
    </sheetView>
  </sheetViews>
  <sheetFormatPr baseColWidth="10" defaultColWidth="9.1640625" defaultRowHeight="13"/>
  <cols>
    <col min="1" max="1" width="42.1640625" style="414" customWidth="1"/>
    <col min="2" max="2" width="20.5" style="414" customWidth="1"/>
    <col min="3" max="3" width="9.1640625" style="414"/>
    <col min="4" max="4" width="35.83203125" style="414" customWidth="1"/>
    <col min="5" max="16384" width="9.1640625" style="414"/>
  </cols>
  <sheetData>
    <row r="1" spans="1:8">
      <c r="A1" s="1" t="s">
        <v>3255</v>
      </c>
    </row>
    <row r="3" spans="1:8">
      <c r="A3" s="168" t="s">
        <v>3250</v>
      </c>
      <c r="B3" s="168" t="s">
        <v>1369</v>
      </c>
      <c r="C3" s="169" t="s">
        <v>1370</v>
      </c>
      <c r="D3" s="168" t="s">
        <v>1371</v>
      </c>
      <c r="E3" s="168" t="s">
        <v>1372</v>
      </c>
    </row>
    <row r="4" spans="1:8">
      <c r="A4" s="2" t="s">
        <v>3192</v>
      </c>
    </row>
    <row r="5" spans="1:8">
      <c r="A5" s="414" t="s">
        <v>692</v>
      </c>
      <c r="B5" s="3" t="s">
        <v>291</v>
      </c>
      <c r="C5" s="414" t="str">
        <f>IF(component_level_I="high cost",2,IF(component_level_I="mid cost",1,""))</f>
        <v/>
      </c>
      <c r="D5" s="414" t="s">
        <v>2634</v>
      </c>
    </row>
    <row r="6" spans="1:8" ht="28">
      <c r="A6" s="414" t="s">
        <v>143</v>
      </c>
      <c r="B6" s="3" t="s">
        <v>144</v>
      </c>
      <c r="C6" s="414">
        <f>IF(manual_I="manual",1,IF(manual_I="semi-automated",2,IF(manual_I="fully automated",3,IF(component_level="",1,IF(component_level=2,3,CHOOSE(ss_cat2,1,3,3))))))</f>
        <v>1</v>
      </c>
      <c r="D6" s="556" t="s">
        <v>1230</v>
      </c>
      <c r="E6" s="7" t="s">
        <v>3256</v>
      </c>
    </row>
    <row r="8" spans="1:8">
      <c r="A8" s="2" t="s">
        <v>870</v>
      </c>
      <c r="B8" s="3"/>
      <c r="C8" s="520"/>
      <c r="G8" s="4"/>
      <c r="H8" s="4"/>
    </row>
    <row r="9" spans="1:8">
      <c r="A9" s="414" t="s">
        <v>3766</v>
      </c>
      <c r="B9" s="3" t="s">
        <v>1072</v>
      </c>
      <c r="C9" s="520">
        <f>in_out_pipe_diam</f>
        <v>10</v>
      </c>
      <c r="D9" s="414" t="s">
        <v>531</v>
      </c>
      <c r="F9" s="4"/>
      <c r="G9" s="4"/>
      <c r="H9" s="4"/>
    </row>
    <row r="10" spans="1:8">
      <c r="A10" s="414" t="s">
        <v>1566</v>
      </c>
      <c r="B10" s="3" t="s">
        <v>1833</v>
      </c>
      <c r="C10" s="520">
        <f>proc_pipe_diam</f>
        <v>8</v>
      </c>
      <c r="D10" s="414" t="s">
        <v>531</v>
      </c>
      <c r="F10" s="4"/>
      <c r="G10" s="4"/>
      <c r="H10" s="4"/>
    </row>
    <row r="11" spans="1:8">
      <c r="A11" s="414" t="s">
        <v>1569</v>
      </c>
      <c r="B11" s="3" t="s">
        <v>1834</v>
      </c>
      <c r="C11" s="520">
        <f>back_pipe_diam</f>
        <v>8</v>
      </c>
      <c r="D11" s="414" t="s">
        <v>531</v>
      </c>
      <c r="F11" s="4"/>
      <c r="G11" s="4"/>
      <c r="H11" s="4"/>
    </row>
    <row r="12" spans="1:8">
      <c r="A12" s="520" t="s">
        <v>1659</v>
      </c>
      <c r="B12" s="33" t="s">
        <v>1660</v>
      </c>
      <c r="C12" s="520">
        <f>bp_pipe_diam</f>
        <v>0</v>
      </c>
      <c r="D12" s="414" t="s">
        <v>531</v>
      </c>
      <c r="F12" s="4"/>
      <c r="G12" s="4"/>
      <c r="H12" s="4"/>
    </row>
    <row r="13" spans="1:8">
      <c r="A13" s="520" t="s">
        <v>3638</v>
      </c>
      <c r="B13" s="33" t="s">
        <v>3639</v>
      </c>
      <c r="C13" s="520">
        <f>coag_pipe_diam</f>
        <v>0</v>
      </c>
      <c r="D13" s="414" t="s">
        <v>531</v>
      </c>
      <c r="F13" s="4"/>
      <c r="G13" s="4"/>
      <c r="H13" s="4"/>
    </row>
    <row r="14" spans="1:8">
      <c r="A14" s="520" t="s">
        <v>3297</v>
      </c>
      <c r="B14" s="33" t="s">
        <v>2288</v>
      </c>
      <c r="C14" s="520">
        <f>polymer_pipe_diam</f>
        <v>0</v>
      </c>
      <c r="D14" s="414" t="s">
        <v>531</v>
      </c>
      <c r="F14" s="4"/>
      <c r="G14" s="4"/>
      <c r="H14" s="4"/>
    </row>
    <row r="15" spans="1:8">
      <c r="B15" s="3"/>
      <c r="C15" s="520"/>
    </row>
    <row r="16" spans="1:8">
      <c r="A16" s="414" t="s">
        <v>433</v>
      </c>
      <c r="B16" s="3" t="s">
        <v>1355</v>
      </c>
      <c r="C16" s="520">
        <f>VLOOKUP(IF(Num_tanks=1,"proc_mov_vessel_par","proc_mov_vessel_ser"),valve_table,manual+1,FALSE)</f>
        <v>0</v>
      </c>
      <c r="D16" s="414" t="s">
        <v>434</v>
      </c>
      <c r="F16" s="4"/>
      <c r="G16" s="4"/>
      <c r="H16" s="4"/>
    </row>
    <row r="17" spans="1:4">
      <c r="A17" s="414" t="s">
        <v>1350</v>
      </c>
      <c r="B17" s="3" t="s">
        <v>1567</v>
      </c>
      <c r="C17" s="520">
        <f>IF(design_type=1,final_num_tanks,total_num_basins)*proc_MOV_vessel+total_booster_pumps*VLOOKUP("proc_MOV_pump",valve_table,manual+1,FALSE)</f>
        <v>0</v>
      </c>
      <c r="D17" s="414" t="s">
        <v>1766</v>
      </c>
    </row>
    <row r="18" spans="1:4">
      <c r="A18" s="414" t="s">
        <v>0</v>
      </c>
      <c r="B18" s="3" t="s">
        <v>1568</v>
      </c>
      <c r="C18" s="520">
        <f>IF(design_type=1,final_num_tanks,total_num_basins)*VLOOKUP("back_MOV_vessel",valve_table,manual+1,FALSE)+backwash_pumps*VLOOKUP("back_MOV_pump",valve_table,manual+1,FALSE)+IF(OUTPUT!L53=1,back_basins,num_back_tanks)*VLOOKUP("back_MOV_tank",valve_table,manual+1,FALSE)+IF(no_back_tank=1,VLOOKUP("back_MOV_no_back",valve_table,manual+1,FALSE),0)</f>
        <v>0</v>
      </c>
      <c r="D18" s="414" t="s">
        <v>1766</v>
      </c>
    </row>
    <row r="19" spans="1:4">
      <c r="A19" s="414" t="s">
        <v>212</v>
      </c>
      <c r="B19" s="3" t="s">
        <v>210</v>
      </c>
      <c r="C19" s="520">
        <f>IF(bp_pct=0,0,VLOOKUP("tot_bp_movs",valve_table,manual+1,FALSE))</f>
        <v>0</v>
      </c>
      <c r="D19" s="414" t="s">
        <v>1766</v>
      </c>
    </row>
    <row r="20" spans="1:4">
      <c r="A20" s="414" t="s">
        <v>3640</v>
      </c>
      <c r="B20" s="3" t="s">
        <v>3642</v>
      </c>
      <c r="C20" s="520">
        <f>IF(coag_day_gal=0,0,(cm_pumps_coag)*VLOOKUP("chem_MOV_pump",valve_table,manual+1,FALSE))</f>
        <v>0</v>
      </c>
      <c r="D20" s="414" t="s">
        <v>1766</v>
      </c>
    </row>
    <row r="21" spans="1:4">
      <c r="A21" s="414" t="s">
        <v>3641</v>
      </c>
      <c r="B21" s="3" t="s">
        <v>2280</v>
      </c>
      <c r="C21" s="520">
        <f>IF(polymer_day=0,0,(cm_pumps_polymer)*VLOOKUP("chem_MOV_pump",valve_table,manual+1,FALSE))</f>
        <v>0</v>
      </c>
      <c r="D21" s="414" t="s">
        <v>1766</v>
      </c>
    </row>
    <row r="22" spans="1:4">
      <c r="A22" s="414" t="s">
        <v>2148</v>
      </c>
      <c r="B22" s="3" t="s">
        <v>2149</v>
      </c>
      <c r="C22" s="414">
        <f>tot_proc_MOVs+tot_back_MOVs+tot_bp_MOVs+tot_coag_MOVs+tot_polymer_MOVs+total_res_MOVs</f>
        <v>0</v>
      </c>
      <c r="D22" s="414" t="s">
        <v>1766</v>
      </c>
    </row>
    <row r="23" spans="1:4">
      <c r="B23" s="3"/>
    </row>
    <row r="24" spans="1:4">
      <c r="A24" s="414" t="s">
        <v>3310</v>
      </c>
      <c r="B24" s="3" t="s">
        <v>157</v>
      </c>
      <c r="C24" s="414">
        <f>IF(add_on=1,in_man_addon,in_man)</f>
        <v>2</v>
      </c>
      <c r="D24" s="414" t="s">
        <v>1766</v>
      </c>
    </row>
    <row r="25" spans="1:4">
      <c r="A25" s="414" t="s">
        <v>1878</v>
      </c>
      <c r="B25" s="3" t="s">
        <v>2147</v>
      </c>
      <c r="C25" s="520">
        <f>VLOOKUP(IF(Num_tanks=1,"proc_man_vessel_par","proc_man_vessel_ser"),valve_table,manual+1,FALSE)</f>
        <v>3</v>
      </c>
      <c r="D25" s="414" t="s">
        <v>434</v>
      </c>
    </row>
    <row r="26" spans="1:4">
      <c r="A26" s="414" t="s">
        <v>2858</v>
      </c>
      <c r="B26" s="3" t="s">
        <v>2859</v>
      </c>
      <c r="C26" s="520">
        <f>IF(design_type=1,(proc_man_vessel_cont+proc_man_vessel)*final_num_tanks,proc_man_vessel_cont*total_num_basins)+total_booster_pumps*VLOOKUP("proc_man_pump",valve_table,manual+1,FALSE)</f>
        <v>22</v>
      </c>
      <c r="D26" s="414" t="s">
        <v>1766</v>
      </c>
    </row>
    <row r="27" spans="1:4">
      <c r="A27" s="414" t="s">
        <v>2145</v>
      </c>
      <c r="B27" s="3" t="s">
        <v>2146</v>
      </c>
      <c r="C27" s="520">
        <f>IF(design_type=1,final_num_tanks,total_num_basins)*VLOOKUP("back_man_vessel",valve_table,manual+1,FALSE)+backwash_pumps*VLOOKUP("back_man_pump",valve_table,manual+1,FALSE)+IF(OUTPUT!L53=1,back_basins,num_back_tanks)*VLOOKUP("back_man_tank",valve_table,manual+1,FALSE)+IF(no_back_tank=1,VLOOKUP("back_man_no_back",valve_table,manual+1,FALSE),0)</f>
        <v>13</v>
      </c>
      <c r="D27" s="414" t="s">
        <v>1766</v>
      </c>
    </row>
    <row r="28" spans="1:4">
      <c r="A28" s="414" t="s">
        <v>213</v>
      </c>
      <c r="B28" s="3" t="s">
        <v>211</v>
      </c>
      <c r="C28" s="520">
        <f>IF(bp_pct=0,0,VLOOKUP("tot_bp_man",valve_table,manual+1,FALSE))</f>
        <v>0</v>
      </c>
      <c r="D28" s="414" t="s">
        <v>1766</v>
      </c>
    </row>
    <row r="29" spans="1:4">
      <c r="A29" s="414" t="s">
        <v>3644</v>
      </c>
      <c r="B29" s="3" t="s">
        <v>3645</v>
      </c>
      <c r="C29" s="520">
        <f>IF(coag_day_gal=0,0,(cm_pumps_coag)*VLOOKUP("chem_man_pump",valve_table,manual+1,FALSE))</f>
        <v>0</v>
      </c>
      <c r="D29" s="414" t="s">
        <v>1766</v>
      </c>
    </row>
    <row r="30" spans="1:4">
      <c r="A30" s="414" t="s">
        <v>3643</v>
      </c>
      <c r="B30" s="3" t="s">
        <v>2281</v>
      </c>
      <c r="C30" s="520">
        <f>IF(polymer_day=0,0,(cm_pumps_polymer)*VLOOKUP("chem_man_pump",valve_table,manual+1,FALSE))</f>
        <v>0</v>
      </c>
      <c r="D30" s="414" t="s">
        <v>1766</v>
      </c>
    </row>
    <row r="31" spans="1:4">
      <c r="B31" s="3"/>
      <c r="C31" s="520"/>
    </row>
    <row r="32" spans="1:4">
      <c r="A32" s="414" t="s">
        <v>1454</v>
      </c>
      <c r="B32" s="3" t="s">
        <v>1455</v>
      </c>
      <c r="C32" s="414">
        <f>IF(add_on=1,in_chv_addon,in_chv)</f>
        <v>1</v>
      </c>
      <c r="D32" s="414" t="s">
        <v>1766</v>
      </c>
    </row>
    <row r="33" spans="1:4">
      <c r="A33" s="414" t="s">
        <v>3646</v>
      </c>
      <c r="B33" s="3" t="s">
        <v>1</v>
      </c>
      <c r="C33" s="414">
        <f>back_chv_pump*backwash_pumps+IF(no_backwash=1,back_chv_no_back,0)</f>
        <v>2</v>
      </c>
      <c r="D33" s="414" t="s">
        <v>1766</v>
      </c>
    </row>
    <row r="34" spans="1:4">
      <c r="A34" s="414" t="s">
        <v>3647</v>
      </c>
      <c r="B34" s="3" t="s">
        <v>3649</v>
      </c>
      <c r="C34" s="544">
        <f>coag_chv_pump*cm_pumps_coag</f>
        <v>0</v>
      </c>
      <c r="D34" s="414" t="s">
        <v>1766</v>
      </c>
    </row>
    <row r="35" spans="1:4">
      <c r="A35" s="414" t="s">
        <v>3648</v>
      </c>
      <c r="B35" s="3" t="s">
        <v>1790</v>
      </c>
      <c r="C35" s="544">
        <f>polymer_chv_pump*cm_pumps_polymer</f>
        <v>0</v>
      </c>
      <c r="D35" s="414" t="s">
        <v>1766</v>
      </c>
    </row>
    <row r="37" spans="1:4">
      <c r="A37" s="414" t="s">
        <v>2831</v>
      </c>
      <c r="B37" s="3" t="s">
        <v>2</v>
      </c>
      <c r="C37" s="520">
        <f>in_out_pipe_diam</f>
        <v>10</v>
      </c>
      <c r="D37" s="414" t="s">
        <v>531</v>
      </c>
    </row>
    <row r="38" spans="1:4">
      <c r="A38" s="414" t="s">
        <v>3</v>
      </c>
      <c r="B38" s="3" t="s">
        <v>4</v>
      </c>
      <c r="C38" s="414">
        <f>proc_pipe_diam</f>
        <v>8</v>
      </c>
      <c r="D38" s="414" t="s">
        <v>531</v>
      </c>
    </row>
    <row r="39" spans="1:4">
      <c r="A39" s="414" t="s">
        <v>1836</v>
      </c>
      <c r="B39" s="3" t="s">
        <v>719</v>
      </c>
      <c r="C39" s="520">
        <f>back_pipe_diam</f>
        <v>8</v>
      </c>
      <c r="D39" s="414" t="s">
        <v>531</v>
      </c>
    </row>
    <row r="40" spans="1:4">
      <c r="A40" s="414" t="s">
        <v>2063</v>
      </c>
      <c r="B40" s="3" t="s">
        <v>2064</v>
      </c>
      <c r="C40" s="520">
        <f>fm_proc*IF(design_type=1,final_num_tanks,total_num_basins)</f>
        <v>0</v>
      </c>
      <c r="D40" s="414" t="s">
        <v>2222</v>
      </c>
    </row>
    <row r="41" spans="1:4">
      <c r="A41" s="414" t="s">
        <v>3778</v>
      </c>
      <c r="B41" s="3" t="s">
        <v>2030</v>
      </c>
      <c r="C41" s="414">
        <f>IF(add_on=1,fm_in_addon,fm_in)</f>
        <v>1</v>
      </c>
      <c r="D41" s="414" t="s">
        <v>2222</v>
      </c>
    </row>
    <row r="42" spans="1:4">
      <c r="B42" s="3"/>
      <c r="C42" s="520"/>
    </row>
    <row r="43" spans="1:4">
      <c r="A43" s="414" t="s">
        <v>2428</v>
      </c>
      <c r="B43" s="3" t="s">
        <v>2429</v>
      </c>
      <c r="C43" s="520">
        <f>IF(design_type=1,final_num_tanks*IF(ss_cat2=1,level_switch_small,level_switch),total_num_basins*IF(ss_cat2=1,level_switch_small_g,level_switch_g))</f>
        <v>0</v>
      </c>
      <c r="D43" s="414" t="s">
        <v>2222</v>
      </c>
    </row>
    <row r="44" spans="1:4">
      <c r="A44" s="414" t="s">
        <v>2158</v>
      </c>
      <c r="B44" s="3" t="s">
        <v>2159</v>
      </c>
      <c r="C44" s="520">
        <f>IF(OUTPUT!L53=1,back_basins,num_back_tanks)*alarm_back</f>
        <v>1</v>
      </c>
      <c r="D44" s="414" t="s">
        <v>2222</v>
      </c>
    </row>
    <row r="45" spans="1:4">
      <c r="A45" s="414" t="s">
        <v>868</v>
      </c>
      <c r="B45" s="3" t="s">
        <v>1835</v>
      </c>
      <c r="C45" s="520">
        <f>IF(design_type=2,total_num_basins*IF(ss_cat2=1,pH_controls_small_g,pH_controls_g),IF(ss_cat2=1,add_pH_controls_small,add_pH_controls))</f>
        <v>2</v>
      </c>
      <c r="D45" s="414" t="s">
        <v>2222</v>
      </c>
    </row>
    <row r="46" spans="1:4">
      <c r="A46" s="414" t="s">
        <v>930</v>
      </c>
      <c r="B46" s="3" t="s">
        <v>931</v>
      </c>
      <c r="C46" s="520">
        <f>IF(ss_cat2=1,temp_meters_small,temp_meters)</f>
        <v>2</v>
      </c>
      <c r="D46" s="414" t="s">
        <v>2222</v>
      </c>
    </row>
    <row r="47" spans="1:4">
      <c r="A47" s="414" t="s">
        <v>2442</v>
      </c>
      <c r="B47" s="3" t="s">
        <v>2444</v>
      </c>
      <c r="C47" s="520">
        <f>IF(design_type=1,turb_tank*final_num_tanks,turb_tank_g*total_num_basins)+IF(ss_cat2=1,add_turb_small,add_turb)+IF(design_type=1,IF(ss_cat2=1,add_turb_small_p,add_turb_p),0)</f>
        <v>3</v>
      </c>
      <c r="D47" s="414" t="s">
        <v>2222</v>
      </c>
    </row>
    <row r="48" spans="1:4">
      <c r="A48" s="414" t="s">
        <v>2443</v>
      </c>
      <c r="B48" s="3" t="s">
        <v>2445</v>
      </c>
      <c r="C48" s="520">
        <f>IF(ss_cat2=1,head_tank_small,head_tank)*IF(design_type=1,final_num_tanks,total_num_basins)</f>
        <v>5</v>
      </c>
      <c r="D48" s="414" t="s">
        <v>2222</v>
      </c>
    </row>
    <row r="49" spans="1:5">
      <c r="A49" s="414" t="s">
        <v>1838</v>
      </c>
      <c r="B49" s="3" t="s">
        <v>2162</v>
      </c>
      <c r="C49" s="520">
        <f>ports_tank*IF(design_type=1,final_num_tanks,total_num_basins)+add_ports+IF(bp_pct&gt;0,ports_bp,0)</f>
        <v>8</v>
      </c>
      <c r="D49" s="414" t="s">
        <v>2222</v>
      </c>
    </row>
    <row r="50" spans="1:5">
      <c r="A50" s="414" t="s">
        <v>3012</v>
      </c>
      <c r="B50" s="3" t="s">
        <v>1770</v>
      </c>
      <c r="C50" s="520">
        <f>IF(manual=2,0,S_booster_pump*total_booster_pumps+S_back_pump*backwash_pumps+S_res_pump*(res_pumps+cm_pumps_coag+cm_pumps_polymer)+CHOOSE(transfer_method,S_slurry,S_eductor*eductors,0)+CHOOSE(res_transfer_method,S_slurry*(res_slurry_pumps),S_eductor*(res_eductors),0)+S_mixer*(polymer_cmixers+coag_cmixers+hmixers))</f>
        <v>5</v>
      </c>
      <c r="D50" s="414" t="s">
        <v>2222</v>
      </c>
      <c r="E50" s="7"/>
    </row>
    <row r="51" spans="1:5">
      <c r="B51" s="3"/>
      <c r="C51" s="520"/>
    </row>
    <row r="52" spans="1:5">
      <c r="A52" s="2" t="s">
        <v>845</v>
      </c>
    </row>
    <row r="53" spans="1:5">
      <c r="A53" s="414" t="s">
        <v>3777</v>
      </c>
      <c r="B53" s="3" t="s">
        <v>94</v>
      </c>
      <c r="C53" s="414" t="str">
        <f>IF(OUTPUT!L180=1,"flow_op",IF(OUTPUT!L181=1,"flow_prop",IF(OUTPUT!L182=1,"flow_ven","flow_mag")))</f>
        <v>flow_prop</v>
      </c>
      <c r="E53" s="7" t="s">
        <v>95</v>
      </c>
    </row>
    <row r="54" spans="1:5">
      <c r="A54" s="414" t="s">
        <v>96</v>
      </c>
      <c r="B54" s="3" t="s">
        <v>97</v>
      </c>
      <c r="C54" s="414" t="str">
        <f>IF(OUTPUT!L185=1,"flow_op",IF(OUTPUT!L186=1,"flow_prop",IF(OUTPUT!L187=1,"flow_ven","flow_mag")))</f>
        <v>flow_mag</v>
      </c>
    </row>
    <row r="55" spans="1:5">
      <c r="A55" s="414" t="s">
        <v>101</v>
      </c>
      <c r="B55" s="3" t="s">
        <v>99</v>
      </c>
      <c r="C55" s="414" t="str">
        <f>IF(OUTPUT!L190=1,"flow_op",IF(OUTPUT!L191=1,"flow_prop",IF(OUTPUT!L192=1,"flow_ven","flow_mag")))</f>
        <v>flow_prop</v>
      </c>
    </row>
    <row r="56" spans="1:5">
      <c r="A56" s="414" t="s">
        <v>98</v>
      </c>
      <c r="B56" s="3" t="s">
        <v>100</v>
      </c>
      <c r="C56" s="414" t="str">
        <f>IF(OUTPUT!L195=1,"flow_op",IF(OUTPUT!L196=1,"flow_prop",IF(OUTPUT!L197=1,"flow_ven","flow_mag")))</f>
        <v>flow_prop</v>
      </c>
    </row>
    <row r="57" spans="1:5">
      <c r="A57" s="414" t="s">
        <v>1615</v>
      </c>
      <c r="B57" s="3" t="s">
        <v>1619</v>
      </c>
      <c r="C57" s="414">
        <f>VLOOKUP(fm_lkp_io,port_table,2,FALSE)*tot_fm_in+VLOOKUP(fm_lkp_proc,port_table,2,FALSE)*tot_fm_proc+VLOOKUP(fm_lkp_back,port_table,2,FALSE)*tot_fm_back+VLOOKUP(fm_lkp_res,port_table,2,FALSE)*tot_fm_res+VLOOKUP("alarm",port_table,2,FALSE)*(tot_level_switch+tot_back_alarm+tot_res_alarm)+VLOOKUP("ph",port_table,2,FALSE)*pH_controls+VLOOKUP("temp",port_table,2,FALSE)*tot_temp_meters+VLOOKUP("turb",port_table,2,FALSE)*tot_turb_meters+VLOOKUP("head",port_table,2,FALSE)*tot_head_sens+VLOOKUP("port",port_table,2,FALSE)*ports+VLOOKUP("switch",port_table,2,FALSE)*tot_switches+VLOOKUP("valve",port_table,2,FALSE)*tot_MOVs</f>
        <v>30</v>
      </c>
      <c r="D57" s="414" t="s">
        <v>2222</v>
      </c>
    </row>
    <row r="58" spans="1:5">
      <c r="A58" s="414" t="s">
        <v>1616</v>
      </c>
      <c r="B58" s="3" t="s">
        <v>3103</v>
      </c>
      <c r="C58" s="414">
        <f>IF(manual=2,0,VLOOKUP(fm_lkp_io,port_table,3,FALSE)*tot_fm_in+VLOOKUP(fm_lkp_proc,port_table,3,FALSE)*tot_fm_proc+VLOOKUP(fm_lkp_back,port_table,3,FALSE)*tot_fm_back+VLOOKUP(fm_lkp_res,port_table,3,FALSE)*tot_fm_res+VLOOKUP("alarm",port_table,3,FALSE)*(tot_level_switch+tot_back_alarm+tot_res_alarm)+VLOOKUP("ph",port_table,3,FALSE)*pH_controls+VLOOKUP("temp",port_table,3,FALSE)*tot_temp_meters+VLOOKUP("turb",port_table,3,FALSE)*tot_turb_meters+VLOOKUP("head",port_table,3,FALSE)*tot_head_sens+VLOOKUP("port",port_table,3,FALSE)*ports+VLOOKUP("switch",port_table,3,FALSE)*tot_switches+VLOOKUP("valve",port_table,3,FALSE)*tot_MOVs)</f>
        <v>7</v>
      </c>
      <c r="D58" s="414" t="s">
        <v>2222</v>
      </c>
    </row>
    <row r="59" spans="1:5">
      <c r="A59" s="414" t="s">
        <v>1617</v>
      </c>
      <c r="B59" s="3" t="s">
        <v>3104</v>
      </c>
      <c r="C59" s="414">
        <f>VLOOKUP(fm_lkp_io,port_table,4,FALSE)*tot_fm_in+VLOOKUP(fm_lkp_proc,port_table,4,FALSE)*tot_fm_proc+VLOOKUP(fm_lkp_back,port_table,4,FALSE)*tot_fm_back+VLOOKUP(fm_lkp_res,port_table,4,FALSE)*tot_fm_res+VLOOKUP("alarm",port_table,4,FALSE)*(tot_level_switch+tot_back_alarm+tot_res_alarm)+VLOOKUP("ph",port_table,4,FALSE)*pH_controls+VLOOKUP("temp",port_table,4,FALSE)*tot_temp_meters+VLOOKUP("turb",port_table,4,FALSE)*tot_turb_meters+VLOOKUP("head",port_table,4,FALSE)*tot_head_sens+VLOOKUP("port",port_table,4,FALSE)*ports+VLOOKUP("switch",port_table,4,FALSE)*tot_switches+VLOOKUP("valve",port_table,4,FALSE)*tot_MOVs</f>
        <v>10</v>
      </c>
      <c r="D59" s="414" t="s">
        <v>2222</v>
      </c>
    </row>
    <row r="60" spans="1:5">
      <c r="A60" s="414" t="s">
        <v>1618</v>
      </c>
      <c r="B60" s="3" t="s">
        <v>3105</v>
      </c>
      <c r="C60" s="414">
        <f>IF(manual=2,0,VLOOKUP(fm_lkp_io,port_table,5,FALSE)*tot_fm_in+VLOOKUP(fm_lkp_proc,port_table,5,FALSE)*tot_fm_proc+VLOOKUP(fm_lkp_back,port_table,5,FALSE)*tot_fm_back+VLOOKUP(fm_lkp_res,port_table,5,FALSE)*tot_fm_res+VLOOKUP("alarm",port_table,5,FALSE)*(tot_level_switch+tot_back_alarm+tot_res_alarm)+VLOOKUP("ph",port_table,5,FALSE)*pH_controls+VLOOKUP("temp",port_table,5,FALSE)*tot_temp_meters+VLOOKUP("turb",port_table,5,FALSE)*tot_turb_meters+VLOOKUP("head",port_table,5,FALSE)*tot_head_sens+VLOOKUP("port",port_table,5,FALSE)*ports+VLOOKUP("switch",port_table,5,FALSE)*tot_switches+VLOOKUP("valve",port_table,5,FALSE)*tot_MOVs)</f>
        <v>0</v>
      </c>
      <c r="D60" s="414" t="s">
        <v>2222</v>
      </c>
    </row>
    <row r="61" spans="1:5">
      <c r="B61" s="3"/>
    </row>
    <row r="62" spans="1:5">
      <c r="A62" s="414" t="s">
        <v>2954</v>
      </c>
      <c r="B62" s="3" t="s">
        <v>3159</v>
      </c>
      <c r="C62" s="414">
        <f>ROUNDUP(discrete_outputs/32,0)</f>
        <v>1</v>
      </c>
      <c r="D62" s="414" t="s">
        <v>2222</v>
      </c>
    </row>
    <row r="63" spans="1:5">
      <c r="A63" s="414" t="s">
        <v>3160</v>
      </c>
      <c r="B63" s="3" t="s">
        <v>3161</v>
      </c>
      <c r="C63" s="414">
        <f>ROUNDUP(discrete_inputs/32,0)</f>
        <v>1</v>
      </c>
      <c r="D63" s="414" t="s">
        <v>2222</v>
      </c>
    </row>
    <row r="64" spans="1:5">
      <c r="A64" s="414" t="s">
        <v>3162</v>
      </c>
      <c r="B64" s="3" t="s">
        <v>3163</v>
      </c>
      <c r="C64" s="414">
        <f>ROUNDUP((analog_inputs + analog_outputs)/12,0)</f>
        <v>1</v>
      </c>
      <c r="D64" s="414" t="s">
        <v>2222</v>
      </c>
    </row>
    <row r="65" spans="1:4">
      <c r="A65" s="414" t="s">
        <v>2890</v>
      </c>
      <c r="B65" s="3" t="s">
        <v>1970</v>
      </c>
      <c r="C65" s="523">
        <f>IF(add_on=1,plc_cpu_addon,plc_cpu_standalone)</f>
        <v>2</v>
      </c>
      <c r="D65" s="414" t="s">
        <v>2222</v>
      </c>
    </row>
    <row r="66" spans="1:4">
      <c r="A66" s="414" t="s">
        <v>920</v>
      </c>
      <c r="B66" s="3" t="s">
        <v>1971</v>
      </c>
      <c r="C66" s="523">
        <f>IF(add_on=1,plc_ethernet_addon,plc_ethernet_standalone)</f>
        <v>2</v>
      </c>
      <c r="D66" s="414" t="s">
        <v>2222</v>
      </c>
    </row>
    <row r="67" spans="1:4">
      <c r="A67" s="414" t="s">
        <v>3164</v>
      </c>
      <c r="B67" s="3" t="s">
        <v>3165</v>
      </c>
      <c r="C67" s="414">
        <f>plc_cpu + plc_ethernet + plc_discrete_input + plc_discrete_output +  plc_combination_analog</f>
        <v>7</v>
      </c>
      <c r="D67" s="414" t="s">
        <v>2222</v>
      </c>
    </row>
    <row r="68" spans="1:4">
      <c r="A68" s="414" t="s">
        <v>3166</v>
      </c>
      <c r="B68" s="3" t="s">
        <v>3167</v>
      </c>
      <c r="C68" s="414">
        <f>IF(plc_slots&lt;=9,0,ROUNDUP((plc_slots-9)/8,0))</f>
        <v>0</v>
      </c>
      <c r="D68" s="414" t="s">
        <v>2222</v>
      </c>
    </row>
    <row r="69" spans="1:4">
      <c r="A69" s="414" t="s">
        <v>3168</v>
      </c>
      <c r="B69" s="3" t="s">
        <v>3169</v>
      </c>
      <c r="C69" s="414">
        <f>IF(AND(add_on=1,plc_rack_addon=0),0,1+plc_expansions)</f>
        <v>1</v>
      </c>
      <c r="D69" s="414" t="s">
        <v>2222</v>
      </c>
    </row>
    <row r="70" spans="1:4">
      <c r="A70" s="414" t="s">
        <v>1966</v>
      </c>
      <c r="B70" s="3" t="s">
        <v>1967</v>
      </c>
      <c r="C70" s="414">
        <f>plc_expansions</f>
        <v>0</v>
      </c>
      <c r="D70" s="414" t="s">
        <v>2222</v>
      </c>
    </row>
    <row r="71" spans="1:4">
      <c r="A71" s="414" t="s">
        <v>1968</v>
      </c>
      <c r="B71" s="3" t="s">
        <v>1969</v>
      </c>
      <c r="C71" s="414">
        <f>plc_expansions</f>
        <v>0</v>
      </c>
      <c r="D71" s="414" t="s">
        <v>2222</v>
      </c>
    </row>
    <row r="72" spans="1:4">
      <c r="A72" s="414" t="s">
        <v>860</v>
      </c>
      <c r="B72" s="3" t="s">
        <v>1972</v>
      </c>
      <c r="C72" s="523">
        <f>IF(add_on=1,plc_interface_addon,plc_interface_standalone)</f>
        <v>2</v>
      </c>
      <c r="D72" s="414" t="s">
        <v>2222</v>
      </c>
    </row>
    <row r="73" spans="1:4">
      <c r="A73" s="414" t="s">
        <v>861</v>
      </c>
      <c r="B73" s="3" t="s">
        <v>1973</v>
      </c>
      <c r="C73" s="523">
        <f>IF(add_on=1,ups_addon,ups_standalone)</f>
        <v>1</v>
      </c>
      <c r="D73" s="414" t="s">
        <v>2222</v>
      </c>
    </row>
    <row r="74" spans="1:4">
      <c r="A74" s="414" t="s">
        <v>1280</v>
      </c>
      <c r="B74" s="3" t="s">
        <v>1281</v>
      </c>
      <c r="C74" s="414">
        <f>IF(AND(add_on=1,workstation_addon=0),0,ROUNDUP(Operator_LOE/2080/shifts_day/workstation_ratio,0))</f>
        <v>1</v>
      </c>
      <c r="D74" s="414" t="s">
        <v>2222</v>
      </c>
    </row>
    <row r="75" spans="1:4">
      <c r="A75" s="414" t="s">
        <v>390</v>
      </c>
      <c r="B75" s="3" t="s">
        <v>942</v>
      </c>
      <c r="C75" s="414">
        <f>IF(AND(add_on=1,printer_addon=0),0,ROUNDUP(workstations/printer_ratio,0))</f>
        <v>1</v>
      </c>
      <c r="D75" s="414" t="s">
        <v>2222</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E82"/>
  <sheetViews>
    <sheetView workbookViewId="0">
      <pane ySplit="3" topLeftCell="A4" activePane="bottomLeft" state="frozen"/>
      <selection pane="bottomLeft" activeCell="C20" sqref="C20"/>
    </sheetView>
  </sheetViews>
  <sheetFormatPr baseColWidth="10" defaultColWidth="8.83203125" defaultRowHeight="13"/>
  <cols>
    <col min="1" max="1" width="56.1640625" customWidth="1"/>
    <col min="2" max="2" width="20" style="3" customWidth="1"/>
    <col min="3" max="3" width="16.5" style="5" customWidth="1"/>
    <col min="4" max="4" width="10.5" style="414" customWidth="1"/>
    <col min="6" max="6" width="12.5" bestFit="1" customWidth="1"/>
  </cols>
  <sheetData>
    <row r="1" spans="1:5">
      <c r="A1" s="1" t="s">
        <v>3261</v>
      </c>
    </row>
    <row r="3" spans="1:5">
      <c r="A3" s="168" t="s">
        <v>3250</v>
      </c>
      <c r="B3" s="168" t="s">
        <v>1369</v>
      </c>
      <c r="C3" s="169" t="s">
        <v>1370</v>
      </c>
      <c r="D3" s="168" t="s">
        <v>1371</v>
      </c>
      <c r="E3" s="168" t="s">
        <v>1372</v>
      </c>
    </row>
    <row r="4" spans="1:5">
      <c r="A4" s="2" t="s">
        <v>1290</v>
      </c>
    </row>
    <row r="5" spans="1:5">
      <c r="A5" s="574" t="s">
        <v>905</v>
      </c>
      <c r="B5" s="16"/>
      <c r="C5" s="31"/>
      <c r="E5" s="7"/>
    </row>
    <row r="6" spans="1:5">
      <c r="A6" s="127" t="s">
        <v>797</v>
      </c>
      <c r="B6" s="3" t="s">
        <v>668</v>
      </c>
      <c r="C6" s="32">
        <f>IF(OUTPUT!J167="--",0,OUTPUT!J167*booster_pump_maintenance)</f>
        <v>294.19399557293565</v>
      </c>
      <c r="D6" s="544" t="s">
        <v>1575</v>
      </c>
    </row>
    <row r="7" spans="1:5">
      <c r="A7" s="127" t="s">
        <v>958</v>
      </c>
      <c r="B7" s="3" t="s">
        <v>959</v>
      </c>
      <c r="C7" s="32">
        <f>IF(AND(back_interval&lt;=24*7,NOT(OUTPUT!J168="--")),OUTPUT!J168*booster_pump_maintenance,0)</f>
        <v>412.04218082197002</v>
      </c>
      <c r="D7" s="544" t="s">
        <v>1575</v>
      </c>
      <c r="E7" s="7" t="s">
        <v>1473</v>
      </c>
    </row>
    <row r="8" spans="1:5">
      <c r="A8" s="127" t="s">
        <v>2863</v>
      </c>
      <c r="B8" s="3" t="s">
        <v>3147</v>
      </c>
      <c r="C8" s="318">
        <f>Materials_pct*SUMPRODUCT(OUTPUT!J40:J48,OUTPUT!L40:L48)</f>
        <v>3610.0526889710841</v>
      </c>
      <c r="D8" s="544" t="s">
        <v>1575</v>
      </c>
      <c r="E8" s="7" t="s">
        <v>1949</v>
      </c>
    </row>
    <row r="9" spans="1:5">
      <c r="A9" s="127" t="s">
        <v>906</v>
      </c>
      <c r="B9" s="3" t="s">
        <v>1319</v>
      </c>
      <c r="C9" s="12">
        <f>IF(regen_type=1,8451.4*regen_capacity^0.2017,0)</f>
        <v>0</v>
      </c>
      <c r="D9" s="544" t="s">
        <v>1320</v>
      </c>
      <c r="E9" s="7" t="s">
        <v>963</v>
      </c>
    </row>
    <row r="10" spans="1:5">
      <c r="A10" s="127"/>
      <c r="C10" s="12"/>
      <c r="D10" s="544"/>
      <c r="E10" s="7"/>
    </row>
    <row r="11" spans="1:5">
      <c r="A11" s="574" t="s">
        <v>1289</v>
      </c>
      <c r="C11" s="31"/>
      <c r="D11" s="544"/>
      <c r="E11" s="7"/>
    </row>
    <row r="12" spans="1:5" ht="14">
      <c r="A12" s="608" t="s">
        <v>907</v>
      </c>
      <c r="B12" s="3" t="s">
        <v>223</v>
      </c>
      <c r="C12" s="31">
        <f>tot_fm_in+tot_fm_proc+tot_level_switch+tot_turb_meters+tot_head_sens+pH_controls+tot_temp_meters</f>
        <v>13</v>
      </c>
      <c r="D12" s="544"/>
      <c r="E12" s="399" t="s">
        <v>908</v>
      </c>
    </row>
    <row r="13" spans="1:5">
      <c r="A13" s="127" t="s">
        <v>1482</v>
      </c>
      <c r="B13" s="33" t="s">
        <v>1483</v>
      </c>
      <c r="C13" s="31">
        <f>tot_fm_in+tot_fm_proc+tot_level_switch+tot_turb_meters+tot_head_sens+pH_controls+tot_temp_meters+tot_fm_back+tot_fm_res</f>
        <v>15</v>
      </c>
      <c r="D13" s="544"/>
      <c r="E13" s="399" t="s">
        <v>1462</v>
      </c>
    </row>
    <row r="14" spans="1:5" ht="14">
      <c r="A14" s="608" t="s">
        <v>1463</v>
      </c>
      <c r="B14" s="3" t="s">
        <v>224</v>
      </c>
      <c r="C14" s="31">
        <f>booster_pumps</f>
        <v>1</v>
      </c>
      <c r="D14" s="544"/>
      <c r="E14" s="399" t="s">
        <v>1464</v>
      </c>
    </row>
    <row r="15" spans="1:5">
      <c r="A15" s="127" t="s">
        <v>1465</v>
      </c>
      <c r="B15" s="33" t="s">
        <v>1466</v>
      </c>
      <c r="C15" s="31">
        <f>booster_pumps+res_pumps+IF(back_interval&lt;=24*7,backwash_pumps,0)</f>
        <v>5</v>
      </c>
      <c r="D15" s="544"/>
      <c r="E15" s="7" t="s">
        <v>1467</v>
      </c>
    </row>
    <row r="16" spans="1:5">
      <c r="A16" s="475" t="s">
        <v>225</v>
      </c>
      <c r="B16" s="3" t="s">
        <v>226</v>
      </c>
      <c r="C16" s="31">
        <f>tot_proc_MOVs+tot_bp_MOVs+tot_proc_man+tot_bp_man</f>
        <v>22</v>
      </c>
      <c r="D16" s="544"/>
      <c r="E16" s="7" t="s">
        <v>1468</v>
      </c>
    </row>
    <row r="17" spans="1:5">
      <c r="A17" s="127" t="s">
        <v>1665</v>
      </c>
      <c r="B17" s="33" t="s">
        <v>1666</v>
      </c>
      <c r="C17" s="31">
        <f>IF(design_type=1,final_num_tanks,total_num_basins)*(365*24/back_interval)</f>
        <v>260.71428571428572</v>
      </c>
      <c r="D17" s="544"/>
      <c r="E17" s="7"/>
    </row>
    <row r="18" spans="1:5">
      <c r="A18" s="127" t="s">
        <v>681</v>
      </c>
      <c r="B18" s="33" t="s">
        <v>682</v>
      </c>
      <c r="C18" s="31">
        <f>polymer_tanks+coag_tanks</f>
        <v>0</v>
      </c>
      <c r="D18" s="544"/>
      <c r="E18" s="7"/>
    </row>
    <row r="19" spans="1:5">
      <c r="A19" s="475" t="s">
        <v>227</v>
      </c>
      <c r="B19" s="3" t="s">
        <v>228</v>
      </c>
      <c r="C19" s="5">
        <f>IF(design_type=1,num_treat_lines,total_num_basins)*IF(OR(regen_type=3,regen_type=5),disp_freq,IF(OR(regen_type=2,regen_type=4),12/bed_life,0))</f>
        <v>17.028952898107509</v>
      </c>
      <c r="D19" s="544"/>
      <c r="E19" s="7" t="s">
        <v>2980</v>
      </c>
    </row>
    <row r="20" spans="1:5">
      <c r="A20" s="475" t="s">
        <v>2785</v>
      </c>
      <c r="B20" s="33" t="s">
        <v>2978</v>
      </c>
      <c r="C20" s="5">
        <f>IF(OR(regen_type=3,regen_type=5),GAC_makeup+spent_media_yr*2000,IF(OR(regen_type=2,regen_type=4),GAC_makeup+2*regen_yr,0))/GAC_density</f>
        <v>29958.898660891849</v>
      </c>
      <c r="D20" s="520" t="s">
        <v>2979</v>
      </c>
      <c r="E20" s="7" t="s">
        <v>2981</v>
      </c>
    </row>
    <row r="21" spans="1:5">
      <c r="A21" s="127"/>
      <c r="E21" s="7"/>
    </row>
    <row r="22" spans="1:5">
      <c r="A22" s="127" t="s">
        <v>1469</v>
      </c>
      <c r="C22" s="400">
        <f>IF(manual=1,tot_inst*uloe_inst*365/60,uloe_inst_auto*365/60)</f>
        <v>395.41666666666669</v>
      </c>
      <c r="D22" s="544"/>
      <c r="E22" s="7"/>
    </row>
    <row r="23" spans="1:5" ht="14">
      <c r="A23" s="608" t="s">
        <v>1470</v>
      </c>
      <c r="C23" s="400">
        <f>tot_inst_maint*uloe_inst_maint*12/60</f>
        <v>30</v>
      </c>
      <c r="D23" s="544"/>
      <c r="E23" s="7"/>
    </row>
    <row r="24" spans="1:5" ht="14">
      <c r="A24" s="608" t="s">
        <v>1471</v>
      </c>
      <c r="C24" s="374">
        <f>IF(OR(manual=1,manual=2),tot_pumps*uloe_pump*365/60,0)</f>
        <v>30.416666666666668</v>
      </c>
      <c r="D24" s="544"/>
      <c r="E24" s="7"/>
    </row>
    <row r="25" spans="1:5" ht="14">
      <c r="A25" s="608" t="s">
        <v>1472</v>
      </c>
      <c r="C25" s="374">
        <f>tot_pumps_maint*uloe_pump_maint</f>
        <v>151.25</v>
      </c>
      <c r="D25" s="544"/>
      <c r="E25" s="7"/>
    </row>
    <row r="26" spans="1:5" ht="14">
      <c r="A26" s="608" t="s">
        <v>1474</v>
      </c>
      <c r="C26" s="374">
        <f>IF(OR(manual=1,manual=2),tot_valves*uloe_valve*52/60,0)</f>
        <v>95.333333333333329</v>
      </c>
      <c r="D26" s="544"/>
      <c r="E26" s="7"/>
    </row>
    <row r="27" spans="1:5">
      <c r="A27" s="127" t="s">
        <v>1475</v>
      </c>
      <c r="C27" s="374">
        <f>tot_valves*uloe_valve_maint/60</f>
        <v>1.8333333333333333</v>
      </c>
      <c r="D27" s="544"/>
      <c r="E27" s="7"/>
    </row>
    <row r="28" spans="1:5">
      <c r="A28" s="127" t="s">
        <v>1476</v>
      </c>
      <c r="C28" s="374">
        <f>total_fp/100*uloe_fp*365/60</f>
        <v>229.94999999999996</v>
      </c>
      <c r="D28" s="544"/>
      <c r="E28" s="7"/>
    </row>
    <row r="29" spans="1:5">
      <c r="A29" s="127" t="s">
        <v>683</v>
      </c>
      <c r="B29" s="5"/>
      <c r="C29" s="374">
        <f>tot_chem*uloe_chem_maint*12/60</f>
        <v>0</v>
      </c>
      <c r="D29" s="414" t="s">
        <v>1574</v>
      </c>
      <c r="E29" s="7"/>
    </row>
    <row r="30" spans="1:5">
      <c r="A30" s="475" t="s">
        <v>393</v>
      </c>
      <c r="C30" s="374">
        <f>IF(OR(manual=1,manual=2),backwash_yr*2*backwash_time/60,backwash_yr*uloe_autoback/60)</f>
        <v>86.904761904761912</v>
      </c>
      <c r="D30" s="544"/>
      <c r="E30" s="7"/>
    </row>
    <row r="31" spans="1:5">
      <c r="A31" s="475" t="s">
        <v>229</v>
      </c>
      <c r="C31" s="374">
        <f>IF(transfer_method=3,media_changes_cf*uloe_throwaway,media_changes*transfer_time)</f>
        <v>443.8355357169163</v>
      </c>
      <c r="D31" s="544"/>
      <c r="E31" s="7"/>
    </row>
    <row r="32" spans="1:5" ht="14.25" customHeight="1">
      <c r="A32" s="475" t="s">
        <v>2786</v>
      </c>
      <c r="C32" s="374">
        <f>IF(res_transfer_method=3,res_solids*2000/ht_solids_density*sol_disp_freq*uloe_throwaway,sol_disp_freq*htransfer_time)</f>
        <v>1.456548767731995</v>
      </c>
      <c r="D32" s="544"/>
      <c r="E32" s="7"/>
    </row>
    <row r="33" spans="1:5">
      <c r="A33" s="127" t="s">
        <v>1815</v>
      </c>
      <c r="B33" s="3" t="s">
        <v>1816</v>
      </c>
      <c r="C33" s="30">
        <f>SUM(C22:C32)</f>
        <v>1466.3968463894105</v>
      </c>
      <c r="D33" s="414" t="s">
        <v>1574</v>
      </c>
      <c r="E33" s="7"/>
    </row>
    <row r="34" spans="1:5">
      <c r="A34" s="127"/>
      <c r="C34" s="30"/>
      <c r="E34" s="7"/>
    </row>
    <row r="35" spans="1:5">
      <c r="A35" s="609" t="s">
        <v>1477</v>
      </c>
      <c r="C35" s="30"/>
      <c r="E35" s="7"/>
    </row>
    <row r="36" spans="1:5">
      <c r="A36" s="475" t="s">
        <v>2864</v>
      </c>
      <c r="B36" s="3" t="s">
        <v>2865</v>
      </c>
      <c r="C36" s="30">
        <f>Weekly_labor*52*total_num_basins</f>
        <v>0</v>
      </c>
      <c r="D36" s="414" t="s">
        <v>2136</v>
      </c>
      <c r="E36" s="7"/>
    </row>
    <row r="37" spans="1:5">
      <c r="A37" s="127" t="s">
        <v>1478</v>
      </c>
      <c r="B37" s="3" t="s">
        <v>961</v>
      </c>
      <c r="C37" s="38">
        <f>IF(regen_type=1,2.2515*regen_capacity^0.7554,0)</f>
        <v>0</v>
      </c>
      <c r="D37" s="414" t="s">
        <v>962</v>
      </c>
      <c r="E37" s="7" t="s">
        <v>963</v>
      </c>
    </row>
    <row r="38" spans="1:5">
      <c r="A38" s="127"/>
      <c r="C38" s="38"/>
      <c r="E38" s="7"/>
    </row>
    <row r="39" spans="1:5">
      <c r="A39" s="127" t="s">
        <v>2814</v>
      </c>
      <c r="B39" s="3" t="s">
        <v>2815</v>
      </c>
      <c r="C39" s="30">
        <f>General_Oper_Labor+regen_labor+filter_labor</f>
        <v>1466.3968463894105</v>
      </c>
      <c r="D39" s="414" t="s">
        <v>1574</v>
      </c>
      <c r="E39" s="7"/>
    </row>
    <row r="40" spans="1:5">
      <c r="A40" s="127" t="s">
        <v>731</v>
      </c>
      <c r="B40" s="3" t="s">
        <v>730</v>
      </c>
      <c r="C40" s="30">
        <f>Operator_LOE*Manager_percent</f>
        <v>146.63968463894105</v>
      </c>
      <c r="D40" s="414" t="s">
        <v>1574</v>
      </c>
      <c r="E40" s="7" t="s">
        <v>1818</v>
      </c>
    </row>
    <row r="41" spans="1:5">
      <c r="A41" s="127" t="s">
        <v>733</v>
      </c>
      <c r="B41" s="3" t="s">
        <v>2813</v>
      </c>
      <c r="C41" s="30">
        <f>Operator_LOE*Clerical_percent</f>
        <v>146.63968463894105</v>
      </c>
      <c r="D41" s="414" t="s">
        <v>1574</v>
      </c>
      <c r="E41" s="7" t="s">
        <v>1818</v>
      </c>
    </row>
    <row r="42" spans="1:5">
      <c r="A42" s="127"/>
      <c r="C42" s="32"/>
      <c r="D42" s="544"/>
    </row>
    <row r="43" spans="1:5">
      <c r="A43" s="574" t="s">
        <v>3508</v>
      </c>
    </row>
    <row r="44" spans="1:5">
      <c r="A44" s="575" t="s">
        <v>3509</v>
      </c>
      <c r="C44" s="318">
        <f>IF(include_buildings=0,0,building_matl_rate_cl*total_fp)</f>
        <v>0</v>
      </c>
      <c r="D44" s="544" t="s">
        <v>1575</v>
      </c>
      <c r="E44" s="7" t="s">
        <v>102</v>
      </c>
    </row>
    <row r="45" spans="1:5">
      <c r="A45" s="127" t="s">
        <v>103</v>
      </c>
      <c r="C45" s="318">
        <f>build1_need_heat*heating_matl_rate_cl*build1_fp</f>
        <v>561.61497284021436</v>
      </c>
      <c r="D45" s="544" t="s">
        <v>1575</v>
      </c>
    </row>
    <row r="46" spans="1:5">
      <c r="A46" s="127" t="s">
        <v>104</v>
      </c>
      <c r="C46" s="318">
        <f>build1_need_cool*cooling_matl_rate_cl*build1_fp</f>
        <v>0</v>
      </c>
      <c r="D46" s="544" t="s">
        <v>1575</v>
      </c>
    </row>
    <row r="47" spans="1:5">
      <c r="A47" s="127" t="s">
        <v>105</v>
      </c>
      <c r="C47" s="318">
        <f>build2_need_heat*heating_matl_rate_cl*build2_fp</f>
        <v>0</v>
      </c>
      <c r="D47" s="544" t="s">
        <v>1575</v>
      </c>
    </row>
    <row r="48" spans="1:5">
      <c r="A48" s="127" t="s">
        <v>106</v>
      </c>
      <c r="C48" s="318">
        <f>build2_need_cool*cooling_matl_rate_cl*build2_fp</f>
        <v>0</v>
      </c>
      <c r="D48" s="544" t="s">
        <v>1575</v>
      </c>
    </row>
    <row r="49" spans="1:5">
      <c r="A49" s="575" t="s">
        <v>3510</v>
      </c>
      <c r="B49" s="3" t="s">
        <v>107</v>
      </c>
      <c r="C49" s="394">
        <f>SUM(C44:C48)</f>
        <v>561.61497284021436</v>
      </c>
      <c r="E49" s="7" t="s">
        <v>108</v>
      </c>
    </row>
    <row r="50" spans="1:5">
      <c r="C50" s="32"/>
      <c r="D50" s="544"/>
    </row>
    <row r="51" spans="1:5">
      <c r="A51" s="2" t="s">
        <v>671</v>
      </c>
      <c r="C51" s="32"/>
      <c r="D51" s="544"/>
    </row>
    <row r="52" spans="1:5">
      <c r="A52" s="574" t="s">
        <v>1321</v>
      </c>
      <c r="C52" s="32"/>
      <c r="D52" s="544"/>
      <c r="E52" s="7"/>
    </row>
    <row r="53" spans="1:5">
      <c r="A53" s="127" t="s">
        <v>1592</v>
      </c>
      <c r="B53" s="3" t="s">
        <v>3423</v>
      </c>
      <c r="C53" s="53">
        <f>IF(booster_pumps=0,0,(average_flow_rate/IF(bp_pct&gt;0,bp_pct,1))*pump_head*0.43351492/booster_pumps/pump_efficiency/14.7*33.9*8.34/550/60)</f>
        <v>22.15183516529536</v>
      </c>
      <c r="D53" s="414" t="s">
        <v>1573</v>
      </c>
    </row>
    <row r="54" spans="1:5">
      <c r="A54" s="127" t="s">
        <v>1696</v>
      </c>
      <c r="C54" s="30">
        <f>pump_hp*0.7457/1000*24*365</f>
        <v>144.70314170898419</v>
      </c>
      <c r="D54" s="414" t="s">
        <v>2432</v>
      </c>
    </row>
    <row r="55" spans="1:5">
      <c r="A55" s="127" t="s">
        <v>1697</v>
      </c>
      <c r="B55" s="3" t="s">
        <v>672</v>
      </c>
      <c r="C55" s="30">
        <f>C54*booster_pumps</f>
        <v>144.70314170898419</v>
      </c>
      <c r="D55" s="414" t="s">
        <v>2432</v>
      </c>
    </row>
    <row r="56" spans="1:5">
      <c r="A56" s="610"/>
      <c r="C56" s="30"/>
    </row>
    <row r="57" spans="1:5">
      <c r="A57" s="127" t="s">
        <v>2512</v>
      </c>
      <c r="B57" s="3" t="s">
        <v>1322</v>
      </c>
      <c r="C57" s="38">
        <f>back_pump_head*0.43351492</f>
        <v>14.305992360000001</v>
      </c>
      <c r="D57" s="414" t="s">
        <v>1323</v>
      </c>
    </row>
    <row r="58" spans="1:5">
      <c r="A58" s="127" t="s">
        <v>1049</v>
      </c>
      <c r="B58" s="3" t="s">
        <v>3424</v>
      </c>
      <c r="C58" s="70">
        <f>water_flush*back_pump_psi/pump_efficiency/14.7*33.9*8.34/550/60</f>
        <v>10.472300661600787</v>
      </c>
      <c r="D58" s="414" t="s">
        <v>1573</v>
      </c>
    </row>
    <row r="59" spans="1:5">
      <c r="A59" s="127" t="s">
        <v>1050</v>
      </c>
      <c r="B59" s="3" t="s">
        <v>1324</v>
      </c>
      <c r="C59" s="30">
        <f>IF(design_type=1,final_num_tanks,total_num_basins)*backwash_time/60*(365*24/back_interval)</f>
        <v>43.452380952380956</v>
      </c>
      <c r="D59" s="414" t="s">
        <v>962</v>
      </c>
    </row>
    <row r="60" spans="1:5">
      <c r="A60" s="128" t="s">
        <v>1051</v>
      </c>
      <c r="B60" s="3" t="s">
        <v>1325</v>
      </c>
      <c r="C60" s="72">
        <f>back_pump_hp*0.7457/1000*back_hrs_yr</f>
        <v>0.33932809883628973</v>
      </c>
      <c r="D60" s="414" t="s">
        <v>2432</v>
      </c>
    </row>
    <row r="61" spans="1:5">
      <c r="A61" s="610"/>
      <c r="C61" s="30"/>
    </row>
    <row r="62" spans="1:5">
      <c r="A62" s="574" t="s">
        <v>960</v>
      </c>
      <c r="C62"/>
    </row>
    <row r="63" spans="1:5">
      <c r="A63" s="127" t="s">
        <v>671</v>
      </c>
      <c r="B63" s="3" t="s">
        <v>1326</v>
      </c>
      <c r="C63" s="41">
        <f>IF(regen_type=1,9.1217*regen_capacity^1.0475/1000,0)</f>
        <v>0</v>
      </c>
      <c r="D63" s="414" t="s">
        <v>2432</v>
      </c>
      <c r="E63" s="7" t="s">
        <v>963</v>
      </c>
    </row>
    <row r="64" spans="1:5">
      <c r="A64" s="127" t="s">
        <v>3156</v>
      </c>
      <c r="B64" s="3" t="s">
        <v>3157</v>
      </c>
      <c r="C64" s="38">
        <f>IF(regen_type=1,28.161*regen_capacity,0)</f>
        <v>0</v>
      </c>
      <c r="D64" s="414" t="s">
        <v>3158</v>
      </c>
      <c r="E64" s="7" t="s">
        <v>963</v>
      </c>
    </row>
    <row r="65" spans="1:4">
      <c r="A65" s="610"/>
      <c r="C65" s="30"/>
    </row>
    <row r="66" spans="1:4">
      <c r="A66" s="574" t="s">
        <v>184</v>
      </c>
      <c r="C66" s="31"/>
    </row>
    <row r="67" spans="1:4">
      <c r="A67" s="475" t="s">
        <v>1914</v>
      </c>
      <c r="B67" s="3" t="s">
        <v>1915</v>
      </c>
      <c r="C67" s="397">
        <f>IF(OR(build1_fp&lt;500,component_level=""),lighting_power_low,CHOOSE(component_level,lighting_power_mid,lighting_power_high))*24*365/1000</f>
        <v>2.6279999999999997</v>
      </c>
      <c r="D67" s="414" t="s">
        <v>869</v>
      </c>
    </row>
    <row r="68" spans="1:4">
      <c r="A68" s="475" t="s">
        <v>1916</v>
      </c>
      <c r="B68" s="3" t="s">
        <v>1917</v>
      </c>
      <c r="C68" s="397">
        <f>IF(OR(build2_fp&lt;500,component_level=""),lighting_power_low,CHOOSE(component_level,lighting_power_mid,lighting_power_high))*24*365/1000</f>
        <v>2.6279999999999997</v>
      </c>
      <c r="D68" s="414" t="s">
        <v>869</v>
      </c>
    </row>
    <row r="69" spans="1:4">
      <c r="A69" s="475" t="s">
        <v>233</v>
      </c>
      <c r="B69" s="3" t="s">
        <v>2640</v>
      </c>
      <c r="C69" s="397">
        <f>IF(include_buildings=0,0,MIN(1,Operator_LOE/(24*365))*(build1_fp*lighting_energy_1+build2_fp*lighting_energy_2)/1000)</f>
        <v>0</v>
      </c>
      <c r="D69" s="414" t="s">
        <v>2432</v>
      </c>
    </row>
    <row r="70" spans="1:4">
      <c r="A70" s="127"/>
    </row>
    <row r="71" spans="1:4">
      <c r="A71" s="574" t="s">
        <v>1201</v>
      </c>
      <c r="C71"/>
    </row>
    <row r="72" spans="1:4">
      <c r="A72" s="475" t="s">
        <v>1202</v>
      </c>
      <c r="C72"/>
    </row>
    <row r="73" spans="1:4">
      <c r="A73" s="611" t="s">
        <v>1662</v>
      </c>
      <c r="B73" s="3" t="s">
        <v>2779</v>
      </c>
      <c r="C73" s="19">
        <f t="shared" ref="C73:C78" si="0">IF(build1_heat=A73,VLOOKUP(A73,build1_heat_options, 7,FALSE),0)+IF(build2_heat=A73,VLOOKUP(A73,build2_heat_options, 7,FALSE),0)</f>
        <v>0</v>
      </c>
      <c r="D73" s="414" t="s">
        <v>2432</v>
      </c>
    </row>
    <row r="74" spans="1:4">
      <c r="A74" s="611" t="s">
        <v>725</v>
      </c>
      <c r="B74" s="3" t="s">
        <v>297</v>
      </c>
      <c r="C74" s="19">
        <f t="shared" si="0"/>
        <v>0</v>
      </c>
      <c r="D74" s="414" t="s">
        <v>298</v>
      </c>
    </row>
    <row r="75" spans="1:4">
      <c r="A75" s="611" t="s">
        <v>726</v>
      </c>
      <c r="B75" s="3" t="s">
        <v>299</v>
      </c>
      <c r="C75" s="19">
        <f t="shared" si="0"/>
        <v>9855.5177620651466</v>
      </c>
      <c r="D75" s="414" t="s">
        <v>298</v>
      </c>
    </row>
    <row r="76" spans="1:4">
      <c r="A76" s="611" t="s">
        <v>1297</v>
      </c>
      <c r="B76" s="3" t="s">
        <v>605</v>
      </c>
      <c r="C76" s="19">
        <f t="shared" si="0"/>
        <v>0</v>
      </c>
      <c r="D76" s="414" t="s">
        <v>608</v>
      </c>
    </row>
    <row r="77" spans="1:4">
      <c r="A77" s="611" t="s">
        <v>1298</v>
      </c>
      <c r="B77" s="3" t="s">
        <v>606</v>
      </c>
      <c r="C77" s="19">
        <f t="shared" si="0"/>
        <v>0</v>
      </c>
      <c r="D77" s="414" t="s">
        <v>608</v>
      </c>
    </row>
    <row r="78" spans="1:4">
      <c r="A78" s="611" t="s">
        <v>611</v>
      </c>
      <c r="B78" s="3" t="s">
        <v>296</v>
      </c>
      <c r="C78" s="19">
        <f t="shared" si="0"/>
        <v>0</v>
      </c>
      <c r="D78" s="414" t="s">
        <v>2432</v>
      </c>
    </row>
    <row r="79" spans="1:4">
      <c r="A79" s="475"/>
      <c r="C79" s="19"/>
    </row>
    <row r="80" spans="1:4">
      <c r="A80" s="475" t="s">
        <v>1203</v>
      </c>
      <c r="C80" s="19"/>
    </row>
    <row r="81" spans="1:4">
      <c r="A81" s="611" t="s">
        <v>1144</v>
      </c>
      <c r="B81" s="3" t="s">
        <v>1830</v>
      </c>
      <c r="C81" s="19">
        <f>IF(build1_cool=A81,VLOOKUP(A81,build1_cool_options, 7,FALSE),0)+IF(build2_cool=A81,VLOOKUP(A81,build2_cool_options, 7,FALSE),0)</f>
        <v>0</v>
      </c>
      <c r="D81" s="414" t="s">
        <v>2432</v>
      </c>
    </row>
    <row r="82" spans="1:4">
      <c r="A82" s="611" t="s">
        <v>611</v>
      </c>
      <c r="B82" s="3" t="s">
        <v>607</v>
      </c>
      <c r="C82" s="19">
        <f>IF(build1_cool=A82,VLOOKUP(A82,build1_cool_options, 7,FALSE),0)+IF(build2_cool=A82,VLOOKUP(A82,build2_cool_options, 7,FALSE),0)</f>
        <v>0</v>
      </c>
      <c r="D82" s="414" t="s">
        <v>2432</v>
      </c>
    </row>
  </sheetData>
  <phoneticPr fontId="0"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L134"/>
  <sheetViews>
    <sheetView zoomScaleNormal="75" workbookViewId="0">
      <pane ySplit="3" topLeftCell="A4" activePane="bottomLeft" state="frozen"/>
      <selection pane="bottomLeft"/>
    </sheetView>
  </sheetViews>
  <sheetFormatPr baseColWidth="10" defaultColWidth="9.1640625" defaultRowHeight="13"/>
  <cols>
    <col min="1" max="1" width="35.5" style="612" customWidth="1"/>
    <col min="2" max="2" width="25.6640625" style="469" bestFit="1" customWidth="1"/>
    <col min="3" max="3" width="19.83203125" style="612" customWidth="1"/>
    <col min="4" max="4" width="18.5" style="612" customWidth="1"/>
    <col min="5" max="5" width="13.33203125" style="470" customWidth="1"/>
    <col min="6" max="12" width="13.33203125" style="612" customWidth="1"/>
    <col min="13" max="16384" width="9.1640625" style="612"/>
  </cols>
  <sheetData>
    <row r="1" spans="1:5">
      <c r="A1" s="468" t="s">
        <v>3262</v>
      </c>
    </row>
    <row r="2" spans="1:5">
      <c r="A2" s="468"/>
    </row>
    <row r="3" spans="1:5">
      <c r="A3" s="168" t="s">
        <v>3250</v>
      </c>
      <c r="B3" s="168" t="s">
        <v>1369</v>
      </c>
      <c r="C3" s="169" t="s">
        <v>1370</v>
      </c>
      <c r="D3" s="168" t="s">
        <v>1371</v>
      </c>
      <c r="E3" s="168" t="s">
        <v>1372</v>
      </c>
    </row>
    <row r="4" spans="1:5">
      <c r="A4" s="471" t="s">
        <v>707</v>
      </c>
      <c r="E4" s="612"/>
    </row>
    <row r="5" spans="1:5">
      <c r="A5" s="612" t="s">
        <v>1522</v>
      </c>
      <c r="B5" s="469" t="s">
        <v>1523</v>
      </c>
      <c r="C5" s="613">
        <f>IF(design_flow&lt;1,1,IF(design_flow&lt;10,2,3))</f>
        <v>2</v>
      </c>
      <c r="D5" s="612" t="s">
        <v>585</v>
      </c>
      <c r="E5" s="7" t="s">
        <v>1521</v>
      </c>
    </row>
    <row r="6" spans="1:5">
      <c r="A6" s="414" t="s">
        <v>1587</v>
      </c>
      <c r="B6" s="3" t="s">
        <v>1585</v>
      </c>
      <c r="C6" s="414">
        <f>IF(design_type=1,IF(tank_geom=1,comm_height_length,comm_diam)+Top_bottom_Vessel_space,Building_height_g)</f>
        <v>16.5</v>
      </c>
      <c r="D6" s="612" t="s">
        <v>120</v>
      </c>
    </row>
    <row r="7" spans="1:5">
      <c r="A7" s="612" t="s">
        <v>22</v>
      </c>
      <c r="B7" s="469" t="s">
        <v>1856</v>
      </c>
      <c r="C7" s="614">
        <f>build1_fp^0.5</f>
        <v>61.481704595757591</v>
      </c>
      <c r="D7" s="612" t="s">
        <v>120</v>
      </c>
    </row>
    <row r="8" spans="1:5">
      <c r="A8" s="612" t="s">
        <v>1855</v>
      </c>
      <c r="B8" s="469" t="s">
        <v>1857</v>
      </c>
      <c r="C8" s="614">
        <f>build2_fp^0.5</f>
        <v>0</v>
      </c>
      <c r="D8" s="612" t="s">
        <v>120</v>
      </c>
    </row>
    <row r="9" spans="1:5">
      <c r="A9" s="842" t="s">
        <v>3496</v>
      </c>
      <c r="B9" s="843" t="s">
        <v>3502</v>
      </c>
      <c r="C9" s="523">
        <f>IF(include_HVAC_I="no",0,IF(include_HVAC_I="yes",1,2))</f>
        <v>2</v>
      </c>
      <c r="D9" s="414" t="s">
        <v>3503</v>
      </c>
    </row>
    <row r="10" spans="1:5">
      <c r="C10" s="613"/>
    </row>
    <row r="11" spans="1:5">
      <c r="A11" s="471" t="s">
        <v>708</v>
      </c>
    </row>
    <row r="12" spans="1:5">
      <c r="A12" s="612" t="s">
        <v>1678</v>
      </c>
      <c r="B12" s="469" t="s">
        <v>1680</v>
      </c>
      <c r="C12" s="615">
        <f>IF(build2_fp=0,(Air_changes_contactor*(vessel_fp+back_tank_fp+Onsite_regeneration_fp+htank_fp+hbasin_fp)+Air_changes_pump*pump_fp+Air_changes_chem_storage*(Virgin_GAC_storage_fp+Spent_GAC_storage_fp+Regenerated_GAC_storage_fp+cstore_fp+polymer_fp)+Air_changes_office*office_fp)/build1_fp,Air_changes_contactor)</f>
        <v>4.9190476190476193</v>
      </c>
      <c r="D12" s="616" t="s">
        <v>1586</v>
      </c>
    </row>
    <row r="13" spans="1:5">
      <c r="A13" s="612" t="s">
        <v>1679</v>
      </c>
      <c r="B13" s="469" t="s">
        <v>1681</v>
      </c>
      <c r="C13" s="615">
        <f>IF(build2_fp=0,0,(Air_changes_contactor*(back_tank_fp+Onsite_regeneration_fp+htank_fp+hbasin_fp)+Air_changes_pump*pump_fp+Air_changes_chem_storage*(Virgin_GAC_storage_fp+Spent_GAC_storage_fp+Regenerated_GAC_storage_fp+cstore_fp+polymer_fp)+Air_changes_office*office_fp)/build2_fp)</f>
        <v>0</v>
      </c>
      <c r="D13" s="616" t="s">
        <v>1586</v>
      </c>
    </row>
    <row r="14" spans="1:5">
      <c r="A14" s="612" t="s">
        <v>2642</v>
      </c>
      <c r="C14" s="614">
        <f>CHOOSE(ss_cat2,fan_days_build1_small,fan_days_build1_medium,fan_days_build1_large)*24*0.746*Fan_pressure_drop*build1_fp*Building_height*air_changes_build1/33000</f>
        <v>4993.6046400000014</v>
      </c>
      <c r="D14" s="612" t="s">
        <v>2431</v>
      </c>
    </row>
    <row r="15" spans="1:5">
      <c r="A15" s="612" t="s">
        <v>2643</v>
      </c>
      <c r="C15" s="614">
        <f>CHOOSE(ss_cat2,fan_days_build2_small,fan_days_build2_medium,fan_days_build2_large)*24*0.746*Fan_pressure_drop*build2_fp*Building_height*air_changes_build2/33000</f>
        <v>0</v>
      </c>
      <c r="D15" s="612" t="s">
        <v>2431</v>
      </c>
    </row>
    <row r="16" spans="1:5">
      <c r="A16" s="612" t="s">
        <v>2644</v>
      </c>
      <c r="B16" s="469" t="s">
        <v>21</v>
      </c>
      <c r="C16" s="617">
        <f>IF(include_HVAC=0,0,SUM(C14:C15)/1000)</f>
        <v>4.9936046400000018</v>
      </c>
      <c r="D16" s="612" t="s">
        <v>2432</v>
      </c>
    </row>
    <row r="17" spans="1:5">
      <c r="C17" s="614"/>
    </row>
    <row r="18" spans="1:5">
      <c r="A18" s="612" t="s">
        <v>2918</v>
      </c>
      <c r="B18" s="469" t="s">
        <v>2920</v>
      </c>
      <c r="C18" s="618">
        <f>build1_fp*Building_height*air_changes_build1/60</f>
        <v>5113.3500000000004</v>
      </c>
      <c r="D18" s="612" t="s">
        <v>2919</v>
      </c>
    </row>
    <row r="19" spans="1:5">
      <c r="A19" s="612" t="s">
        <v>2921</v>
      </c>
      <c r="B19" s="469" t="s">
        <v>2922</v>
      </c>
      <c r="C19" s="618">
        <f>build2_fp*Building_height*air_changes_build2/60</f>
        <v>0</v>
      </c>
      <c r="D19" s="612" t="s">
        <v>2919</v>
      </c>
    </row>
    <row r="20" spans="1:5">
      <c r="C20" s="614"/>
    </row>
    <row r="21" spans="1:5">
      <c r="A21" s="471" t="s">
        <v>709</v>
      </c>
      <c r="C21" s="614"/>
    </row>
    <row r="22" spans="1:5">
      <c r="A22" s="612" t="s">
        <v>1000</v>
      </c>
      <c r="B22" s="469" t="s">
        <v>1004</v>
      </c>
      <c r="C22" s="619">
        <f>IF(include_HVAC=0,0,IF(include_HVAC=1,1,VLOOKUP(IF(component_level_I="","low cost",component_level_I),IF(build1_fp&lt;500,heating_table_shed,heating_table),ss_cat2+2,FALSE)))</f>
        <v>1</v>
      </c>
      <c r="D22" s="612" t="s">
        <v>2130</v>
      </c>
      <c r="E22" s="470" t="s">
        <v>3504</v>
      </c>
    </row>
    <row r="23" spans="1:5">
      <c r="A23" s="612" t="s">
        <v>1001</v>
      </c>
      <c r="B23" s="469" t="s">
        <v>1005</v>
      </c>
      <c r="C23" s="619">
        <f>IF(include_HVAC=0,0,IF(include_HVAC=1,1,VLOOKUP(IF(component_level_I="","low cost",component_level_I),IF(build1_fp&lt;500,cooling_table_shed,cooling_table),ss_cat2+2,FALSE)))</f>
        <v>0</v>
      </c>
      <c r="D23" s="612" t="s">
        <v>2130</v>
      </c>
    </row>
    <row r="24" spans="1:5">
      <c r="A24" s="612" t="s">
        <v>1002</v>
      </c>
      <c r="B24" s="469" t="s">
        <v>1006</v>
      </c>
      <c r="C24" s="619">
        <f>IF(build2_fp=0,0,IF(include_HVAC=0,0,IF(include_HVAC=1,1,VLOOKUP(IF(component_level_I="","low cost",component_level_I),IF(build2_fp&lt;500,heating_table_shed,heating_table),ss_cat2+2,FALSE))))</f>
        <v>0</v>
      </c>
      <c r="D24" s="612" t="s">
        <v>2130</v>
      </c>
    </row>
    <row r="25" spans="1:5">
      <c r="A25" s="612" t="s">
        <v>1003</v>
      </c>
      <c r="B25" s="469" t="s">
        <v>1007</v>
      </c>
      <c r="C25" s="619">
        <f>IF(build2_fp=0,0,IF(include_HVAC=0,0,IF(include_HVAC=1,1,VLOOKUP(IF(component_level_I="","low cost",component_level_I),IF(build2_fp&lt;500,cooling_table_shed,cooling_table),ss_cat2+2,FALSE))))</f>
        <v>0</v>
      </c>
      <c r="D25" s="612" t="s">
        <v>2130</v>
      </c>
    </row>
    <row r="27" spans="1:5">
      <c r="A27" s="471" t="s">
        <v>710</v>
      </c>
      <c r="C27" s="614"/>
    </row>
    <row r="28" spans="1:5" ht="13.5" customHeight="1">
      <c r="A28" s="612" t="s">
        <v>2426</v>
      </c>
      <c r="B28" s="473"/>
      <c r="C28" s="614">
        <f>4*build1_side*Building_height*heat_DD*24/R_wall</f>
        <v>16594748.221577475</v>
      </c>
      <c r="D28" s="612" t="s">
        <v>2425</v>
      </c>
    </row>
    <row r="29" spans="1:5">
      <c r="A29" s="612" t="s">
        <v>2912</v>
      </c>
      <c r="B29" s="474"/>
      <c r="C29" s="614">
        <f>build1_fp*heat_DD*24/R_ceiling</f>
        <v>7887085.7142857146</v>
      </c>
      <c r="D29" s="612" t="s">
        <v>2425</v>
      </c>
    </row>
    <row r="30" spans="1:5">
      <c r="A30" s="612" t="s">
        <v>2775</v>
      </c>
      <c r="C30" s="618">
        <f>build1_cfm*heat_viload</f>
        <v>862514764.6500001</v>
      </c>
      <c r="D30" s="612" t="s">
        <v>2425</v>
      </c>
    </row>
    <row r="31" spans="1:5">
      <c r="A31" s="612" t="s">
        <v>711</v>
      </c>
      <c r="B31" s="469" t="s">
        <v>712</v>
      </c>
      <c r="C31" s="618">
        <f>SUM(C28:C30)</f>
        <v>886996598.58586323</v>
      </c>
      <c r="D31" s="612" t="s">
        <v>2425</v>
      </c>
    </row>
    <row r="32" spans="1:5">
      <c r="A32" s="612" t="s">
        <v>2262</v>
      </c>
      <c r="B32" s="469" t="s">
        <v>2263</v>
      </c>
      <c r="C32" s="618">
        <f>build1_heat_loss_yr/365.25/24/1000</f>
        <v>101.18601398424175</v>
      </c>
      <c r="D32" s="612" t="s">
        <v>2264</v>
      </c>
      <c r="E32" s="470" t="s">
        <v>3293</v>
      </c>
    </row>
    <row r="33" spans="1:4">
      <c r="A33" s="612" t="s">
        <v>2265</v>
      </c>
      <c r="B33" s="469" t="s">
        <v>2266</v>
      </c>
      <c r="C33" s="618">
        <f>ROUNDUP(build1_heat_mbh/max_heat_cl,0)</f>
        <v>1</v>
      </c>
    </row>
    <row r="34" spans="1:4">
      <c r="C34" s="618"/>
    </row>
    <row r="35" spans="1:4">
      <c r="A35" s="612" t="s">
        <v>2778</v>
      </c>
      <c r="B35" s="473"/>
      <c r="C35" s="614">
        <f>4*build2_side*Building_height*heat_DD*24/R_wall</f>
        <v>0</v>
      </c>
      <c r="D35" s="612" t="s">
        <v>2425</v>
      </c>
    </row>
    <row r="36" spans="1:4">
      <c r="A36" s="612" t="s">
        <v>2776</v>
      </c>
      <c r="B36" s="474"/>
      <c r="C36" s="614">
        <f>build2_fp*heat_DD*24/R_ceiling</f>
        <v>0</v>
      </c>
      <c r="D36" s="612" t="s">
        <v>2425</v>
      </c>
    </row>
    <row r="37" spans="1:4">
      <c r="A37" s="612" t="s">
        <v>2777</v>
      </c>
      <c r="C37" s="618">
        <f>build2_cfm*heat_viload</f>
        <v>0</v>
      </c>
      <c r="D37" s="612" t="s">
        <v>2425</v>
      </c>
    </row>
    <row r="38" spans="1:4">
      <c r="A38" s="612" t="s">
        <v>2267</v>
      </c>
      <c r="B38" s="469" t="s">
        <v>2268</v>
      </c>
      <c r="C38" s="618">
        <f>SUM(C35:C37)</f>
        <v>0</v>
      </c>
      <c r="D38" s="612" t="s">
        <v>2425</v>
      </c>
    </row>
    <row r="39" spans="1:4">
      <c r="A39" s="612" t="s">
        <v>2269</v>
      </c>
      <c r="B39" s="469" t="s">
        <v>2270</v>
      </c>
      <c r="C39" s="618">
        <f>build2_heat_loss_yr/365.25/24/1000</f>
        <v>0</v>
      </c>
      <c r="D39" s="612" t="s">
        <v>2264</v>
      </c>
    </row>
    <row r="40" spans="1:4">
      <c r="A40" s="612" t="s">
        <v>2271</v>
      </c>
      <c r="B40" s="469" t="s">
        <v>2272</v>
      </c>
      <c r="C40" s="618">
        <f>ROUNDUP(build2_heat_mbh/max_heat_cl,0)</f>
        <v>0</v>
      </c>
    </row>
    <row r="42" spans="1:4">
      <c r="A42" s="471" t="s">
        <v>2273</v>
      </c>
      <c r="C42" s="614"/>
    </row>
    <row r="43" spans="1:4">
      <c r="A43" s="612" t="s">
        <v>3416</v>
      </c>
      <c r="B43" s="469" t="s">
        <v>3414</v>
      </c>
      <c r="C43" s="622">
        <f>booster_pumps*pump_hp*(1-pump_efficiency)*0.7457</f>
        <v>4.129655870690188</v>
      </c>
      <c r="D43" s="612" t="s">
        <v>1364</v>
      </c>
    </row>
    <row r="44" spans="1:4">
      <c r="A44" s="612" t="s">
        <v>3417</v>
      </c>
      <c r="B44" s="469" t="s">
        <v>3415</v>
      </c>
      <c r="C44" s="621">
        <f>eloss_pumps*3415</f>
        <v>14102.774798406992</v>
      </c>
      <c r="D44" s="612" t="s">
        <v>609</v>
      </c>
    </row>
    <row r="45" spans="1:4">
      <c r="A45" s="612" t="s">
        <v>3418</v>
      </c>
      <c r="B45" s="469" t="s">
        <v>3419</v>
      </c>
      <c r="C45" s="622">
        <f>back_pump_hp*(1-pump_efficiency)*0.7457</f>
        <v>1.9522986508389268</v>
      </c>
      <c r="D45" s="612" t="s">
        <v>1364</v>
      </c>
    </row>
    <row r="46" spans="1:4">
      <c r="A46" s="612" t="s">
        <v>3420</v>
      </c>
      <c r="B46" s="469" t="s">
        <v>3421</v>
      </c>
      <c r="C46" s="621">
        <f>eloss_bw_pumps*3415</f>
        <v>6667.099892614935</v>
      </c>
      <c r="D46" s="612" t="s">
        <v>609</v>
      </c>
    </row>
    <row r="47" spans="1:4">
      <c r="A47" s="471"/>
      <c r="C47" s="614"/>
    </row>
    <row r="48" spans="1:4">
      <c r="A48" s="612" t="s">
        <v>1828</v>
      </c>
      <c r="B48" s="473"/>
      <c r="C48" s="620">
        <f>4*build1_side*Building_height*cool_DD*24/R_wall</f>
        <v>5512105.3365098881</v>
      </c>
      <c r="D48" s="612" t="s">
        <v>2425</v>
      </c>
    </row>
    <row r="49" spans="1:12">
      <c r="A49" s="612" t="s">
        <v>1829</v>
      </c>
      <c r="B49" s="474"/>
      <c r="C49" s="620">
        <f>build1_fp*cool_DD*24/R_ceiling</f>
        <v>2619771.4285714286</v>
      </c>
      <c r="D49" s="612" t="s">
        <v>2425</v>
      </c>
    </row>
    <row r="50" spans="1:12">
      <c r="A50" s="612" t="s">
        <v>1531</v>
      </c>
      <c r="C50" s="621">
        <f>build1_cfm*cool_viload</f>
        <v>264723242.85000002</v>
      </c>
      <c r="D50" s="612" t="s">
        <v>2425</v>
      </c>
    </row>
    <row r="51" spans="1:12">
      <c r="A51" s="612" t="s">
        <v>2274</v>
      </c>
      <c r="B51" s="469" t="s">
        <v>2275</v>
      </c>
      <c r="C51" s="621">
        <f>SUM(C48:C50)</f>
        <v>272855119.61508131</v>
      </c>
      <c r="D51" s="612" t="s">
        <v>2425</v>
      </c>
    </row>
    <row r="52" spans="1:12">
      <c r="A52" s="612" t="s">
        <v>2276</v>
      </c>
      <c r="B52" s="469" t="s">
        <v>2277</v>
      </c>
      <c r="C52" s="621">
        <f>build1_cooling_loss_yr/365.25/24</f>
        <v>31126.525167132251</v>
      </c>
      <c r="D52" s="612" t="s">
        <v>609</v>
      </c>
    </row>
    <row r="53" spans="1:12">
      <c r="C53" s="618"/>
    </row>
    <row r="54" spans="1:12" s="470" customFormat="1">
      <c r="A54" s="612" t="s">
        <v>1096</v>
      </c>
      <c r="B54" s="469" t="s">
        <v>1097</v>
      </c>
      <c r="C54" s="621">
        <f>build1_cooling_loss_hr+IF(fp_required&lt;add_2nd_building,waste_heat_pumps+waste_heat_bw_pumps,0)</f>
        <v>51896.399858154182</v>
      </c>
      <c r="D54" s="612" t="s">
        <v>609</v>
      </c>
      <c r="F54" s="612"/>
      <c r="G54" s="612"/>
      <c r="H54" s="612"/>
      <c r="I54" s="612"/>
      <c r="J54" s="612"/>
      <c r="K54" s="612"/>
      <c r="L54" s="612"/>
    </row>
    <row r="55" spans="1:12" s="470" customFormat="1">
      <c r="A55" s="612" t="s">
        <v>1098</v>
      </c>
      <c r="B55" s="469" t="s">
        <v>1099</v>
      </c>
      <c r="C55" s="621">
        <f>build1_cooling_req*365.25*24+IF(fp_required&lt;add_2nd_building,waste_heat_pumps*365.25*24+waste_heat_bw_pumps*back_hrs_yr,0)</f>
        <v>578838466.40379667</v>
      </c>
      <c r="D55" s="612" t="s">
        <v>2425</v>
      </c>
      <c r="F55" s="612"/>
      <c r="G55" s="612"/>
      <c r="H55" s="612"/>
      <c r="I55" s="612"/>
      <c r="J55" s="612"/>
      <c r="K55" s="612"/>
      <c r="L55" s="612"/>
    </row>
    <row r="56" spans="1:12" s="470" customFormat="1">
      <c r="A56" s="612" t="s">
        <v>1100</v>
      </c>
      <c r="B56" s="469" t="s">
        <v>1101</v>
      </c>
      <c r="C56" s="622">
        <f>build1_cooling_req/12000</f>
        <v>4.324699988179515</v>
      </c>
      <c r="D56" s="612" t="s">
        <v>3198</v>
      </c>
      <c r="E56" s="470" t="s">
        <v>3292</v>
      </c>
      <c r="F56" s="612"/>
      <c r="G56" s="612"/>
      <c r="H56" s="612"/>
      <c r="I56" s="612"/>
      <c r="J56" s="612"/>
      <c r="K56" s="612"/>
      <c r="L56" s="612"/>
    </row>
    <row r="57" spans="1:12" s="470" customFormat="1">
      <c r="A57" s="612" t="s">
        <v>1102</v>
      </c>
      <c r="B57" s="469" t="s">
        <v>1103</v>
      </c>
      <c r="C57" s="618">
        <f>ROUNDUP(build1_cooling_tons/max_cool_cl,0)</f>
        <v>1</v>
      </c>
      <c r="D57" s="612"/>
      <c r="F57" s="612"/>
      <c r="G57" s="612"/>
      <c r="H57" s="612"/>
      <c r="I57" s="612"/>
      <c r="J57" s="612"/>
      <c r="K57" s="612"/>
      <c r="L57" s="612"/>
    </row>
    <row r="58" spans="1:12" s="470" customFormat="1">
      <c r="A58" s="612"/>
      <c r="B58" s="469"/>
      <c r="C58" s="618"/>
      <c r="D58" s="612"/>
      <c r="F58" s="612"/>
      <c r="G58" s="612"/>
      <c r="H58" s="612"/>
      <c r="I58" s="612"/>
      <c r="J58" s="612"/>
      <c r="K58" s="612"/>
      <c r="L58" s="612"/>
    </row>
    <row r="59" spans="1:12" s="470" customFormat="1">
      <c r="A59" s="612" t="s">
        <v>1532</v>
      </c>
      <c r="B59" s="473"/>
      <c r="C59" s="614">
        <f>4*build2_side*Building_height*cool_DD*24/R_wall</f>
        <v>0</v>
      </c>
      <c r="D59" s="612" t="s">
        <v>2425</v>
      </c>
      <c r="F59" s="612"/>
      <c r="G59" s="612"/>
      <c r="H59" s="612"/>
      <c r="I59" s="612"/>
      <c r="J59" s="612"/>
      <c r="K59" s="612"/>
      <c r="L59" s="612"/>
    </row>
    <row r="60" spans="1:12" s="470" customFormat="1">
      <c r="A60" s="612" t="s">
        <v>1533</v>
      </c>
      <c r="B60" s="474"/>
      <c r="C60" s="614">
        <f>build2_fp*cool_DD*24/R_ceiling</f>
        <v>0</v>
      </c>
      <c r="D60" s="612" t="s">
        <v>2425</v>
      </c>
      <c r="F60" s="612"/>
      <c r="G60" s="612"/>
      <c r="H60" s="612"/>
      <c r="I60" s="612"/>
      <c r="J60" s="612"/>
      <c r="K60" s="612"/>
      <c r="L60" s="612"/>
    </row>
    <row r="61" spans="1:12" s="470" customFormat="1">
      <c r="A61" s="612" t="s">
        <v>1534</v>
      </c>
      <c r="B61" s="469"/>
      <c r="C61" s="618">
        <f>build2_cfm*cool_viload</f>
        <v>0</v>
      </c>
      <c r="D61" s="612" t="s">
        <v>2425</v>
      </c>
      <c r="F61" s="612"/>
      <c r="G61" s="612"/>
      <c r="H61" s="612"/>
      <c r="I61" s="612"/>
      <c r="J61" s="612"/>
      <c r="K61" s="612"/>
      <c r="L61" s="612"/>
    </row>
    <row r="62" spans="1:12" s="470" customFormat="1">
      <c r="A62" s="612" t="s">
        <v>1104</v>
      </c>
      <c r="B62" s="469" t="s">
        <v>1105</v>
      </c>
      <c r="C62" s="618">
        <f>SUM(C59:C61)</f>
        <v>0</v>
      </c>
      <c r="D62" s="612" t="s">
        <v>2425</v>
      </c>
      <c r="F62" s="612"/>
      <c r="G62" s="612"/>
      <c r="H62" s="612"/>
      <c r="I62" s="612"/>
      <c r="J62" s="612"/>
      <c r="K62" s="612"/>
      <c r="L62" s="612"/>
    </row>
    <row r="63" spans="1:12" s="470" customFormat="1">
      <c r="A63" s="612" t="s">
        <v>1106</v>
      </c>
      <c r="B63" s="469" t="s">
        <v>1107</v>
      </c>
      <c r="C63" s="618">
        <f>build2_cooling_loss_yr/365.25/24</f>
        <v>0</v>
      </c>
      <c r="D63" s="612" t="s">
        <v>609</v>
      </c>
      <c r="F63" s="612"/>
      <c r="G63" s="612"/>
      <c r="H63" s="612"/>
      <c r="I63" s="612"/>
      <c r="J63" s="612"/>
      <c r="K63" s="612"/>
      <c r="L63" s="612"/>
    </row>
    <row r="64" spans="1:12" s="470" customFormat="1">
      <c r="A64" s="612"/>
      <c r="B64" s="469"/>
      <c r="C64" s="618"/>
      <c r="D64" s="612"/>
      <c r="F64" s="612"/>
      <c r="G64" s="612"/>
      <c r="H64" s="612"/>
      <c r="I64" s="612"/>
      <c r="J64" s="612"/>
      <c r="K64" s="612"/>
      <c r="L64" s="612"/>
    </row>
    <row r="65" spans="1:12">
      <c r="A65" s="612" t="s">
        <v>1108</v>
      </c>
      <c r="B65" s="469" t="s">
        <v>1109</v>
      </c>
      <c r="C65" s="618">
        <f>build2_cooling_loss_hr+IF(fp_required&lt;add_2nd_building,0,waste_heat_pumps+waste_heat_bw_pumps)</f>
        <v>0</v>
      </c>
      <c r="D65" s="612" t="s">
        <v>609</v>
      </c>
    </row>
    <row r="66" spans="1:12">
      <c r="A66" s="612" t="s">
        <v>1110</v>
      </c>
      <c r="B66" s="469" t="s">
        <v>1111</v>
      </c>
      <c r="C66" s="618">
        <f>build2_cooling_req*365.25*24+IF(fp_required&lt;add_2nd_building,0,waste_heat_pumps*365.25*24+waste_heat_bw_pumps*back_hrs_yr)</f>
        <v>0</v>
      </c>
      <c r="D66" s="612" t="s">
        <v>2425</v>
      </c>
    </row>
    <row r="67" spans="1:12">
      <c r="A67" s="612" t="s">
        <v>1112</v>
      </c>
      <c r="B67" s="469" t="s">
        <v>1113</v>
      </c>
      <c r="C67" s="622">
        <f>build2_cooling_req/12000</f>
        <v>0</v>
      </c>
      <c r="D67" s="612" t="s">
        <v>3198</v>
      </c>
      <c r="E67" s="470" t="s">
        <v>3292</v>
      </c>
    </row>
    <row r="68" spans="1:12">
      <c r="A68" s="612" t="s">
        <v>1114</v>
      </c>
      <c r="B68" s="469" t="s">
        <v>1115</v>
      </c>
      <c r="C68" s="618">
        <f>ROUNDUP(build2_cooling_tons/max_cool_cl,0)</f>
        <v>0</v>
      </c>
    </row>
    <row r="70" spans="1:12">
      <c r="A70" s="471" t="s">
        <v>1116</v>
      </c>
      <c r="F70" s="470"/>
    </row>
    <row r="71" spans="1:12">
      <c r="A71" s="612" t="s">
        <v>1117</v>
      </c>
      <c r="B71" s="469" t="s">
        <v>1118</v>
      </c>
      <c r="C71" s="623">
        <f>MAX(build1_heat_zones, build1_cool_zones)</f>
        <v>1</v>
      </c>
    </row>
    <row r="72" spans="1:12">
      <c r="A72" s="612" t="s">
        <v>1119</v>
      </c>
      <c r="B72" s="469" t="s">
        <v>1120</v>
      </c>
      <c r="C72" s="623">
        <f>MAX(build2_heat_zones, build2_cool_zones)</f>
        <v>0</v>
      </c>
    </row>
    <row r="73" spans="1:12">
      <c r="C73" s="623"/>
    </row>
    <row r="74" spans="1:12">
      <c r="A74" s="612" t="s">
        <v>1121</v>
      </c>
      <c r="B74" s="469" t="s">
        <v>1122</v>
      </c>
      <c r="C74" s="621" t="b">
        <f>AND(build1_heat_mbh&lt;=hp_max_heat_cl,build1_cooling_tons&lt;=hp_max_cool_cl)</f>
        <v>1</v>
      </c>
      <c r="E74" s="470" t="s">
        <v>1123</v>
      </c>
    </row>
    <row r="75" spans="1:12">
      <c r="A75" s="612" t="s">
        <v>1124</v>
      </c>
      <c r="B75" s="469" t="s">
        <v>1125</v>
      </c>
      <c r="C75" s="621" t="b">
        <f>AND(build2_heat_mbh&lt;=hp_max_heat_cl,build2_cooling_tons&lt;=hp_max_cool_cl)</f>
        <v>1</v>
      </c>
    </row>
    <row r="76" spans="1:12">
      <c r="C76" s="621"/>
    </row>
    <row r="77" spans="1:12">
      <c r="A77" s="469" t="s">
        <v>388</v>
      </c>
      <c r="B77" s="469" t="s">
        <v>1126</v>
      </c>
      <c r="F77" s="470"/>
    </row>
    <row r="78" spans="1:12">
      <c r="A78" s="471" t="s">
        <v>1127</v>
      </c>
      <c r="B78" s="471" t="s">
        <v>1128</v>
      </c>
      <c r="C78" s="471" t="s">
        <v>1129</v>
      </c>
      <c r="D78" s="471" t="s">
        <v>1130</v>
      </c>
      <c r="E78" s="471" t="s">
        <v>1131</v>
      </c>
      <c r="F78" s="471" t="s">
        <v>1132</v>
      </c>
      <c r="G78" s="471" t="s">
        <v>1133</v>
      </c>
      <c r="H78" s="471"/>
      <c r="I78" s="471" t="s">
        <v>1134</v>
      </c>
      <c r="J78" s="471"/>
      <c r="K78" s="471" t="s">
        <v>1135</v>
      </c>
      <c r="L78" s="471" t="s">
        <v>1136</v>
      </c>
    </row>
    <row r="79" spans="1:12">
      <c r="A79" s="612" t="s">
        <v>1662</v>
      </c>
      <c r="B79" s="613">
        <f>build1_heat_mbh/build1_zones</f>
        <v>101.18601398424175</v>
      </c>
      <c r="C79" s="613">
        <f>IF(curve=1,B79,VLOOKUP(B79,hvac_elec_cost_cl,2))</f>
        <v>101.18601398424175</v>
      </c>
      <c r="D79" s="624">
        <f>IF(curve=1,hvac_elec_eq_1,VLOOKUP(B79,hvac_elec_cost_cl,3))</f>
        <v>39933.474612588798</v>
      </c>
      <c r="E79" s="613">
        <f>VLOOKUP(B79,hvac_elec_cost_cl,IF(ss_cat="large",4,5))</f>
        <v>25</v>
      </c>
      <c r="F79" s="624">
        <f>IF(D79="contact vendor","n/a",-PMT(Discount_rate,E79,D79)*build1_zones)</f>
        <v>3426.7121109245645</v>
      </c>
      <c r="G79" s="625">
        <f>build1_heat_loss_yr/3412000/resist_eff</f>
        <v>265.26921746353304</v>
      </c>
      <c r="H79" s="612" t="s">
        <v>2432</v>
      </c>
      <c r="I79" s="626">
        <f>energy_cost_cl</f>
        <v>7.3999999999999996E-2</v>
      </c>
      <c r="J79" s="627" t="s">
        <v>675</v>
      </c>
      <c r="K79" s="628">
        <f>I79*G79*1000</f>
        <v>19629.922092301444</v>
      </c>
      <c r="L79" s="629">
        <f t="shared" ref="L79:L84" si="0">IF(OR(F79="n/a",K79="n/a"),"n/a",F79+K79)</f>
        <v>23056.634203226007</v>
      </c>
    </row>
    <row r="80" spans="1:12">
      <c r="A80" s="612" t="s">
        <v>611</v>
      </c>
      <c r="B80" s="1068" t="s">
        <v>1137</v>
      </c>
      <c r="C80" s="1068"/>
      <c r="D80" s="1068"/>
      <c r="E80" s="1068"/>
      <c r="F80" s="613" t="s">
        <v>1138</v>
      </c>
      <c r="G80" s="625">
        <f>IF(hp_ok_1,build1_heat_loss_yr/3412000/COP,"n/a")</f>
        <v>78.776919125534064</v>
      </c>
      <c r="H80" s="612" t="s">
        <v>2432</v>
      </c>
      <c r="I80" s="626">
        <f>energy_cost_cl</f>
        <v>7.3999999999999996E-2</v>
      </c>
      <c r="J80" s="627" t="s">
        <v>675</v>
      </c>
      <c r="K80" s="628">
        <f>IF(G80="n/a","n/a",I80*G80*1000)</f>
        <v>5829.4920152895211</v>
      </c>
      <c r="L80" s="629" t="str">
        <f t="shared" si="0"/>
        <v>n/a</v>
      </c>
    </row>
    <row r="81" spans="1:12">
      <c r="A81" s="612" t="s">
        <v>725</v>
      </c>
      <c r="B81" s="613">
        <f>build1_heat_mbh/build1_zones</f>
        <v>101.18601398424175</v>
      </c>
      <c r="C81" s="613">
        <f>IF(curve=1,B81,VLOOKUP(B81,hvac_gas_non_cost_cl,2))</f>
        <v>101.18601398424175</v>
      </c>
      <c r="D81" s="624">
        <f>IF(curve=1,hvac_gas_non_eq_1,VLOOKUP(B81,hvac_gas_non_cost_cl,3))</f>
        <v>28313.868145051252</v>
      </c>
      <c r="E81" s="613">
        <f>VLOOKUP(B81,hvac_gas_non_cost_cl,IF(ss_cat="large",4,5))</f>
        <v>25</v>
      </c>
      <c r="F81" s="624">
        <f>IF(D81="contact vendor","n/a",-PMT(Discount_rate,E81,D81)*build1_zones)</f>
        <v>2429.627670044576</v>
      </c>
      <c r="G81" s="618">
        <f>build1_heat_loss_yr/100000/gas_non_eff</f>
        <v>10435.254101010156</v>
      </c>
      <c r="H81" s="612" t="s">
        <v>298</v>
      </c>
      <c r="I81" s="630">
        <f>gas_cost_cl</f>
        <v>0.17399999999999999</v>
      </c>
      <c r="J81" s="631" t="s">
        <v>2817</v>
      </c>
      <c r="K81" s="628">
        <f>I81*G81</f>
        <v>1815.7342135757669</v>
      </c>
      <c r="L81" s="629">
        <f t="shared" si="0"/>
        <v>4245.3618836203432</v>
      </c>
    </row>
    <row r="82" spans="1:12">
      <c r="A82" s="612" t="s">
        <v>726</v>
      </c>
      <c r="B82" s="613">
        <f>build1_heat_mbh/build1_zones</f>
        <v>101.18601398424175</v>
      </c>
      <c r="C82" s="613">
        <f>IF(curve=1,B82,VLOOKUP(B82,hvac_gas_cost_cl,2))</f>
        <v>101.18601398424175</v>
      </c>
      <c r="D82" s="624">
        <f>IF(curve=1,hvac_gas_eq_1,VLOOKUP(B82,hvac_gas_cost_cl,3))</f>
        <v>28313.868145051252</v>
      </c>
      <c r="E82" s="613">
        <f>VLOOKUP(B82,hvac_gas_cost_cl,IF(ss_cat="large",4,5))</f>
        <v>25</v>
      </c>
      <c r="F82" s="624">
        <f>IF(D82="contact vendor","n/a",-PMT(Discount_rate,E82,D82)*build1_zones)</f>
        <v>2429.627670044576</v>
      </c>
      <c r="G82" s="618">
        <f>build1_heat_loss_yr/100000/gas_eff</f>
        <v>9855.5177620651466</v>
      </c>
      <c r="H82" s="612" t="s">
        <v>298</v>
      </c>
      <c r="I82" s="630">
        <f>gas_cost_cl</f>
        <v>0.17399999999999999</v>
      </c>
      <c r="J82" s="631" t="s">
        <v>2817</v>
      </c>
      <c r="K82" s="628">
        <f>I82*G82</f>
        <v>1714.8600905993353</v>
      </c>
      <c r="L82" s="629">
        <f t="shared" si="0"/>
        <v>4144.4877606439113</v>
      </c>
    </row>
    <row r="83" spans="1:12">
      <c r="A83" s="612" t="s">
        <v>1297</v>
      </c>
      <c r="B83" s="613">
        <f>build1_heat_mbh/build1_zones</f>
        <v>101.18601398424175</v>
      </c>
      <c r="C83" s="613">
        <f>IF(curve=1,B83,VLOOKUP(B83,hvac_oil_std_cost_cl,2))</f>
        <v>101.18601398424175</v>
      </c>
      <c r="D83" s="624">
        <f>IF(curve=1,hvac_oil_std_eq_1,VLOOKUP(B83,hvac_oil_std_cost_cl,3))</f>
        <v>31873.565370149812</v>
      </c>
      <c r="E83" s="613">
        <f>VLOOKUP(B83,hvac_oil_std_cost_cl,IF(ss_cat="large",4,5))</f>
        <v>25</v>
      </c>
      <c r="F83" s="624">
        <f>IF(D83="contact vendor","n/a",-PMT(Discount_rate,E83,D83)*build1_zones)</f>
        <v>2735.0871300792519</v>
      </c>
      <c r="G83" s="618">
        <f>build1_heat_loss_yr/diesel_heat_content/diesel_non_eff</f>
        <v>7782.0371871018006</v>
      </c>
      <c r="H83" s="612" t="s">
        <v>608</v>
      </c>
      <c r="I83" s="630">
        <f>diesel_cost_cl</f>
        <v>3.8295007720020586</v>
      </c>
      <c r="J83" s="631" t="s">
        <v>2818</v>
      </c>
      <c r="K83" s="628">
        <f>I83*G83</f>
        <v>29801.317415755075</v>
      </c>
      <c r="L83" s="629">
        <f t="shared" si="0"/>
        <v>32536.404545834328</v>
      </c>
    </row>
    <row r="84" spans="1:12">
      <c r="A84" s="612" t="s">
        <v>1298</v>
      </c>
      <c r="B84" s="613">
        <f>build1_heat_mbh/build1_zones</f>
        <v>101.18601398424175</v>
      </c>
      <c r="C84" s="613">
        <f>IF(curve=1,B84,VLOOKUP(B84,hvac_oil_mid_cost_cl,2))</f>
        <v>101.18601398424175</v>
      </c>
      <c r="D84" s="624">
        <f>IF(curve=1,hvac_oil_mid_eq_1,VLOOKUP(B84,hvac_oil_mid_cost_cl,3))</f>
        <v>31873.565370149812</v>
      </c>
      <c r="E84" s="613">
        <f>VLOOKUP(B84,hvac_oil_mid_cost_cl,IF(ss_cat="large",4,5))</f>
        <v>25</v>
      </c>
      <c r="F84" s="624">
        <f>IF(D84="contact vendor","n/a",-PMT(Discount_rate,E84,D84)*build1_zones)</f>
        <v>2735.0871300792519</v>
      </c>
      <c r="G84" s="618">
        <f>build1_heat_loss_yr/diesel_heat_content/diesel_eff</f>
        <v>7090.3005482483068</v>
      </c>
      <c r="H84" s="612" t="s">
        <v>608</v>
      </c>
      <c r="I84" s="630">
        <f>diesel_cost_cl</f>
        <v>3.8295007720020586</v>
      </c>
      <c r="J84" s="631" t="s">
        <v>2818</v>
      </c>
      <c r="K84" s="628">
        <f>I84*G84</f>
        <v>27152.311423243511</v>
      </c>
      <c r="L84" s="629">
        <f t="shared" si="0"/>
        <v>29887.398553322764</v>
      </c>
    </row>
    <row r="85" spans="1:12">
      <c r="F85" s="470"/>
    </row>
    <row r="86" spans="1:12">
      <c r="A86" s="469" t="s">
        <v>389</v>
      </c>
      <c r="B86" s="469" t="s">
        <v>1139</v>
      </c>
      <c r="F86" s="470"/>
    </row>
    <row r="87" spans="1:12">
      <c r="A87" s="471" t="s">
        <v>1127</v>
      </c>
      <c r="B87" s="471" t="s">
        <v>1128</v>
      </c>
      <c r="C87" s="471" t="s">
        <v>1129</v>
      </c>
      <c r="D87" s="471" t="s">
        <v>1130</v>
      </c>
      <c r="E87" s="471" t="s">
        <v>1131</v>
      </c>
      <c r="F87" s="471" t="s">
        <v>1132</v>
      </c>
      <c r="G87" s="471" t="s">
        <v>1133</v>
      </c>
      <c r="H87" s="471"/>
      <c r="I87" s="471" t="s">
        <v>1134</v>
      </c>
      <c r="J87" s="471"/>
      <c r="K87" s="471" t="s">
        <v>1135</v>
      </c>
      <c r="L87" s="471" t="s">
        <v>1136</v>
      </c>
    </row>
    <row r="88" spans="1:12">
      <c r="A88" s="612" t="s">
        <v>1662</v>
      </c>
      <c r="B88" s="613">
        <f>IF(build2_zones=0,0,build2_heat_mbh/build2_zones)</f>
        <v>0</v>
      </c>
      <c r="C88" s="613">
        <f>IF(curve=1,B88,VLOOKUP(B88,hvac_elec_cost_cl,2))</f>
        <v>0</v>
      </c>
      <c r="D88" s="624">
        <f>IF(curve=1,hvac_elec_eq_2,VLOOKUP(B88,hvac_elec_cost_cl,3))</f>
        <v>0</v>
      </c>
      <c r="E88" s="613">
        <f>VLOOKUP(B88,hvac_elec_cost_cl,IF(ss_cat="large",4,5))</f>
        <v>25</v>
      </c>
      <c r="F88" s="624">
        <f>IF(D88="contact vendor","n/a",-PMT(Discount_rate,E88,D88)*build2_zones)</f>
        <v>0</v>
      </c>
      <c r="G88" s="625">
        <f>build2_heat_loss_yr/3412000/resist_eff</f>
        <v>0</v>
      </c>
      <c r="H88" s="612" t="s">
        <v>2432</v>
      </c>
      <c r="I88" s="626">
        <f>energy_cost_cl</f>
        <v>7.3999999999999996E-2</v>
      </c>
      <c r="J88" s="627" t="s">
        <v>675</v>
      </c>
      <c r="K88" s="628">
        <f>I88*G88*1000</f>
        <v>0</v>
      </c>
      <c r="L88" s="629">
        <f>IF(F88="n/a","n/a",F88+K88)</f>
        <v>0</v>
      </c>
    </row>
    <row r="89" spans="1:12">
      <c r="A89" s="612" t="s">
        <v>611</v>
      </c>
      <c r="B89" s="1068" t="s">
        <v>1137</v>
      </c>
      <c r="C89" s="1068"/>
      <c r="D89" s="1068"/>
      <c r="E89" s="1068"/>
      <c r="F89" s="613" t="s">
        <v>1138</v>
      </c>
      <c r="G89" s="625">
        <f>IF(hp_ok_2,build2_heat_loss_yr/3412000/COP,"n/a")</f>
        <v>0</v>
      </c>
      <c r="H89" s="612" t="s">
        <v>2432</v>
      </c>
      <c r="I89" s="626">
        <f>energy_cost_cl</f>
        <v>7.3999999999999996E-2</v>
      </c>
      <c r="J89" s="627" t="s">
        <v>675</v>
      </c>
      <c r="K89" s="628">
        <f>IF(G89="n/a","n/a",I89*G89*1000)</f>
        <v>0</v>
      </c>
      <c r="L89" s="629" t="str">
        <f>IF(OR(F89="n/a",K89="n/a"),"n/a",F89+K89)</f>
        <v>n/a</v>
      </c>
    </row>
    <row r="90" spans="1:12">
      <c r="A90" s="612" t="s">
        <v>725</v>
      </c>
      <c r="B90" s="613">
        <f>IF(build2_zones=0,0,build2_heat_mbh/build2_zones)</f>
        <v>0</v>
      </c>
      <c r="C90" s="613">
        <f>IF(curve=1,B90,VLOOKUP(B90,hvac_gas_non_cost_cl,2))</f>
        <v>0</v>
      </c>
      <c r="D90" s="624">
        <f>IF(curve=1,hvac_gas_non_eq_2,VLOOKUP(B90,hvac_gas_non_cost_cl,3))</f>
        <v>0</v>
      </c>
      <c r="E90" s="613">
        <f>VLOOKUP(B90,hvac_gas_non_cost_cl,IF(ss_cat="large",4,5))</f>
        <v>25</v>
      </c>
      <c r="F90" s="624">
        <f>IF(D90="contact vendor","n/a",-PMT(Discount_rate,E90,D90)*build2_zones)</f>
        <v>0</v>
      </c>
      <c r="G90" s="618">
        <f>build2_heat_loss_yr/100000/gas_non_eff</f>
        <v>0</v>
      </c>
      <c r="H90" s="612" t="s">
        <v>298</v>
      </c>
      <c r="I90" s="630">
        <f>gas_cost_cl</f>
        <v>0.17399999999999999</v>
      </c>
      <c r="J90" s="631" t="s">
        <v>2817</v>
      </c>
      <c r="K90" s="628">
        <f>I90*G90</f>
        <v>0</v>
      </c>
      <c r="L90" s="629">
        <f>IF(F90="n/a","n/a",F90+K90)</f>
        <v>0</v>
      </c>
    </row>
    <row r="91" spans="1:12">
      <c r="A91" s="612" t="s">
        <v>726</v>
      </c>
      <c r="B91" s="613">
        <f>IF(build2_zones=0,0,build2_heat_mbh/build2_zones)</f>
        <v>0</v>
      </c>
      <c r="C91" s="613">
        <f>IF(curve=1,B91,VLOOKUP(B91,hvac_gas_cost_cl,2))</f>
        <v>0</v>
      </c>
      <c r="D91" s="624">
        <f>IF(curve=1,hvac_gas_eq_2,VLOOKUP(B91,hvac_gas_cost_cl,3))</f>
        <v>0</v>
      </c>
      <c r="E91" s="613">
        <f>VLOOKUP(B91,hvac_gas_cost_cl,IF(ss_cat="large",4,5))</f>
        <v>25</v>
      </c>
      <c r="F91" s="624">
        <f>IF(D91="contact vendor","n/a",-PMT(Discount_rate,E91,D91)*build2_zones)</f>
        <v>0</v>
      </c>
      <c r="G91" s="618">
        <f>build2_heat_loss_yr/100000/gas_eff</f>
        <v>0</v>
      </c>
      <c r="H91" s="612" t="s">
        <v>298</v>
      </c>
      <c r="I91" s="630">
        <f>gas_cost_cl</f>
        <v>0.17399999999999999</v>
      </c>
      <c r="J91" s="631" t="s">
        <v>2817</v>
      </c>
      <c r="K91" s="628">
        <f>I91*G91</f>
        <v>0</v>
      </c>
      <c r="L91" s="629">
        <f>IF(F91="n/a","n/a",F91+K91)</f>
        <v>0</v>
      </c>
    </row>
    <row r="92" spans="1:12">
      <c r="A92" s="612" t="s">
        <v>1297</v>
      </c>
      <c r="B92" s="613">
        <f>IF(build2_zones=0,0,build2_heat_mbh/build2_zones)</f>
        <v>0</v>
      </c>
      <c r="C92" s="613">
        <f>IF(curve=1,B92,VLOOKUP(B92,hvac_oil_std_cost_cl,2))</f>
        <v>0</v>
      </c>
      <c r="D92" s="624">
        <f>IF(curve=1,hvac_oil_std_eq_2,VLOOKUP(B92,hvac_oil_std_cost_cl,3))</f>
        <v>0</v>
      </c>
      <c r="E92" s="613">
        <f>VLOOKUP(B92,hvac_oil_std_cost_cl,IF(ss_cat="large",4,5))</f>
        <v>25</v>
      </c>
      <c r="F92" s="624">
        <f>IF(D92="contact vendor","n/a",-PMT(Discount_rate,E92,D92)*build2_zones)</f>
        <v>0</v>
      </c>
      <c r="G92" s="618">
        <f>build2_heat_loss_yr/diesel_heat_content/diesel_non_eff</f>
        <v>0</v>
      </c>
      <c r="H92" s="612" t="s">
        <v>608</v>
      </c>
      <c r="I92" s="630">
        <f>diesel_cost_cl</f>
        <v>3.8295007720020586</v>
      </c>
      <c r="J92" s="631" t="s">
        <v>2818</v>
      </c>
      <c r="K92" s="628">
        <f>I92*G92</f>
        <v>0</v>
      </c>
      <c r="L92" s="629">
        <f>IF(F92="n/a","n/a",F92+K92)</f>
        <v>0</v>
      </c>
    </row>
    <row r="93" spans="1:12">
      <c r="A93" s="612" t="s">
        <v>1298</v>
      </c>
      <c r="B93" s="613">
        <f>IF(build2_zones=0,0,build2_heat_mbh/build2_zones)</f>
        <v>0</v>
      </c>
      <c r="C93" s="613">
        <f>IF(curve=1,B93,VLOOKUP(B93,hvac_oil_mid_cost_cl,2))</f>
        <v>0</v>
      </c>
      <c r="D93" s="624">
        <f>IF(curve=1,hvac_oil_mid_eq_2,VLOOKUP(B93,hvac_oil_mid_cost_cl,3))</f>
        <v>0</v>
      </c>
      <c r="E93" s="613">
        <f>VLOOKUP(B93,hvac_oil_mid_cost_cl,IF(ss_cat="large",4,5))</f>
        <v>25</v>
      </c>
      <c r="F93" s="624">
        <f>IF(D93="contact vendor","n/a",-PMT(Discount_rate,E93,D93)*build2_zones)</f>
        <v>0</v>
      </c>
      <c r="G93" s="618">
        <f>build2_heat_loss_yr/diesel_heat_content/diesel_eff</f>
        <v>0</v>
      </c>
      <c r="H93" s="612" t="s">
        <v>608</v>
      </c>
      <c r="I93" s="630">
        <f>diesel_cost_cl</f>
        <v>3.8295007720020586</v>
      </c>
      <c r="J93" s="631" t="s">
        <v>2818</v>
      </c>
      <c r="K93" s="628">
        <f>I93*G93</f>
        <v>0</v>
      </c>
      <c r="L93" s="629">
        <f>IF(F93="n/a","n/a",F93+K93)</f>
        <v>0</v>
      </c>
    </row>
    <row r="95" spans="1:12">
      <c r="A95" s="471" t="s">
        <v>1140</v>
      </c>
      <c r="F95" s="470"/>
    </row>
    <row r="96" spans="1:12">
      <c r="A96" s="469" t="s">
        <v>388</v>
      </c>
      <c r="B96" s="469" t="s">
        <v>1141</v>
      </c>
      <c r="F96" s="470"/>
    </row>
    <row r="97" spans="1:12">
      <c r="A97" s="471" t="s">
        <v>1127</v>
      </c>
      <c r="B97" s="471" t="s">
        <v>1142</v>
      </c>
      <c r="C97" s="471" t="s">
        <v>1143</v>
      </c>
      <c r="D97" s="471" t="s">
        <v>1130</v>
      </c>
      <c r="E97" s="471" t="s">
        <v>1131</v>
      </c>
      <c r="F97" s="471" t="s">
        <v>1132</v>
      </c>
      <c r="G97" s="471" t="s">
        <v>1133</v>
      </c>
      <c r="H97" s="471"/>
      <c r="I97" s="471" t="s">
        <v>1134</v>
      </c>
      <c r="J97" s="471"/>
      <c r="K97" s="471" t="s">
        <v>1135</v>
      </c>
      <c r="L97" s="471" t="s">
        <v>1136</v>
      </c>
    </row>
    <row r="98" spans="1:12">
      <c r="A98" s="612" t="s">
        <v>1144</v>
      </c>
      <c r="B98" s="632">
        <f>build1_cooling_tons/build1_zones</f>
        <v>4.324699988179515</v>
      </c>
      <c r="C98" s="632">
        <f>IF(curve=1,B98,VLOOKUP(B98,hvac_ac_cost_cl,2))</f>
        <v>4.324699988179515</v>
      </c>
      <c r="D98" s="624">
        <f>IF(curve=1,hvac_ac_eq_1,VLOOKUP(B98,hvac_ac_cost_cl,3))</f>
        <v>12797.940858481534</v>
      </c>
      <c r="E98" s="613">
        <f>VLOOKUP(B98,hvac_ac_cost_cl,IF(ss_cat="large",4,5))</f>
        <v>25</v>
      </c>
      <c r="F98" s="624">
        <f>IF(D98="contact vendor","n/a",-PMT(Discount_rate,E98,D98)*build1_zones)</f>
        <v>1098.1979244257898</v>
      </c>
      <c r="G98" s="625">
        <f>build1_cooling_yr/EER/10^6</f>
        <v>49.054107322355648</v>
      </c>
      <c r="H98" s="612" t="s">
        <v>2432</v>
      </c>
      <c r="I98" s="626">
        <f>energy_cost_cl</f>
        <v>7.3999999999999996E-2</v>
      </c>
      <c r="J98" s="627" t="s">
        <v>675</v>
      </c>
      <c r="K98" s="628">
        <f>I98*G98*1000</f>
        <v>3630.0039418543179</v>
      </c>
      <c r="L98" s="629">
        <f>IF(F98="n/a","n/a",F98+K98)</f>
        <v>4728.2018662801074</v>
      </c>
    </row>
    <row r="99" spans="1:12">
      <c r="A99" s="612" t="s">
        <v>611</v>
      </c>
      <c r="B99" s="632">
        <f>build1_cooling_tons/build1_zones</f>
        <v>4.324699988179515</v>
      </c>
      <c r="C99" s="632">
        <f>IF(hp_ok_1,IF(curve=1,B99,VLOOKUP(B99,hvac_hp_cost_cl,2)),"n/a")</f>
        <v>4.324699988179515</v>
      </c>
      <c r="D99" s="624">
        <f>IF(C99="n/a","n/a",IF(curve=1,hvac_hp_eq_1,VLOOKUP(B99,hvac_hp_cost_cl,3)))</f>
        <v>7706.3565966399337</v>
      </c>
      <c r="E99" s="613">
        <f>IF(C99="n/a","n/a",VLOOKUP(B99,hvac_hp_cost_cl,IF(ss_cat="large",4,5)))</f>
        <v>25</v>
      </c>
      <c r="F99" s="624">
        <f>IF(OR(D99="contact vendor",D99="n/a"),"n/a",-PMT(Discount_rate,E99,D99)*build1_zones)</f>
        <v>661.28644544456108</v>
      </c>
      <c r="G99" s="625">
        <f>IF(C99="n/a","n/a",build1_cooling_yr/hp_EER/10^6)</f>
        <v>49.054107322355648</v>
      </c>
      <c r="H99" s="612" t="s">
        <v>2432</v>
      </c>
      <c r="I99" s="626">
        <f>energy_cost_cl</f>
        <v>7.3999999999999996E-2</v>
      </c>
      <c r="J99" s="627" t="s">
        <v>675</v>
      </c>
      <c r="K99" s="628">
        <f>IF(C99="n/a","n/a",I99*G99*1000)</f>
        <v>3630.0039418543179</v>
      </c>
      <c r="L99" s="629">
        <f>IF(F99="n/a","n/a",F99+K99)</f>
        <v>4291.2903872988791</v>
      </c>
    </row>
    <row r="101" spans="1:12">
      <c r="A101" s="469" t="s">
        <v>389</v>
      </c>
      <c r="B101" s="469" t="s">
        <v>1145</v>
      </c>
    </row>
    <row r="102" spans="1:12">
      <c r="A102" s="471" t="s">
        <v>1127</v>
      </c>
      <c r="B102" s="471" t="s">
        <v>1142</v>
      </c>
      <c r="C102" s="471" t="s">
        <v>1143</v>
      </c>
      <c r="D102" s="471" t="s">
        <v>1130</v>
      </c>
      <c r="E102" s="471" t="s">
        <v>1131</v>
      </c>
      <c r="F102" s="471" t="s">
        <v>1132</v>
      </c>
      <c r="G102" s="471" t="s">
        <v>1133</v>
      </c>
      <c r="H102" s="471"/>
      <c r="I102" s="471" t="s">
        <v>1134</v>
      </c>
      <c r="J102" s="471"/>
      <c r="K102" s="471" t="s">
        <v>1135</v>
      </c>
      <c r="L102" s="471" t="s">
        <v>1136</v>
      </c>
    </row>
    <row r="103" spans="1:12">
      <c r="A103" s="612" t="s">
        <v>1144</v>
      </c>
      <c r="B103" s="632">
        <f>IF(build2_zones=0,0,build2_cooling_tons/build2_zones)</f>
        <v>0</v>
      </c>
      <c r="C103" s="632">
        <f>IF(curve=1,B103,VLOOKUP(B103,hvac_ac_cost_cl,2))</f>
        <v>0</v>
      </c>
      <c r="D103" s="624">
        <f>IF(curve=1,hvac_ac_eq_2,VLOOKUP(B103,hvac_ac_cost_cl,3))</f>
        <v>0</v>
      </c>
      <c r="E103" s="613">
        <f>VLOOKUP(B103,hvac_ac_cost_cl,IF(ss_cat="large",4,5))</f>
        <v>25</v>
      </c>
      <c r="F103" s="624">
        <f>IF(D103="contact vendor","n/a",-PMT(Discount_rate,E103,D103)*build2_zones)</f>
        <v>0</v>
      </c>
      <c r="G103" s="625">
        <f>build2_cooling_yr/EER/10^6</f>
        <v>0</v>
      </c>
      <c r="H103" s="612" t="s">
        <v>2432</v>
      </c>
      <c r="I103" s="626">
        <f>energy_cost_cl</f>
        <v>7.3999999999999996E-2</v>
      </c>
      <c r="J103" s="627" t="s">
        <v>675</v>
      </c>
      <c r="K103" s="628">
        <f>I103*G103*1000</f>
        <v>0</v>
      </c>
      <c r="L103" s="629">
        <f>IF(F103="n/a","n/a",F103+K103)</f>
        <v>0</v>
      </c>
    </row>
    <row r="104" spans="1:12">
      <c r="A104" s="612" t="s">
        <v>611</v>
      </c>
      <c r="B104" s="632">
        <f>IF(build2_zones=0,0,build2_cooling_tons/build2_zones)</f>
        <v>0</v>
      </c>
      <c r="C104" s="632">
        <f>IF(hp_ok_2,IF(curve=1,B104,VLOOKUP(B104,hvac_hp_cost_cl,2)),"n/a")</f>
        <v>0</v>
      </c>
      <c r="D104" s="624">
        <f>IF(C104="n/a","n/a",IF(curve=1,hvac_hp_eq_2,VLOOKUP(B104,hvac_hp_cost_cl,3)))</f>
        <v>0</v>
      </c>
      <c r="E104" s="613">
        <f>IF(C104="n/a","n/a",VLOOKUP(B104,hvac_hp_cost_cl,IF(ss_cat="large",4,5)))</f>
        <v>25</v>
      </c>
      <c r="F104" s="624">
        <f>IF(OR(D104="contact vendor",D104="n/a"),"n/a",-PMT(Discount_rate,E104,D104)*build2_zones)</f>
        <v>0</v>
      </c>
      <c r="G104" s="625">
        <f>IF(C104="n/a","n/a",build2_cooling_yr/hp_EER/10^6)</f>
        <v>0</v>
      </c>
      <c r="H104" s="612" t="s">
        <v>2432</v>
      </c>
      <c r="I104" s="626">
        <f>energy_cost_cl</f>
        <v>7.3999999999999996E-2</v>
      </c>
      <c r="J104" s="627" t="s">
        <v>675</v>
      </c>
      <c r="K104" s="628">
        <f>IF(C104="n/a","n/a",I104*G104*1000)</f>
        <v>0</v>
      </c>
      <c r="L104" s="629">
        <f>IF(F104="n/a","n/a",F104+K104)</f>
        <v>0</v>
      </c>
    </row>
    <row r="107" spans="1:12">
      <c r="A107" s="471" t="s">
        <v>1146</v>
      </c>
      <c r="E107" s="470" t="s">
        <v>1147</v>
      </c>
    </row>
    <row r="109" spans="1:12">
      <c r="A109" s="469" t="s">
        <v>1148</v>
      </c>
      <c r="E109" s="612"/>
    </row>
    <row r="110" spans="1:12">
      <c r="A110" s="471" t="s">
        <v>1149</v>
      </c>
      <c r="B110" s="471" t="s">
        <v>1150</v>
      </c>
      <c r="C110" s="471" t="s">
        <v>1151</v>
      </c>
      <c r="D110" s="471" t="s">
        <v>1150</v>
      </c>
      <c r="E110" s="471" t="s">
        <v>1152</v>
      </c>
    </row>
    <row r="111" spans="1:12">
      <c r="A111" s="612" t="s">
        <v>1662</v>
      </c>
      <c r="B111" s="628">
        <f>IF(build1_need_heat,VLOOKUP(A111,build1_heat_options,12,FALSE),0)</f>
        <v>23056.634203226007</v>
      </c>
      <c r="C111" s="612" t="s">
        <v>1144</v>
      </c>
      <c r="D111" s="628">
        <f>IF(build1_need_cool,VLOOKUP(C111,build1_cool_options,12,FALSE),0)</f>
        <v>0</v>
      </c>
      <c r="E111" s="628">
        <f t="shared" ref="E111:E116" si="1">IF(OR(B111="n/a",D111="n/a"),"n/a",ROUND(B111+D111,0))</f>
        <v>23057</v>
      </c>
    </row>
    <row r="112" spans="1:12">
      <c r="A112" s="612" t="s">
        <v>725</v>
      </c>
      <c r="B112" s="628">
        <f>IF(build1_need_heat,VLOOKUP(A112,build1_heat_options,12,FALSE),0)</f>
        <v>4245.3618836203432</v>
      </c>
      <c r="C112" s="612" t="s">
        <v>1144</v>
      </c>
      <c r="D112" s="628">
        <f>IF(build1_need_cool,VLOOKUP(C112,build1_cool_options,12,FALSE),0)</f>
        <v>0</v>
      </c>
      <c r="E112" s="628">
        <f t="shared" si="1"/>
        <v>4245</v>
      </c>
    </row>
    <row r="113" spans="1:5">
      <c r="A113" s="612" t="s">
        <v>726</v>
      </c>
      <c r="B113" s="628">
        <f>IF(build1_need_heat,VLOOKUP(A113,build1_heat_options,12,FALSE),0)</f>
        <v>4144.4877606439113</v>
      </c>
      <c r="C113" s="612" t="s">
        <v>1144</v>
      </c>
      <c r="D113" s="628">
        <f>IF(build1_need_cool,VLOOKUP(C113,build1_cool_options,12,FALSE),0)</f>
        <v>0</v>
      </c>
      <c r="E113" s="628">
        <f t="shared" si="1"/>
        <v>4144</v>
      </c>
    </row>
    <row r="114" spans="1:5">
      <c r="A114" s="612" t="s">
        <v>1297</v>
      </c>
      <c r="B114" s="628">
        <f>IF(build1_need_heat,VLOOKUP(A114,build1_heat_options,12,FALSE),0)</f>
        <v>32536.404545834328</v>
      </c>
      <c r="C114" s="612" t="s">
        <v>1144</v>
      </c>
      <c r="D114" s="628">
        <f>IF(build1_need_cool,VLOOKUP(C114,build1_cool_options,12,FALSE),0)</f>
        <v>0</v>
      </c>
      <c r="E114" s="628">
        <f t="shared" si="1"/>
        <v>32536</v>
      </c>
    </row>
    <row r="115" spans="1:5">
      <c r="A115" s="612" t="s">
        <v>1298</v>
      </c>
      <c r="B115" s="628">
        <f>IF(build1_need_heat,VLOOKUP(A115,build1_heat_options,12,FALSE),0)</f>
        <v>29887.398553322764</v>
      </c>
      <c r="C115" s="612" t="s">
        <v>1144</v>
      </c>
      <c r="D115" s="628">
        <f>IF(build1_need_cool,VLOOKUP(C115,build1_cool_options,12,FALSE),0)</f>
        <v>0</v>
      </c>
      <c r="E115" s="628">
        <f t="shared" si="1"/>
        <v>29887</v>
      </c>
    </row>
    <row r="116" spans="1:5">
      <c r="A116" s="612" t="s">
        <v>611</v>
      </c>
      <c r="B116" s="629" t="str">
        <f>IF(AND(build1_need_heat, build1_need_cool),K80,"n/a")</f>
        <v>n/a</v>
      </c>
      <c r="C116" s="612" t="s">
        <v>611</v>
      </c>
      <c r="D116" s="628">
        <f>IF(AND(build1_need_heat,build1_need_cool),VLOOKUP(C116,build1_cool_options,12,FALSE),0)</f>
        <v>0</v>
      </c>
      <c r="E116" s="628" t="str">
        <f t="shared" si="1"/>
        <v>n/a</v>
      </c>
    </row>
    <row r="117" spans="1:5">
      <c r="B117" s="612"/>
      <c r="D117" s="628"/>
      <c r="E117" s="628"/>
    </row>
    <row r="118" spans="1:5">
      <c r="A118" s="612" t="s">
        <v>1153</v>
      </c>
      <c r="B118" s="469" t="s">
        <v>1154</v>
      </c>
      <c r="C118" s="612">
        <f>MATCH(MIN(E111:E116),E111:E116,0)</f>
        <v>3</v>
      </c>
      <c r="D118" s="628"/>
      <c r="E118" s="628"/>
    </row>
    <row r="119" spans="1:5">
      <c r="A119" s="612" t="s">
        <v>1155</v>
      </c>
      <c r="B119" s="469" t="s">
        <v>1156</v>
      </c>
      <c r="C119" s="612" t="str">
        <f>IF(build1_need_heat,INDEX(A111:A116,build1_row),"n/a")</f>
        <v>Natural gas condensing furnace</v>
      </c>
      <c r="D119" s="628"/>
      <c r="E119" s="628"/>
    </row>
    <row r="120" spans="1:5">
      <c r="A120" s="612" t="s">
        <v>1157</v>
      </c>
      <c r="B120" s="469" t="s">
        <v>1158</v>
      </c>
      <c r="C120" s="612" t="str">
        <f>IF(build1_need_cool,INDEX(C111:C116,build1_row),"n/a")</f>
        <v>n/a</v>
      </c>
      <c r="D120" s="628"/>
      <c r="E120" s="628"/>
    </row>
    <row r="121" spans="1:5">
      <c r="B121" s="612"/>
      <c r="D121" s="628"/>
      <c r="E121" s="628"/>
    </row>
    <row r="123" spans="1:5">
      <c r="A123" s="469" t="s">
        <v>1159</v>
      </c>
      <c r="E123" s="612"/>
    </row>
    <row r="124" spans="1:5">
      <c r="A124" s="471" t="s">
        <v>1149</v>
      </c>
      <c r="B124" s="471" t="s">
        <v>1150</v>
      </c>
      <c r="C124" s="471" t="s">
        <v>1151</v>
      </c>
      <c r="D124" s="471" t="s">
        <v>1150</v>
      </c>
      <c r="E124" s="471" t="s">
        <v>1152</v>
      </c>
    </row>
    <row r="125" spans="1:5">
      <c r="A125" s="612" t="s">
        <v>1662</v>
      </c>
      <c r="B125" s="628">
        <f>IF(build2_need_heat,VLOOKUP(A125,build2_heat_options,12,FALSE),0)</f>
        <v>0</v>
      </c>
      <c r="C125" s="612" t="s">
        <v>1144</v>
      </c>
      <c r="D125" s="628">
        <f>IF(build2_need_cool,VLOOKUP(C125,build2_cool_options,12,FALSE),0)</f>
        <v>0</v>
      </c>
      <c r="E125" s="628">
        <f t="shared" ref="E125:E130" si="2">IF(OR(B125="n/a",D125="n/a"),"n/a",ROUND(B125+D125,0))</f>
        <v>0</v>
      </c>
    </row>
    <row r="126" spans="1:5">
      <c r="A126" s="612" t="s">
        <v>725</v>
      </c>
      <c r="B126" s="628">
        <f>IF(build2_need_heat,VLOOKUP(A126,build2_heat_options,12,FALSE),0)</f>
        <v>0</v>
      </c>
      <c r="C126" s="612" t="s">
        <v>1144</v>
      </c>
      <c r="D126" s="628">
        <f>IF(build2_need_cool,VLOOKUP(C126,build2_cool_options,12,FALSE),0)</f>
        <v>0</v>
      </c>
      <c r="E126" s="628">
        <f t="shared" si="2"/>
        <v>0</v>
      </c>
    </row>
    <row r="127" spans="1:5">
      <c r="A127" s="612" t="s">
        <v>726</v>
      </c>
      <c r="B127" s="628">
        <f>IF(build2_need_heat,VLOOKUP(A127,build2_heat_options,12,FALSE),0)</f>
        <v>0</v>
      </c>
      <c r="C127" s="612" t="s">
        <v>1144</v>
      </c>
      <c r="D127" s="628">
        <f>IF(build2_need_cool,VLOOKUP(C127,build2_cool_options,12,FALSE),0)</f>
        <v>0</v>
      </c>
      <c r="E127" s="628">
        <f t="shared" si="2"/>
        <v>0</v>
      </c>
    </row>
    <row r="128" spans="1:5">
      <c r="A128" s="612" t="s">
        <v>1297</v>
      </c>
      <c r="B128" s="628">
        <f>IF(build2_need_heat,VLOOKUP(A128,build2_heat_options,12,FALSE),0)</f>
        <v>0</v>
      </c>
      <c r="C128" s="612" t="s">
        <v>1144</v>
      </c>
      <c r="D128" s="628">
        <f>IF(build2_need_cool,VLOOKUP(C128,build2_cool_options,12,FALSE),0)</f>
        <v>0</v>
      </c>
      <c r="E128" s="628">
        <f t="shared" si="2"/>
        <v>0</v>
      </c>
    </row>
    <row r="129" spans="1:5">
      <c r="A129" s="612" t="s">
        <v>1298</v>
      </c>
      <c r="B129" s="628">
        <f>IF(build2_need_heat,VLOOKUP(A129,build2_heat_options,12,FALSE),0)</f>
        <v>0</v>
      </c>
      <c r="C129" s="612" t="s">
        <v>1144</v>
      </c>
      <c r="D129" s="628">
        <f>IF(build2_need_cool,VLOOKUP(C129,build2_cool_options,12,FALSE),0)</f>
        <v>0</v>
      </c>
      <c r="E129" s="628">
        <f t="shared" si="2"/>
        <v>0</v>
      </c>
    </row>
    <row r="130" spans="1:5">
      <c r="A130" s="612" t="s">
        <v>611</v>
      </c>
      <c r="B130" s="629" t="str">
        <f>IF(AND(build2_need_heat, build2_need_cool),K89,"n/a")</f>
        <v>n/a</v>
      </c>
      <c r="C130" s="612" t="s">
        <v>611</v>
      </c>
      <c r="D130" s="628">
        <f>IF(AND(build1_need_heat,build2_need_cool),VLOOKUP(C130,build2_cool_options,12,FALSE),0)</f>
        <v>0</v>
      </c>
      <c r="E130" s="628" t="str">
        <f t="shared" si="2"/>
        <v>n/a</v>
      </c>
    </row>
    <row r="131" spans="1:5">
      <c r="B131" s="612"/>
      <c r="D131" s="628"/>
      <c r="E131" s="628"/>
    </row>
    <row r="132" spans="1:5">
      <c r="A132" s="612" t="s">
        <v>1153</v>
      </c>
      <c r="B132" s="469" t="s">
        <v>1160</v>
      </c>
      <c r="C132" s="612">
        <f>MATCH(MIN(E125:E130),E125:E130,0)</f>
        <v>1</v>
      </c>
      <c r="D132" s="628"/>
      <c r="E132" s="628"/>
    </row>
    <row r="133" spans="1:5">
      <c r="A133" s="612" t="s">
        <v>1161</v>
      </c>
      <c r="B133" s="469" t="s">
        <v>1162</v>
      </c>
      <c r="C133" s="612" t="str">
        <f>IF(build2_need_heat,INDEX(A125:A130,build2_row),"n/a")</f>
        <v>n/a</v>
      </c>
      <c r="D133" s="628"/>
      <c r="E133" s="628"/>
    </row>
    <row r="134" spans="1:5">
      <c r="A134" s="612" t="s">
        <v>1163</v>
      </c>
      <c r="B134" s="469" t="s">
        <v>1164</v>
      </c>
      <c r="C134" s="612" t="str">
        <f>IF(build2_need_cool,INDEX(C125:C130,build2_row),"n/a")</f>
        <v>n/a</v>
      </c>
      <c r="D134" s="628"/>
      <c r="E134" s="628"/>
    </row>
  </sheetData>
  <mergeCells count="2">
    <mergeCell ref="B80:E80"/>
    <mergeCell ref="B89:E89"/>
  </mergeCells>
  <phoneticPr fontId="0" type="noConversion"/>
  <pageMargins left="0.7" right="0.7" top="0.75" bottom="0.75" header="0.3" footer="0.3"/>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H97"/>
  <sheetViews>
    <sheetView zoomScaleNormal="100" workbookViewId="0">
      <pane ySplit="3" topLeftCell="A4" activePane="bottomLeft" state="frozen"/>
      <selection pane="bottomLeft"/>
    </sheetView>
  </sheetViews>
  <sheetFormatPr baseColWidth="10" defaultColWidth="8.83203125" defaultRowHeight="13"/>
  <cols>
    <col min="1" max="1" width="44.5" customWidth="1"/>
    <col min="2" max="2" width="22.5" customWidth="1"/>
    <col min="3" max="3" width="13.6640625" customWidth="1"/>
    <col min="4" max="4" width="8" customWidth="1"/>
  </cols>
  <sheetData>
    <row r="1" spans="1:5">
      <c r="A1" s="1" t="s">
        <v>3263</v>
      </c>
    </row>
    <row r="3" spans="1:5">
      <c r="A3" s="168" t="s">
        <v>3250</v>
      </c>
      <c r="B3" s="168" t="s">
        <v>1369</v>
      </c>
      <c r="C3" s="169" t="s">
        <v>1370</v>
      </c>
      <c r="D3" s="168" t="s">
        <v>1371</v>
      </c>
      <c r="E3" s="168" t="s">
        <v>1372</v>
      </c>
    </row>
    <row r="4" spans="1:5">
      <c r="A4" s="2" t="s">
        <v>3505</v>
      </c>
      <c r="B4" s="1"/>
      <c r="C4" s="120"/>
      <c r="D4" s="1"/>
      <c r="E4" s="1"/>
    </row>
    <row r="5" spans="1:5">
      <c r="A5" s="575" t="s">
        <v>3493</v>
      </c>
      <c r="B5" s="3" t="s">
        <v>256</v>
      </c>
      <c r="C5" s="523">
        <f>IF(include_buildings_I="no",0,1)</f>
        <v>0</v>
      </c>
      <c r="D5" s="414" t="s">
        <v>3506</v>
      </c>
      <c r="E5" s="1"/>
    </row>
    <row r="6" spans="1:5">
      <c r="A6" s="575" t="s">
        <v>3499</v>
      </c>
      <c r="B6" s="3" t="s">
        <v>261</v>
      </c>
      <c r="C6" s="523">
        <f>IF(include_land_I="no",0,1)</f>
        <v>0</v>
      </c>
      <c r="D6" s="414" t="s">
        <v>3506</v>
      </c>
      <c r="E6" s="1"/>
    </row>
    <row r="7" spans="1:5">
      <c r="A7" s="1"/>
      <c r="B7" s="1"/>
      <c r="C7" s="120"/>
      <c r="D7" s="1"/>
      <c r="E7" s="1"/>
    </row>
    <row r="8" spans="1:5">
      <c r="A8" s="2" t="s">
        <v>2737</v>
      </c>
      <c r="E8" s="7" t="s">
        <v>3137</v>
      </c>
    </row>
    <row r="9" spans="1:5">
      <c r="A9" s="127" t="s">
        <v>1288</v>
      </c>
      <c r="C9" s="38">
        <f>pump_energy*design_flow/average_flow/365/24*1000</f>
        <v>16.518623482760756</v>
      </c>
      <c r="D9" t="s">
        <v>1364</v>
      </c>
    </row>
    <row r="10" spans="1:5">
      <c r="A10" s="127" t="s">
        <v>233</v>
      </c>
      <c r="C10" s="38">
        <f>IF(include_buildings=0,0,(build1_fp*lighting_energy_1+build2_fp*lighting_energy_2)/365/24)</f>
        <v>0</v>
      </c>
      <c r="D10" t="s">
        <v>1364</v>
      </c>
    </row>
    <row r="11" spans="1:5">
      <c r="A11" s="475" t="s">
        <v>2642</v>
      </c>
      <c r="B11" s="3"/>
      <c r="C11" s="45">
        <f>IF(include_HVAC=0,0,0.746*Fan_pressure_drop*build1_fp*Building_height*air_changes_build1/33000)</f>
        <v>1.7338905000000002</v>
      </c>
      <c r="D11" t="s">
        <v>1364</v>
      </c>
    </row>
    <row r="12" spans="1:5">
      <c r="A12" s="475" t="s">
        <v>2643</v>
      </c>
      <c r="B12" s="3"/>
      <c r="C12" s="45">
        <f>IF(include_HVAC=0,0,0.746*Fan_pressure_drop*build2_fp*Building_height*air_changes_build2/33000)</f>
        <v>0</v>
      </c>
      <c r="D12" t="s">
        <v>1364</v>
      </c>
    </row>
    <row r="13" spans="1:5">
      <c r="A13" s="127" t="s">
        <v>1933</v>
      </c>
      <c r="B13" s="3" t="s">
        <v>1934</v>
      </c>
      <c r="C13" s="54">
        <f>SUM(C9:C12)</f>
        <v>18.252513982760757</v>
      </c>
      <c r="D13" t="s">
        <v>1364</v>
      </c>
    </row>
    <row r="14" spans="1:5">
      <c r="A14" s="127"/>
      <c r="B14" s="3"/>
      <c r="C14" s="54"/>
    </row>
    <row r="15" spans="1:5">
      <c r="A15" s="127" t="s">
        <v>1204</v>
      </c>
      <c r="B15" s="3" t="s">
        <v>1205</v>
      </c>
      <c r="C15" s="6" t="b">
        <f>IF(build1_need_heat=1,VLOOKUP(build1_heat,build1_heat_options,8,FALSE)="MWh/yr",FALSE)</f>
        <v>0</v>
      </c>
    </row>
    <row r="16" spans="1:5">
      <c r="A16" s="127" t="s">
        <v>1206</v>
      </c>
      <c r="B16" s="3" t="s">
        <v>1207</v>
      </c>
      <c r="C16" s="476">
        <f>IF(build1_elec_heat,VLOOKUP(build1_heat,build1_heat_options,7,FALSE),0)*365.25*24/1000</f>
        <v>0</v>
      </c>
      <c r="D16" t="s">
        <v>1364</v>
      </c>
    </row>
    <row r="17" spans="1:5">
      <c r="A17" s="127" t="s">
        <v>1208</v>
      </c>
      <c r="B17" s="3" t="s">
        <v>1209</v>
      </c>
      <c r="C17" s="6" t="b">
        <f>IF(build2_need_heat,(VLOOKUP(build2_heat,build2_heat_options,8,FALSE)="MWh/yr"),FALSE)</f>
        <v>0</v>
      </c>
    </row>
    <row r="18" spans="1:5">
      <c r="A18" s="127" t="s">
        <v>1210</v>
      </c>
      <c r="B18" s="3" t="s">
        <v>1211</v>
      </c>
      <c r="C18" s="476">
        <f>IF(build2_elec_heat,VLOOKUP(build2_heat,build2_heat_options,7,FALSE),0)*365.25*24/1000</f>
        <v>0</v>
      </c>
      <c r="D18" t="s">
        <v>1364</v>
      </c>
    </row>
    <row r="19" spans="1:5">
      <c r="A19" s="127" t="s">
        <v>2861</v>
      </c>
      <c r="B19" s="3" t="s">
        <v>2862</v>
      </c>
      <c r="C19" s="476">
        <f>IF(include_HVAC=0,0,build1_elec_heat_power+build2_elec_heat_power)</f>
        <v>0</v>
      </c>
      <c r="D19" t="s">
        <v>1364</v>
      </c>
    </row>
    <row r="20" spans="1:5">
      <c r="A20" s="127"/>
    </row>
    <row r="21" spans="1:5">
      <c r="A21" s="127" t="s">
        <v>1212</v>
      </c>
      <c r="B21" s="3" t="s">
        <v>1213</v>
      </c>
      <c r="C21" s="6" t="b">
        <f>IF(build1_need_cool,(VLOOKUP(build1_cool,build1_cool_options,8,FALSE)="MWh/yr"),FALSE)</f>
        <v>0</v>
      </c>
    </row>
    <row r="22" spans="1:5">
      <c r="A22" s="127" t="s">
        <v>1214</v>
      </c>
      <c r="B22" s="3" t="s">
        <v>1215</v>
      </c>
      <c r="C22" s="476">
        <f>IF(build1_elec_cool,VLOOKUP(build1_cool,build1_cool_options,7,FALSE),0)*365.25*24/1000</f>
        <v>0</v>
      </c>
      <c r="D22" t="s">
        <v>1364</v>
      </c>
    </row>
    <row r="23" spans="1:5">
      <c r="A23" s="127" t="s">
        <v>1216</v>
      </c>
      <c r="B23" s="3" t="s">
        <v>1217</v>
      </c>
      <c r="C23" s="6" t="b">
        <f>IF(build2_need_cool,(VLOOKUP(build2_cool,build2_cool_options,8,FALSE)="MWh/yr"),FALSE)</f>
        <v>0</v>
      </c>
    </row>
    <row r="24" spans="1:5">
      <c r="A24" s="127" t="s">
        <v>1218</v>
      </c>
      <c r="B24" s="3" t="s">
        <v>1219</v>
      </c>
      <c r="C24" s="476">
        <f>IF(build2_elec_cool,VLOOKUP(build2_cool,build2_cool_options,7,FALSE),0)*365.25*24/1000</f>
        <v>0</v>
      </c>
      <c r="D24" t="s">
        <v>1364</v>
      </c>
    </row>
    <row r="25" spans="1:5">
      <c r="A25" s="127" t="s">
        <v>2138</v>
      </c>
      <c r="B25" s="3" t="s">
        <v>2139</v>
      </c>
      <c r="C25" s="476">
        <f>IF(include_HVAC=0,0,build1_elec_cool_power+build2_elec_cool_power)</f>
        <v>0</v>
      </c>
      <c r="D25" t="s">
        <v>1364</v>
      </c>
    </row>
    <row r="26" spans="1:5">
      <c r="A26" s="127"/>
      <c r="B26" s="3"/>
      <c r="C26" s="476"/>
    </row>
    <row r="27" spans="1:5">
      <c r="A27" s="127" t="s">
        <v>978</v>
      </c>
      <c r="B27" s="3" t="s">
        <v>979</v>
      </c>
      <c r="C27" s="70">
        <f>ROUNDUP(2*MAX(min_standby,(IF(AND(need_heat=1,need_cool=1),MAX(std_heat,std_cool),need_heat*std_heat+need_cool*std_cool)+std_base)*(1+std_safety_factor)),0)/2</f>
        <v>18.5</v>
      </c>
      <c r="D27" t="s">
        <v>1364</v>
      </c>
      <c r="E27" s="41"/>
    </row>
    <row r="28" spans="1:5">
      <c r="A28" s="127" t="s">
        <v>944</v>
      </c>
      <c r="B28" s="3" t="s">
        <v>945</v>
      </c>
      <c r="C28" s="12">
        <f>VLOOKUP(std_power,std_gen_cost_cl,3)*std_power</f>
        <v>12210</v>
      </c>
      <c r="E28" s="12"/>
    </row>
    <row r="30" spans="1:5">
      <c r="A30" s="2" t="s">
        <v>1669</v>
      </c>
      <c r="E30" s="71"/>
    </row>
    <row r="31" spans="1:5">
      <c r="A31" s="127" t="s">
        <v>1894</v>
      </c>
      <c r="B31" s="3" t="s">
        <v>1895</v>
      </c>
      <c r="C31" s="38">
        <f>total_fp+sept_fp+ep_fp+solids_pad_area</f>
        <v>6300</v>
      </c>
      <c r="D31" t="s">
        <v>3114</v>
      </c>
    </row>
    <row r="32" spans="1:5">
      <c r="A32" s="127" t="s">
        <v>2868</v>
      </c>
      <c r="B32" s="3" t="s">
        <v>2869</v>
      </c>
      <c r="C32" s="38">
        <f>IF(design_type=1,0,MAX(basin_depth,IF(OUTPUT!L48=1,back_basin_depth,0),IF(res_holding="basins",hbasin_depth,0),IF(regen_type=1,MAX(IF(OUTPUT!L83=1,virgin_basin_depth,0),IF(OUTPUT!L86=1,spent_basin_depth,0),IF(OUTPUT!L89=1,regen_basin_depth,0)),0))+overexcavate)</f>
        <v>0</v>
      </c>
      <c r="D32" t="s">
        <v>2219</v>
      </c>
    </row>
    <row r="33" spans="1:4">
      <c r="A33" s="127" t="s">
        <v>949</v>
      </c>
      <c r="B33" s="3" t="s">
        <v>3008</v>
      </c>
      <c r="C33" s="38">
        <f>IF(design_type=1,bore_depth_p,IF(max_excav_depth&gt;deep_bore_need,bore_depth_max,bore_depth_min))</f>
        <v>10</v>
      </c>
      <c r="D33" t="s">
        <v>2219</v>
      </c>
    </row>
    <row r="34" spans="1:4">
      <c r="A34" s="127" t="s">
        <v>2836</v>
      </c>
      <c r="B34" s="3" t="s">
        <v>2837</v>
      </c>
      <c r="C34" s="38">
        <f>IF(OR(design_type=2,tech_fp&gt;bore_need),0,ROUNDUP(tech_fp/hole_per_sf,0))</f>
        <v>0</v>
      </c>
    </row>
    <row r="35" spans="1:4">
      <c r="A35" s="127" t="s">
        <v>2838</v>
      </c>
      <c r="B35" s="3" t="s">
        <v>2839</v>
      </c>
      <c r="C35" s="38">
        <f>IF(AND(design_type=1,tech_fp&lt;bore_need),0,IF(ROUNDUP(tech_fp/hole_per_sf,0)&lt;min_holes,min_holes,ROUNDUP(tech_fp/hole_per_sf,0)))</f>
        <v>7</v>
      </c>
    </row>
    <row r="36" spans="1:4">
      <c r="B36" s="3"/>
      <c r="C36" s="38"/>
    </row>
    <row r="37" spans="1:4">
      <c r="A37" s="574" t="s">
        <v>2486</v>
      </c>
      <c r="B37" s="3"/>
      <c r="C37" s="38"/>
    </row>
    <row r="38" spans="1:4">
      <c r="A38" s="127" t="s">
        <v>1896</v>
      </c>
      <c r="C38" s="12">
        <f>IF(num_pits&gt;0,1,ROUNDUP(num_holes/hole_per_job,0))*VLOOKUP(0,stake_out_cost_cl,3)</f>
        <v>1475</v>
      </c>
    </row>
    <row r="39" spans="1:4">
      <c r="A39" s="127" t="s">
        <v>2845</v>
      </c>
      <c r="C39" s="12">
        <f>ROUNDUP(num_holes/hole_per_job,0)*VLOOKUP(0,bore_draw_cost_cl,3)</f>
        <v>425</v>
      </c>
    </row>
    <row r="40" spans="1:4">
      <c r="A40" s="127" t="s">
        <v>2846</v>
      </c>
      <c r="C40" s="12">
        <f>IF(num_pits&gt;0,1,ROUNDUP(num_holes/hole_per_job,0))*VLOOKUP(0,bore_report_cost_cl,3)</f>
        <v>970</v>
      </c>
    </row>
    <row r="41" spans="1:4">
      <c r="A41" s="127" t="s">
        <v>2847</v>
      </c>
      <c r="C41" s="12">
        <f>IF(num_pits&gt;0,0,1)*VLOOKUP(0,bore_mob_cost_cl,3)</f>
        <v>660</v>
      </c>
    </row>
    <row r="42" spans="1:4">
      <c r="A42" s="127" t="s">
        <v>799</v>
      </c>
      <c r="C42" s="12">
        <f>ROUNDUP(bore_depth*num_holes/hole_per_day,0)*VLOOKUP(0,bore_rig_cost_cl,3)</f>
        <v>5300</v>
      </c>
    </row>
    <row r="43" spans="1:4">
      <c r="A43" s="127" t="s">
        <v>2482</v>
      </c>
      <c r="C43" s="12">
        <f>num_holes*bore_depth*VLOOKUP(0,bore_cost_cl,3)</f>
        <v>4480</v>
      </c>
    </row>
    <row r="44" spans="1:4">
      <c r="A44" s="127" t="s">
        <v>2483</v>
      </c>
      <c r="C44" s="12">
        <f>pit_width*pit_length*pit_depth/27*num_pits*VLOOKUP(0,pit_cost_cl,3)</f>
        <v>0</v>
      </c>
    </row>
    <row r="45" spans="1:4">
      <c r="A45" s="127" t="s">
        <v>2484</v>
      </c>
      <c r="B45" s="3" t="s">
        <v>2485</v>
      </c>
      <c r="C45" s="12">
        <f>SUM(C38:C44)</f>
        <v>13310</v>
      </c>
    </row>
    <row r="46" spans="1:4">
      <c r="A46" s="127"/>
    </row>
    <row r="47" spans="1:4">
      <c r="A47" s="127" t="s">
        <v>1317</v>
      </c>
      <c r="B47" s="3" t="s">
        <v>1318</v>
      </c>
      <c r="C47" s="12">
        <f>tech_fp*sitework_sf_cl</f>
        <v>95704.615384615376</v>
      </c>
    </row>
    <row r="49" spans="1:8">
      <c r="A49" s="2" t="s">
        <v>2037</v>
      </c>
    </row>
    <row r="50" spans="1:8">
      <c r="A50" s="127" t="s">
        <v>3027</v>
      </c>
      <c r="B50" s="3" t="s">
        <v>3026</v>
      </c>
      <c r="C50">
        <f>SUMPRODUCT(OUTPUT!G84:G88,OUTPUT!L84:L88)</f>
        <v>10</v>
      </c>
      <c r="D50" t="s">
        <v>2527</v>
      </c>
      <c r="E50" s="7" t="s">
        <v>3767</v>
      </c>
    </row>
    <row r="51" spans="1:8">
      <c r="A51" s="127" t="s">
        <v>1897</v>
      </c>
      <c r="B51" s="3" t="s">
        <v>1898</v>
      </c>
      <c r="C51">
        <f>MAX(frost,min_trench_depth)</f>
        <v>38</v>
      </c>
      <c r="D51" t="s">
        <v>531</v>
      </c>
    </row>
    <row r="52" spans="1:8">
      <c r="A52" s="127" t="s">
        <v>126</v>
      </c>
      <c r="B52" s="3" t="s">
        <v>127</v>
      </c>
      <c r="C52" s="38">
        <f>VLOOKUP(yard_pipe_diam,thrust_block_table_cl,2)*2.2</f>
        <v>17189.503372607793</v>
      </c>
      <c r="D52" t="s">
        <v>2255</v>
      </c>
    </row>
    <row r="53" spans="1:8">
      <c r="A53" s="127" t="s">
        <v>128</v>
      </c>
      <c r="B53" s="3" t="s">
        <v>133</v>
      </c>
      <c r="C53">
        <f>1.5*thrust_force/(soil_dens*(trench_depth/12+yard_pipe_diam/12)*Coeff_Kp*Reduction)</f>
        <v>47.433451545861359</v>
      </c>
      <c r="D53" t="s">
        <v>1595</v>
      </c>
    </row>
    <row r="54" spans="1:8">
      <c r="A54" s="127" t="s">
        <v>129</v>
      </c>
      <c r="B54" s="3"/>
      <c r="C54">
        <f>bearing_area/C55</f>
        <v>9.739964224355381</v>
      </c>
      <c r="D54" t="s">
        <v>120</v>
      </c>
    </row>
    <row r="55" spans="1:8">
      <c r="A55" s="127" t="s">
        <v>130</v>
      </c>
      <c r="B55" s="3"/>
      <c r="C55">
        <f>(bearing_area/2)^0.5</f>
        <v>4.8699821121776905</v>
      </c>
      <c r="D55" t="s">
        <v>120</v>
      </c>
    </row>
    <row r="56" spans="1:8">
      <c r="A56" s="127" t="s">
        <v>131</v>
      </c>
      <c r="B56" s="3"/>
      <c r="C56">
        <f>MAX(0.5,yard_pipe_diam/12)</f>
        <v>0.83333333333333337</v>
      </c>
      <c r="D56" t="s">
        <v>120</v>
      </c>
      <c r="E56" s="7" t="s">
        <v>134</v>
      </c>
    </row>
    <row r="57" spans="1:8">
      <c r="A57" s="127" t="s">
        <v>132</v>
      </c>
      <c r="B57" s="3"/>
      <c r="C57">
        <f>C54/2</f>
        <v>4.8699821121776905</v>
      </c>
      <c r="D57" t="s">
        <v>120</v>
      </c>
    </row>
    <row r="58" spans="1:8">
      <c r="A58" s="127" t="s">
        <v>135</v>
      </c>
      <c r="B58" s="3" t="s">
        <v>136</v>
      </c>
      <c r="C58">
        <f>(C57+(yard_pipe_diam/12)/2)*(C54+C56)/2*C55/27</f>
        <v>5.0410907934552354</v>
      </c>
      <c r="D58" t="s">
        <v>1591</v>
      </c>
    </row>
    <row r="59" spans="1:8">
      <c r="A59" s="127" t="s">
        <v>1899</v>
      </c>
      <c r="B59" s="3" t="s">
        <v>1900</v>
      </c>
      <c r="C59" s="57">
        <f>(yard_pipe_diam/12+2)*(bedding_depth/12+yard_pipe_diam/12+trench_depth/12)+(bedding_depth/12+yard_pipe_diam/12+trench_depth/12)^2*TAN(trench_angle)</f>
        <v>33</v>
      </c>
      <c r="D59" t="s">
        <v>1595</v>
      </c>
    </row>
    <row r="60" spans="1:8">
      <c r="A60" s="127" t="s">
        <v>1901</v>
      </c>
      <c r="B60" s="3"/>
      <c r="C60" s="15">
        <f>trench_area*yard_in/27</f>
        <v>0</v>
      </c>
      <c r="D60" t="s">
        <v>1591</v>
      </c>
    </row>
    <row r="61" spans="1:8">
      <c r="A61" s="127" t="s">
        <v>3768</v>
      </c>
      <c r="B61" s="3"/>
      <c r="C61" s="57">
        <f>((2*non_fire_buffer)+2*(build1_fp^0.5)/4)*trench_area/27</f>
        <v>62.016597252962974</v>
      </c>
      <c r="D61" t="s">
        <v>1591</v>
      </c>
      <c r="H61" s="55"/>
    </row>
    <row r="62" spans="1:8">
      <c r="A62" s="127" t="s">
        <v>137</v>
      </c>
      <c r="B62" s="3"/>
      <c r="C62" s="57">
        <f>IF(build2_fp=0,0,((2*non_fire_buffer)+2*(build2_fp^0.5)/4)*trench_area/27)</f>
        <v>0</v>
      </c>
      <c r="D62" t="s">
        <v>1591</v>
      </c>
    </row>
    <row r="63" spans="1:8">
      <c r="A63" s="127" t="s">
        <v>138</v>
      </c>
      <c r="C63" s="15">
        <f>trench_area*yard_out/27</f>
        <v>0</v>
      </c>
      <c r="D63" t="s">
        <v>1591</v>
      </c>
    </row>
    <row r="64" spans="1:8">
      <c r="A64" s="127" t="s">
        <v>1333</v>
      </c>
      <c r="B64" s="3" t="s">
        <v>1334</v>
      </c>
      <c r="C64" s="15">
        <f>SUM(C60:C63)+block_vol</f>
        <v>67.057688046418207</v>
      </c>
      <c r="D64" t="s">
        <v>1591</v>
      </c>
    </row>
    <row r="65" spans="1:5">
      <c r="A65" s="127" t="s">
        <v>1335</v>
      </c>
      <c r="B65" s="3" t="s">
        <v>1336</v>
      </c>
      <c r="C65" s="38">
        <f>yard_in+yard_out+2*((2*non_fire_buffer)+2*(build1_fp^0.5)/4+IF(build2_fp=0,0,((2*non_fire_buffer)+2*(build2_fp^0.5)/4))+2*(trench_depth+yard_pipe_diam)/12)</f>
        <v>117.48170459575759</v>
      </c>
      <c r="D65" t="s">
        <v>2526</v>
      </c>
    </row>
    <row r="66" spans="1:5">
      <c r="A66" s="127" t="s">
        <v>1337</v>
      </c>
      <c r="B66" s="3"/>
      <c r="C66" s="5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1595</v>
      </c>
    </row>
    <row r="67" spans="1:5">
      <c r="A67" s="127" t="s">
        <v>1345</v>
      </c>
      <c r="B67" s="3" t="s">
        <v>1902</v>
      </c>
      <c r="C67">
        <f>C66*yard_pipe_length/2/27</f>
        <v>5.2258717476065151</v>
      </c>
      <c r="D67" t="s">
        <v>1591</v>
      </c>
    </row>
    <row r="69" spans="1:5">
      <c r="A69" s="574" t="s">
        <v>2486</v>
      </c>
    </row>
    <row r="70" spans="1:5">
      <c r="A70" s="127" t="s">
        <v>1903</v>
      </c>
      <c r="C70" s="55">
        <f>VLOOKUP(0,bedding_cost_cl,3)*bedding_vol</f>
        <v>236.99328375395547</v>
      </c>
    </row>
    <row r="71" spans="1:5">
      <c r="A71" s="127" t="s">
        <v>1904</v>
      </c>
      <c r="C71" s="55">
        <f>trench_vol*VLOOKUP(0,excavate_cost_cl,3)</f>
        <v>2070.7414068733938</v>
      </c>
    </row>
    <row r="72" spans="1:5">
      <c r="A72" s="127" t="s">
        <v>2040</v>
      </c>
      <c r="C72" s="55">
        <f>trench_vol*VLOOKUP(0,backfill_cost_cl,3)</f>
        <v>1250.6258820656994</v>
      </c>
    </row>
    <row r="73" spans="1:5">
      <c r="A73" s="127" t="s">
        <v>2044</v>
      </c>
      <c r="C73" s="55">
        <f>block_vol*VLOOKUP(0,conc_basin_cost_cl,3)</f>
        <v>3728.4189242229577</v>
      </c>
    </row>
    <row r="74" spans="1:5">
      <c r="A74" s="127" t="s">
        <v>2041</v>
      </c>
      <c r="C74" s="55">
        <f>yard_pipe_length*SUMPRODUCT(OUTPUT!I84:I88,OUTPUT!L84:L88)</f>
        <v>2249.5622672195004</v>
      </c>
    </row>
    <row r="75" spans="1:5">
      <c r="A75" s="127" t="s">
        <v>2042</v>
      </c>
      <c r="B75" s="3" t="s">
        <v>2043</v>
      </c>
      <c r="C75" s="59">
        <f>SUM(C70:C74)</f>
        <v>9536.3417641355063</v>
      </c>
    </row>
    <row r="77" spans="1:5">
      <c r="A77" s="2" t="s">
        <v>2740</v>
      </c>
    </row>
    <row r="78" spans="1:5">
      <c r="A78" s="127" t="s">
        <v>1302</v>
      </c>
      <c r="C78" s="12">
        <f>SUMPRODUCT(OUTPUT!J277:J289,OUTPUT!L277:L289)</f>
        <v>28313.868145051252</v>
      </c>
      <c r="E78" s="7" t="s">
        <v>1311</v>
      </c>
    </row>
    <row r="79" spans="1:5">
      <c r="A79" s="127" t="s">
        <v>1303</v>
      </c>
      <c r="C79" s="12">
        <f>SUMPRODUCT(OUTPUT!J291:J303,OUTPUT!L291:L303)</f>
        <v>0</v>
      </c>
      <c r="E79" s="7" t="s">
        <v>1311</v>
      </c>
    </row>
    <row r="80" spans="1:5">
      <c r="A80" s="127" t="s">
        <v>1304</v>
      </c>
      <c r="C80" s="12">
        <f>VLOOKUP(design_flow,UBC_mult_table_cl,3)*(BPCost_UBC97(C78)+BPCost_UBC97(C79))</f>
        <v>691.44</v>
      </c>
      <c r="E80" s="7" t="s">
        <v>3756</v>
      </c>
    </row>
    <row r="81" spans="1:5">
      <c r="A81" s="127" t="s">
        <v>1305</v>
      </c>
      <c r="C81" s="12">
        <f>IF(res_s2_opt=1,VLOOKUP(res_flow_annual/365,NPDES_permit_cost_cl,2),0)</f>
        <v>0</v>
      </c>
      <c r="E81" s="7" t="s">
        <v>1313</v>
      </c>
    </row>
    <row r="82" spans="1:5">
      <c r="A82" s="575" t="s">
        <v>3750</v>
      </c>
      <c r="C82" s="12">
        <f>IF(res_s2_opt=2,pretreat_permit_cost_cl,0)</f>
        <v>0</v>
      </c>
      <c r="E82" s="7" t="s">
        <v>3751</v>
      </c>
    </row>
    <row r="83" spans="1:5">
      <c r="A83" s="127" t="s">
        <v>1306</v>
      </c>
      <c r="C83" s="12">
        <f>VLOOKUP(land_required,SW_permit_cost_cl,2)</f>
        <v>0</v>
      </c>
      <c r="E83" s="7" t="s">
        <v>1314</v>
      </c>
    </row>
    <row r="84" spans="1:5">
      <c r="A84" s="127" t="s">
        <v>1307</v>
      </c>
      <c r="C84" s="55">
        <v>0</v>
      </c>
      <c r="E84" s="7" t="s">
        <v>1315</v>
      </c>
    </row>
    <row r="85" spans="1:5">
      <c r="A85" s="127" t="s">
        <v>1308</v>
      </c>
      <c r="C85" s="12">
        <f>CHOOSE(include_NEPA,IF(res_s2_opt=1,NEPA_SW_cost_cl,0),IF(res_s2_opt=1,NEPA_SW_cost_cl,VLOOKUP(land_required,NEPA_cost_cl,2)),0)</f>
        <v>0</v>
      </c>
      <c r="E85" s="7" t="s">
        <v>3755</v>
      </c>
    </row>
    <row r="86" spans="1:5">
      <c r="A86" s="127" t="s">
        <v>1309</v>
      </c>
      <c r="B86" s="3" t="s">
        <v>1310</v>
      </c>
      <c r="C86" s="13">
        <f>SUM(C80:C85)</f>
        <v>691.44</v>
      </c>
    </row>
    <row r="88" spans="1:5">
      <c r="A88" s="2" t="s">
        <v>489</v>
      </c>
    </row>
    <row r="89" spans="1:5">
      <c r="A89" s="127" t="s">
        <v>113</v>
      </c>
      <c r="C89" s="13">
        <f>br_ins_pct*direct_cost</f>
        <v>2794.7291801837418</v>
      </c>
    </row>
    <row r="90" spans="1:5">
      <c r="A90" s="127" t="s">
        <v>490</v>
      </c>
      <c r="C90" s="13">
        <f>include_bond*(VLOOKUP(direct_cost,performance_bond_table_cl,3)+VLOOKUP(direct_cost,performance_bond_table_cl,4)*(direct_cost-VLOOKUP(direct_cost,performance_bond_table_cl,5)))</f>
        <v>11719.791706422771</v>
      </c>
      <c r="E90" s="7" t="s">
        <v>491</v>
      </c>
    </row>
    <row r="91" spans="1:5">
      <c r="A91" s="127" t="s">
        <v>492</v>
      </c>
      <c r="C91" s="396">
        <f>VLOOKUP(direct_cost,construction_mgt_table_cl,3)</f>
        <v>0.06</v>
      </c>
      <c r="E91" s="7" t="s">
        <v>493</v>
      </c>
    </row>
    <row r="92" spans="1:5">
      <c r="A92" s="127" t="s">
        <v>494</v>
      </c>
      <c r="C92" s="13">
        <f>IF(AND(design_type=1,ss_cat2=1),include_cm_pre,include_cm)*C91*direct_cost</f>
        <v>49318.750238536624</v>
      </c>
    </row>
    <row r="93" spans="1:5">
      <c r="A93" s="127" t="s">
        <v>495</v>
      </c>
      <c r="B93" s="3" t="s">
        <v>496</v>
      </c>
      <c r="C93" s="13">
        <f>SUM(C89:C90,C92)</f>
        <v>63833.271125143139</v>
      </c>
    </row>
    <row r="95" spans="1:5">
      <c r="A95" s="2" t="s">
        <v>3781</v>
      </c>
    </row>
    <row r="96" spans="1:5">
      <c r="A96" s="575" t="s">
        <v>3782</v>
      </c>
      <c r="B96" s="3" t="s">
        <v>3784</v>
      </c>
      <c r="C96" s="909">
        <f>Annualized_Capital_Cost/Annualized_Cost</f>
        <v>0.1640640961975269</v>
      </c>
    </row>
    <row r="97" spans="1:3">
      <c r="A97" s="575" t="s">
        <v>3783</v>
      </c>
      <c r="B97" s="3" t="s">
        <v>3785</v>
      </c>
      <c r="C97" s="909">
        <f>OM_cost/Annualized_Cost</f>
        <v>0.83593590380247318</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BZ22"/>
  <sheetViews>
    <sheetView workbookViewId="0">
      <pane xSplit="5" ySplit="11" topLeftCell="F12" activePane="bottomRight" state="frozen"/>
      <selection pane="topRight" activeCell="F1" sqref="F1"/>
      <selection pane="bottomLeft" activeCell="A12" sqref="A12"/>
      <selection pane="bottomRight"/>
    </sheetView>
  </sheetViews>
  <sheetFormatPr baseColWidth="10" defaultColWidth="9.6640625" defaultRowHeight="13"/>
  <cols>
    <col min="1" max="1" width="19.6640625" style="868" customWidth="1"/>
    <col min="2" max="2" width="9.6640625" style="869"/>
    <col min="3" max="4" width="12.6640625" style="869" customWidth="1"/>
    <col min="5" max="5" width="12.6640625" style="871" customWidth="1"/>
    <col min="6" max="9" width="12.6640625" style="895" customWidth="1"/>
    <col min="10" max="11" width="13.6640625" style="895" customWidth="1"/>
    <col min="12" max="13" width="9.6640625" style="873"/>
    <col min="14" max="14" width="9.6640625" style="874"/>
    <col min="15" max="15" width="9.6640625" style="872"/>
    <col min="16" max="16" width="9.6640625" style="873"/>
    <col min="17" max="17" width="9.6640625" style="874"/>
    <col min="18" max="18" width="9.6640625" style="872"/>
    <col min="19" max="19" width="9.6640625" style="873"/>
    <col min="20" max="20" width="9.6640625" style="874"/>
    <col min="21" max="21" width="9.6640625" style="872"/>
    <col min="22" max="22" width="9.6640625" style="873"/>
    <col min="23" max="23" width="9.6640625" style="874"/>
    <col min="24" max="24" width="9.6640625" style="872"/>
    <col min="25" max="25" width="9.6640625" style="873"/>
    <col min="26" max="26" width="9.6640625" style="874"/>
    <col min="27" max="27" width="9.6640625" style="872"/>
    <col min="28" max="28" width="9.6640625" style="873"/>
    <col min="29" max="29" width="9.6640625" style="874"/>
    <col min="30" max="30" width="9.6640625" style="872"/>
    <col min="31" max="31" width="9.6640625" style="873"/>
    <col min="32" max="32" width="9.6640625" style="874"/>
    <col min="33" max="33" width="9.6640625" style="872"/>
    <col min="34" max="34" width="9.6640625" style="873"/>
    <col min="35" max="35" width="9.6640625" style="874"/>
    <col min="36" max="36" width="9.6640625" style="872"/>
    <col min="37" max="37" width="9.6640625" style="873"/>
    <col min="38" max="38" width="9.6640625" style="874"/>
    <col min="39" max="39" width="9.6640625" style="872"/>
    <col min="40" max="40" width="9.6640625" style="873"/>
    <col min="41" max="41" width="9.6640625" style="874"/>
    <col min="42" max="42" width="9.6640625" style="872"/>
    <col min="43" max="43" width="9.6640625" style="873"/>
    <col min="44" max="44" width="9.6640625" style="874"/>
    <col min="45" max="45" width="9.6640625" style="872"/>
    <col min="46" max="46" width="9.6640625" style="873"/>
    <col min="47" max="47" width="9.6640625" style="874"/>
    <col min="48" max="48" width="9.6640625" style="872"/>
    <col min="49" max="49" width="9.6640625" style="873"/>
    <col min="50" max="50" width="9.6640625" style="874"/>
    <col min="51" max="51" width="9.6640625" style="872"/>
    <col min="52" max="52" width="9.6640625" style="873"/>
    <col min="53" max="53" width="9.6640625" style="874"/>
    <col min="54" max="54" width="9.6640625" style="872"/>
    <col min="55" max="55" width="9.6640625" style="873"/>
    <col min="56" max="56" width="9.6640625" style="874"/>
    <col min="57" max="57" width="9.6640625" style="872"/>
    <col min="58" max="58" width="9.6640625" style="873"/>
    <col min="59" max="59" width="9.6640625" style="874"/>
    <col min="60" max="60" width="9.6640625" style="872"/>
    <col min="61" max="61" width="9.6640625" style="873"/>
    <col min="62" max="62" width="9.6640625" style="874"/>
    <col min="63" max="63" width="9.6640625" style="872"/>
    <col min="64" max="64" width="9.6640625" style="873"/>
    <col min="65" max="65" width="9.6640625" style="874"/>
    <col min="66" max="66" width="9.6640625" style="872"/>
    <col min="67" max="67" width="9.6640625" style="873"/>
    <col min="68" max="68" width="9.6640625" style="874"/>
    <col min="69" max="69" width="9.6640625" style="872"/>
    <col min="70" max="70" width="9.6640625" style="873"/>
    <col min="71" max="71" width="9.6640625" style="874"/>
    <col min="72" max="72" width="9.6640625" style="872"/>
    <col min="73" max="73" width="9.6640625" style="873"/>
    <col min="74" max="74" width="9.6640625" style="874"/>
    <col min="75" max="75" width="9.6640625" style="872"/>
    <col min="76" max="76" width="9.6640625" style="873"/>
    <col min="77" max="77" width="9.6640625" style="874"/>
    <col min="78" max="78" width="9.6640625" style="875"/>
    <col min="79" max="16384" width="9.6640625" style="852"/>
  </cols>
  <sheetData>
    <row r="1" spans="1:78">
      <c r="A1" s="851" t="s">
        <v>3520</v>
      </c>
      <c r="B1" s="852"/>
      <c r="C1" s="852"/>
      <c r="D1" s="852"/>
      <c r="E1" s="852"/>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c r="AF1" s="852"/>
      <c r="AG1" s="852"/>
      <c r="AH1" s="852"/>
      <c r="AI1" s="852"/>
      <c r="AJ1" s="852"/>
      <c r="AK1" s="852"/>
      <c r="AL1" s="852"/>
      <c r="AM1" s="852"/>
      <c r="AN1" s="852"/>
      <c r="AO1" s="852"/>
      <c r="AP1" s="852"/>
      <c r="AQ1" s="852"/>
      <c r="AR1" s="852"/>
      <c r="AS1" s="852"/>
      <c r="AT1" s="852"/>
      <c r="AU1" s="852"/>
      <c r="AV1" s="852"/>
      <c r="AW1" s="852"/>
      <c r="AX1" s="852"/>
      <c r="AY1" s="852"/>
      <c r="AZ1" s="852"/>
      <c r="BA1" s="852"/>
      <c r="BB1" s="852"/>
      <c r="BC1" s="852"/>
      <c r="BD1" s="852"/>
      <c r="BE1" s="852"/>
      <c r="BF1" s="852"/>
      <c r="BG1" s="852"/>
      <c r="BH1" s="852"/>
      <c r="BI1" s="852"/>
      <c r="BJ1" s="852"/>
      <c r="BK1" s="852"/>
      <c r="BL1" s="852"/>
      <c r="BM1" s="852"/>
      <c r="BN1" s="852"/>
      <c r="BO1" s="852"/>
      <c r="BP1" s="852"/>
      <c r="BQ1" s="852"/>
      <c r="BR1" s="852"/>
      <c r="BS1" s="852"/>
      <c r="BT1" s="852"/>
      <c r="BU1" s="852"/>
      <c r="BV1" s="852"/>
      <c r="BW1" s="852"/>
      <c r="BX1" s="852"/>
      <c r="BY1" s="852"/>
      <c r="BZ1" s="852"/>
    </row>
    <row r="2" spans="1:78">
      <c r="A2" s="853" t="s">
        <v>3521</v>
      </c>
      <c r="B2" s="852"/>
      <c r="C2" s="852"/>
      <c r="D2" s="852"/>
      <c r="E2" s="852"/>
      <c r="F2" s="852"/>
      <c r="G2" s="852"/>
      <c r="H2" s="852"/>
      <c r="I2" s="852"/>
      <c r="J2" s="852"/>
      <c r="K2" s="852"/>
      <c r="L2" s="852"/>
      <c r="M2" s="852"/>
      <c r="N2" s="852"/>
      <c r="O2" s="852"/>
      <c r="P2" s="852"/>
      <c r="Q2" s="852"/>
      <c r="R2" s="852"/>
      <c r="S2" s="852"/>
      <c r="T2" s="852"/>
      <c r="U2" s="852"/>
      <c r="V2" s="852"/>
      <c r="W2" s="852"/>
      <c r="X2" s="852"/>
      <c r="Y2" s="852"/>
      <c r="Z2" s="852"/>
      <c r="AA2" s="852"/>
      <c r="AB2" s="852"/>
      <c r="AC2" s="852"/>
      <c r="AD2" s="852"/>
      <c r="AE2" s="852"/>
      <c r="AF2" s="852"/>
      <c r="AG2" s="852"/>
      <c r="AH2" s="852"/>
      <c r="AI2" s="852"/>
      <c r="AJ2" s="852"/>
      <c r="AK2" s="852"/>
      <c r="AL2" s="852"/>
      <c r="AM2" s="852"/>
      <c r="AN2" s="852"/>
      <c r="AO2" s="852"/>
      <c r="AP2" s="852"/>
      <c r="AQ2" s="852"/>
      <c r="AR2" s="852"/>
      <c r="AS2" s="852"/>
      <c r="AT2" s="852"/>
      <c r="AU2" s="852"/>
      <c r="AV2" s="852"/>
      <c r="AW2" s="852"/>
      <c r="AX2" s="852"/>
      <c r="AY2" s="852"/>
      <c r="AZ2" s="852"/>
      <c r="BA2" s="852"/>
      <c r="BB2" s="852"/>
      <c r="BC2" s="852"/>
      <c r="BD2" s="852"/>
      <c r="BE2" s="852"/>
      <c r="BF2" s="852"/>
      <c r="BG2" s="852"/>
      <c r="BH2" s="852"/>
      <c r="BI2" s="852"/>
      <c r="BJ2" s="852"/>
      <c r="BK2" s="852"/>
      <c r="BL2" s="852"/>
      <c r="BM2" s="852"/>
      <c r="BN2" s="852"/>
      <c r="BO2" s="852"/>
      <c r="BP2" s="852"/>
      <c r="BQ2" s="852"/>
      <c r="BR2" s="852"/>
      <c r="BS2" s="852"/>
      <c r="BT2" s="852"/>
      <c r="BU2" s="852"/>
      <c r="BV2" s="852"/>
      <c r="BW2" s="852"/>
      <c r="BX2" s="852"/>
      <c r="BY2" s="852"/>
      <c r="BZ2" s="852"/>
    </row>
    <row r="3" spans="1:78">
      <c r="A3" s="853" t="s">
        <v>3522</v>
      </c>
      <c r="B3" s="852"/>
      <c r="C3" s="852"/>
      <c r="D3" s="852"/>
      <c r="E3" s="852"/>
      <c r="F3" s="852"/>
      <c r="G3" s="852"/>
      <c r="H3" s="852"/>
      <c r="I3" s="852"/>
      <c r="J3" s="852"/>
      <c r="K3" s="852"/>
      <c r="L3" s="852"/>
      <c r="M3" s="852"/>
      <c r="N3" s="852"/>
      <c r="O3" s="852"/>
      <c r="P3" s="852"/>
      <c r="Q3" s="852"/>
      <c r="R3" s="852"/>
      <c r="S3" s="852"/>
      <c r="T3" s="852"/>
      <c r="U3" s="852"/>
      <c r="V3" s="852"/>
      <c r="W3" s="852"/>
      <c r="X3" s="852"/>
      <c r="Y3" s="852"/>
      <c r="Z3" s="852"/>
      <c r="AA3" s="852"/>
      <c r="AB3" s="852"/>
      <c r="AC3" s="852"/>
      <c r="AD3" s="852"/>
      <c r="AE3" s="852"/>
      <c r="AF3" s="852"/>
      <c r="AG3" s="852"/>
      <c r="AH3" s="852"/>
      <c r="AI3" s="852"/>
      <c r="AJ3" s="852"/>
      <c r="AK3" s="852"/>
      <c r="AL3" s="852"/>
      <c r="AM3" s="852"/>
      <c r="AN3" s="852"/>
      <c r="AO3" s="852"/>
      <c r="AP3" s="852"/>
      <c r="AQ3" s="852"/>
      <c r="AR3" s="852"/>
      <c r="AS3" s="852"/>
      <c r="AT3" s="852"/>
      <c r="AU3" s="852"/>
      <c r="AV3" s="852"/>
      <c r="AW3" s="852"/>
      <c r="AX3" s="852"/>
      <c r="AY3" s="852"/>
      <c r="AZ3" s="852"/>
      <c r="BA3" s="852"/>
      <c r="BB3" s="852"/>
      <c r="BC3" s="852"/>
      <c r="BD3" s="852"/>
      <c r="BE3" s="852"/>
      <c r="BF3" s="852"/>
      <c r="BG3" s="852"/>
      <c r="BH3" s="852"/>
      <c r="BI3" s="852"/>
      <c r="BJ3" s="852"/>
      <c r="BK3" s="852"/>
      <c r="BL3" s="852"/>
      <c r="BM3" s="852"/>
      <c r="BN3" s="852"/>
      <c r="BO3" s="852"/>
      <c r="BP3" s="852"/>
      <c r="BQ3" s="852"/>
      <c r="BR3" s="852"/>
      <c r="BS3" s="852"/>
      <c r="BT3" s="852"/>
      <c r="BU3" s="852"/>
      <c r="BV3" s="852"/>
      <c r="BW3" s="852"/>
      <c r="BX3" s="852"/>
      <c r="BY3" s="852"/>
      <c r="BZ3" s="852"/>
    </row>
    <row r="4" spans="1:78">
      <c r="A4" s="853" t="s">
        <v>3523</v>
      </c>
      <c r="B4" s="852"/>
      <c r="C4" s="852"/>
      <c r="D4" s="852"/>
      <c r="E4" s="852"/>
      <c r="F4" s="852"/>
      <c r="G4" s="852"/>
      <c r="H4" s="852"/>
      <c r="I4" s="852"/>
      <c r="J4" s="852"/>
      <c r="K4" s="852"/>
      <c r="L4" s="852"/>
      <c r="M4" s="852"/>
      <c r="N4" s="852"/>
      <c r="O4" s="852"/>
      <c r="P4" s="852"/>
      <c r="Q4" s="852"/>
      <c r="R4" s="852"/>
      <c r="S4" s="852"/>
      <c r="T4" s="852"/>
      <c r="U4" s="852"/>
      <c r="V4" s="852"/>
      <c r="W4" s="852"/>
      <c r="X4" s="852"/>
      <c r="Y4" s="852"/>
      <c r="Z4" s="852"/>
      <c r="AA4" s="852"/>
      <c r="AB4" s="852"/>
      <c r="AC4" s="852"/>
      <c r="AD4" s="852"/>
      <c r="AE4" s="852"/>
      <c r="AF4" s="852"/>
      <c r="AG4" s="852"/>
      <c r="AH4" s="852"/>
      <c r="AI4" s="852"/>
      <c r="AJ4" s="852"/>
      <c r="AK4" s="852"/>
      <c r="AL4" s="852"/>
      <c r="AM4" s="852"/>
      <c r="AN4" s="852"/>
      <c r="AO4" s="852"/>
      <c r="AP4" s="852"/>
      <c r="AQ4" s="852"/>
      <c r="AR4" s="852"/>
      <c r="AS4" s="852"/>
      <c r="AT4" s="852"/>
      <c r="AU4" s="852"/>
      <c r="AV4" s="852"/>
      <c r="AW4" s="852"/>
      <c r="AX4" s="852"/>
      <c r="AY4" s="852"/>
      <c r="AZ4" s="852"/>
      <c r="BA4" s="852"/>
      <c r="BB4" s="852"/>
      <c r="BC4" s="852"/>
      <c r="BD4" s="852"/>
      <c r="BE4" s="852"/>
      <c r="BF4" s="852"/>
      <c r="BG4" s="852"/>
      <c r="BH4" s="852"/>
      <c r="BI4" s="852"/>
      <c r="BJ4" s="852"/>
      <c r="BK4" s="852"/>
      <c r="BL4" s="852"/>
      <c r="BM4" s="852"/>
      <c r="BN4" s="852"/>
      <c r="BO4" s="852"/>
      <c r="BP4" s="852"/>
      <c r="BQ4" s="852"/>
      <c r="BR4" s="852"/>
      <c r="BS4" s="852"/>
      <c r="BT4" s="852"/>
      <c r="BU4" s="852"/>
      <c r="BV4" s="852"/>
      <c r="BW4" s="852"/>
      <c r="BX4" s="852"/>
      <c r="BY4" s="852"/>
      <c r="BZ4" s="852"/>
    </row>
    <row r="5" spans="1:78">
      <c r="A5" s="853" t="s">
        <v>3524</v>
      </c>
      <c r="B5" s="852"/>
      <c r="C5" s="852"/>
      <c r="D5" s="852"/>
      <c r="E5" s="852"/>
      <c r="F5" s="852"/>
      <c r="G5" s="852"/>
      <c r="H5" s="852"/>
      <c r="I5" s="852"/>
      <c r="J5" s="852"/>
      <c r="K5" s="852"/>
      <c r="L5" s="852"/>
      <c r="M5" s="852"/>
      <c r="N5" s="852"/>
      <c r="O5" s="852"/>
      <c r="P5" s="852"/>
      <c r="Q5" s="852"/>
      <c r="R5" s="852"/>
      <c r="S5" s="852"/>
      <c r="T5" s="852"/>
      <c r="U5" s="852"/>
      <c r="V5" s="852"/>
      <c r="W5" s="852"/>
      <c r="X5" s="852"/>
      <c r="Y5" s="852"/>
      <c r="Z5" s="852"/>
      <c r="AA5" s="852"/>
      <c r="AB5" s="852"/>
      <c r="AC5" s="852"/>
      <c r="AD5" s="852"/>
      <c r="AE5" s="852"/>
      <c r="AF5" s="852"/>
      <c r="AG5" s="852"/>
      <c r="AH5" s="852"/>
      <c r="AI5" s="852"/>
      <c r="AJ5" s="852"/>
      <c r="AK5" s="852"/>
      <c r="AL5" s="852"/>
      <c r="AM5" s="852"/>
      <c r="AN5" s="852"/>
      <c r="AO5" s="852"/>
      <c r="AP5" s="852"/>
      <c r="AQ5" s="852"/>
      <c r="AR5" s="852"/>
      <c r="AS5" s="852"/>
      <c r="AT5" s="852"/>
      <c r="AU5" s="852"/>
      <c r="AV5" s="852"/>
      <c r="AW5" s="852"/>
      <c r="AX5" s="852"/>
      <c r="AY5" s="852"/>
      <c r="AZ5" s="852"/>
      <c r="BA5" s="852"/>
      <c r="BB5" s="852"/>
      <c r="BC5" s="852"/>
      <c r="BD5" s="852"/>
      <c r="BE5" s="852"/>
      <c r="BF5" s="852"/>
      <c r="BG5" s="852"/>
      <c r="BH5" s="852"/>
      <c r="BI5" s="852"/>
      <c r="BJ5" s="852"/>
      <c r="BK5" s="852"/>
      <c r="BL5" s="852"/>
      <c r="BM5" s="852"/>
      <c r="BN5" s="852"/>
      <c r="BO5" s="852"/>
      <c r="BP5" s="852"/>
      <c r="BQ5" s="852"/>
      <c r="BR5" s="852"/>
      <c r="BS5" s="852"/>
      <c r="BT5" s="852"/>
      <c r="BU5" s="852"/>
      <c r="BV5" s="852"/>
      <c r="BW5" s="852"/>
      <c r="BX5" s="852"/>
      <c r="BY5" s="852"/>
      <c r="BZ5" s="852"/>
    </row>
    <row r="6" spans="1:78">
      <c r="A6" s="853" t="s">
        <v>3525</v>
      </c>
      <c r="B6" s="852"/>
      <c r="C6" s="852"/>
      <c r="D6" s="852"/>
      <c r="E6" s="852"/>
      <c r="F6" s="852"/>
      <c r="G6" s="852"/>
      <c r="H6" s="852"/>
      <c r="I6" s="852"/>
      <c r="J6" s="852"/>
      <c r="K6" s="852"/>
      <c r="L6" s="852"/>
      <c r="M6" s="852"/>
      <c r="N6" s="852"/>
      <c r="O6" s="852"/>
      <c r="P6" s="852"/>
      <c r="Q6" s="852"/>
      <c r="R6" s="852"/>
      <c r="S6" s="852"/>
      <c r="T6" s="852"/>
      <c r="U6" s="852"/>
      <c r="V6" s="852"/>
      <c r="W6" s="852"/>
      <c r="X6" s="852"/>
      <c r="Y6" s="852"/>
      <c r="Z6" s="852"/>
      <c r="AA6" s="852"/>
      <c r="AB6" s="852"/>
      <c r="AC6" s="852"/>
      <c r="AD6" s="852"/>
      <c r="AE6" s="852"/>
      <c r="AF6" s="852"/>
      <c r="AG6" s="852"/>
      <c r="AH6" s="852"/>
      <c r="AI6" s="852"/>
      <c r="AJ6" s="852"/>
      <c r="AK6" s="852"/>
      <c r="AL6" s="852"/>
      <c r="AM6" s="852"/>
      <c r="AN6" s="852"/>
      <c r="AO6" s="852"/>
      <c r="AP6" s="852"/>
      <c r="AQ6" s="852"/>
      <c r="AR6" s="852"/>
      <c r="AS6" s="852"/>
      <c r="AT6" s="852"/>
      <c r="AU6" s="852"/>
      <c r="AV6" s="852"/>
      <c r="AW6" s="852"/>
      <c r="AX6" s="852"/>
      <c r="AY6" s="852"/>
      <c r="AZ6" s="852"/>
      <c r="BA6" s="852"/>
      <c r="BB6" s="852"/>
      <c r="BC6" s="852"/>
      <c r="BD6" s="852"/>
      <c r="BE6" s="852"/>
      <c r="BF6" s="852"/>
      <c r="BG6" s="852"/>
      <c r="BH6" s="852"/>
      <c r="BI6" s="852"/>
      <c r="BJ6" s="852"/>
      <c r="BK6" s="852"/>
      <c r="BL6" s="852"/>
      <c r="BM6" s="852"/>
      <c r="BN6" s="852"/>
      <c r="BO6" s="852"/>
      <c r="BP6" s="852"/>
      <c r="BQ6" s="852"/>
      <c r="BR6" s="852"/>
      <c r="BS6" s="852"/>
      <c r="BT6" s="852"/>
      <c r="BU6" s="852"/>
      <c r="BV6" s="852"/>
      <c r="BW6" s="852"/>
      <c r="BX6" s="852"/>
      <c r="BY6" s="852"/>
      <c r="BZ6" s="852"/>
    </row>
    <row r="7" spans="1:78">
      <c r="A7" s="853" t="s">
        <v>3526</v>
      </c>
      <c r="B7" s="852"/>
      <c r="C7" s="852"/>
      <c r="D7" s="852"/>
      <c r="E7" s="852"/>
      <c r="F7" s="852"/>
      <c r="G7" s="852"/>
      <c r="H7" s="852"/>
      <c r="I7" s="852"/>
      <c r="J7" s="852"/>
      <c r="K7" s="852"/>
      <c r="L7" s="852"/>
      <c r="M7" s="852"/>
      <c r="N7" s="852"/>
      <c r="O7" s="852"/>
      <c r="P7" s="852"/>
      <c r="Q7" s="852"/>
      <c r="R7" s="852"/>
      <c r="S7" s="852"/>
      <c r="T7" s="852"/>
      <c r="U7" s="852"/>
      <c r="V7" s="852"/>
      <c r="W7" s="852"/>
      <c r="X7" s="852"/>
      <c r="Y7" s="852"/>
      <c r="Z7" s="852"/>
      <c r="AA7" s="852"/>
      <c r="AB7" s="852"/>
      <c r="AC7" s="852"/>
      <c r="AD7" s="852"/>
      <c r="AE7" s="852"/>
      <c r="AF7" s="852"/>
      <c r="AG7" s="852"/>
      <c r="AH7" s="852"/>
      <c r="AI7" s="852"/>
      <c r="AJ7" s="852"/>
      <c r="AK7" s="852"/>
      <c r="AL7" s="852"/>
      <c r="AM7" s="852"/>
      <c r="AN7" s="852"/>
      <c r="AO7" s="852"/>
      <c r="AP7" s="852"/>
      <c r="AQ7" s="852"/>
      <c r="AR7" s="852"/>
      <c r="AS7" s="852"/>
      <c r="AT7" s="852"/>
      <c r="AU7" s="852"/>
      <c r="AV7" s="852"/>
      <c r="AW7" s="852"/>
      <c r="AX7" s="852"/>
      <c r="AY7" s="852"/>
      <c r="AZ7" s="852"/>
      <c r="BA7" s="852"/>
      <c r="BB7" s="852"/>
      <c r="BC7" s="852"/>
      <c r="BD7" s="852"/>
      <c r="BE7" s="852"/>
      <c r="BF7" s="852"/>
      <c r="BG7" s="852"/>
      <c r="BH7" s="852"/>
      <c r="BI7" s="852"/>
      <c r="BJ7" s="852"/>
      <c r="BK7" s="852"/>
      <c r="BL7" s="852"/>
      <c r="BM7" s="852"/>
      <c r="BN7" s="852"/>
      <c r="BO7" s="852"/>
      <c r="BP7" s="852"/>
      <c r="BQ7" s="852"/>
      <c r="BR7" s="852"/>
      <c r="BS7" s="852"/>
      <c r="BT7" s="852"/>
      <c r="BU7" s="852"/>
      <c r="BV7" s="852"/>
      <c r="BW7" s="852"/>
      <c r="BX7" s="852"/>
      <c r="BY7" s="852"/>
      <c r="BZ7" s="852"/>
    </row>
    <row r="8" spans="1:78">
      <c r="A8" s="853" t="s">
        <v>3527</v>
      </c>
      <c r="B8" s="852"/>
      <c r="C8" s="852"/>
      <c r="D8" s="852"/>
      <c r="E8" s="852"/>
      <c r="F8" s="852"/>
      <c r="G8" s="852"/>
      <c r="H8" s="852"/>
      <c r="I8" s="852"/>
      <c r="J8" s="852"/>
      <c r="K8" s="852"/>
      <c r="L8" s="852"/>
      <c r="M8" s="852"/>
      <c r="N8" s="852"/>
      <c r="O8" s="852"/>
      <c r="P8" s="852"/>
      <c r="Q8" s="852"/>
      <c r="R8" s="852"/>
      <c r="S8" s="852"/>
      <c r="T8" s="852"/>
      <c r="U8" s="852"/>
      <c r="V8" s="852"/>
      <c r="W8" s="852"/>
      <c r="X8" s="852"/>
      <c r="Y8" s="852"/>
      <c r="Z8" s="852"/>
      <c r="AA8" s="852"/>
      <c r="AB8" s="852"/>
      <c r="AC8" s="852"/>
      <c r="AD8" s="852"/>
      <c r="AE8" s="852"/>
      <c r="AF8" s="852"/>
      <c r="AG8" s="852"/>
      <c r="AH8" s="852"/>
      <c r="AI8" s="852"/>
      <c r="AJ8" s="852"/>
      <c r="AK8" s="852"/>
      <c r="AL8" s="852"/>
      <c r="AM8" s="852"/>
      <c r="AN8" s="852"/>
      <c r="AO8" s="852"/>
      <c r="AP8" s="852"/>
      <c r="AQ8" s="852"/>
      <c r="AR8" s="852"/>
      <c r="AS8" s="852"/>
      <c r="AT8" s="852"/>
      <c r="AU8" s="852"/>
      <c r="AV8" s="852"/>
      <c r="AW8" s="852"/>
      <c r="AX8" s="852"/>
      <c r="AY8" s="852"/>
      <c r="AZ8" s="852"/>
      <c r="BA8" s="852"/>
      <c r="BB8" s="852"/>
      <c r="BC8" s="852"/>
      <c r="BD8" s="852"/>
      <c r="BE8" s="852"/>
      <c r="BF8" s="852"/>
      <c r="BG8" s="852"/>
      <c r="BH8" s="852"/>
      <c r="BI8" s="852"/>
      <c r="BJ8" s="852"/>
      <c r="BK8" s="852"/>
      <c r="BL8" s="852"/>
      <c r="BM8" s="852"/>
      <c r="BN8" s="852"/>
      <c r="BO8" s="852"/>
      <c r="BP8" s="852"/>
      <c r="BQ8" s="852"/>
      <c r="BR8" s="852"/>
      <c r="BS8" s="852"/>
      <c r="BT8" s="852"/>
      <c r="BU8" s="852"/>
      <c r="BV8" s="852"/>
      <c r="BW8" s="852"/>
      <c r="BX8" s="852"/>
      <c r="BY8" s="852"/>
      <c r="BZ8" s="852"/>
    </row>
    <row r="9" spans="1:78" s="854" customFormat="1" ht="14.5" customHeight="1">
      <c r="A9" s="1085" t="s">
        <v>3528</v>
      </c>
      <c r="B9" s="1087" t="s">
        <v>3529</v>
      </c>
      <c r="C9" s="1087" t="s">
        <v>3530</v>
      </c>
      <c r="D9" s="1087" t="s">
        <v>3531</v>
      </c>
      <c r="E9" s="1087" t="s">
        <v>3532</v>
      </c>
      <c r="F9" s="1082" t="s">
        <v>3533</v>
      </c>
      <c r="G9" s="1083"/>
      <c r="H9" s="1083"/>
      <c r="I9" s="1083"/>
      <c r="J9" s="1083"/>
      <c r="K9" s="1084"/>
      <c r="L9" s="1079" t="s">
        <v>3534</v>
      </c>
      <c r="M9" s="1080"/>
      <c r="N9" s="1080"/>
      <c r="O9" s="1080"/>
      <c r="P9" s="1080"/>
      <c r="Q9" s="1080"/>
      <c r="R9" s="1080"/>
      <c r="S9" s="1080"/>
      <c r="T9" s="1080"/>
      <c r="U9" s="1080"/>
      <c r="V9" s="1080"/>
      <c r="W9" s="1080"/>
      <c r="X9" s="1080"/>
      <c r="Y9" s="1080"/>
      <c r="Z9" s="1080"/>
      <c r="AA9" s="1080"/>
      <c r="AB9" s="1080"/>
      <c r="AC9" s="1080"/>
      <c r="AD9" s="1080"/>
      <c r="AE9" s="1080"/>
      <c r="AF9" s="1080"/>
      <c r="AG9" s="1080"/>
      <c r="AH9" s="1080"/>
      <c r="AI9" s="1080"/>
      <c r="AJ9" s="1080"/>
      <c r="AK9" s="1080"/>
      <c r="AL9" s="1080"/>
      <c r="AM9" s="1080"/>
      <c r="AN9" s="1080"/>
      <c r="AO9" s="1081"/>
      <c r="AP9" s="1072" t="s">
        <v>3535</v>
      </c>
      <c r="AQ9" s="1073"/>
      <c r="AR9" s="1073"/>
      <c r="AS9" s="1073"/>
      <c r="AT9" s="1073"/>
      <c r="AU9" s="1073"/>
      <c r="AV9" s="1073"/>
      <c r="AW9" s="1073"/>
      <c r="AX9" s="1073"/>
      <c r="AY9" s="1073"/>
      <c r="AZ9" s="1073"/>
      <c r="BA9" s="1073"/>
      <c r="BB9" s="1073"/>
      <c r="BC9" s="1073"/>
      <c r="BD9" s="1073"/>
      <c r="BE9" s="1073"/>
      <c r="BF9" s="1073"/>
      <c r="BG9" s="1073"/>
      <c r="BH9" s="1074" t="s">
        <v>3536</v>
      </c>
      <c r="BI9" s="1075"/>
      <c r="BJ9" s="1075"/>
      <c r="BK9" s="1075"/>
      <c r="BL9" s="1075"/>
      <c r="BM9" s="1075"/>
      <c r="BN9" s="1075"/>
      <c r="BO9" s="1075"/>
      <c r="BP9" s="1075"/>
      <c r="BQ9" s="1075"/>
      <c r="BR9" s="1075"/>
      <c r="BS9" s="1075"/>
      <c r="BT9" s="1075"/>
      <c r="BU9" s="1075"/>
      <c r="BV9" s="1075"/>
      <c r="BW9" s="1075"/>
      <c r="BX9" s="1075"/>
      <c r="BY9" s="1076"/>
      <c r="BZ9" s="1077" t="s">
        <v>3537</v>
      </c>
    </row>
    <row r="10" spans="1:78" s="855" customFormat="1">
      <c r="A10" s="1086"/>
      <c r="B10" s="1087"/>
      <c r="C10" s="1087"/>
      <c r="D10" s="1087"/>
      <c r="E10" s="1087"/>
      <c r="F10" s="1069" t="s">
        <v>3538</v>
      </c>
      <c r="G10" s="1070"/>
      <c r="H10" s="1071"/>
      <c r="I10" s="1069" t="s">
        <v>3539</v>
      </c>
      <c r="J10" s="1070"/>
      <c r="K10" s="1071"/>
      <c r="L10" s="1070" t="s">
        <v>3540</v>
      </c>
      <c r="M10" s="1070"/>
      <c r="N10" s="1071"/>
      <c r="O10" s="1069" t="s">
        <v>3541</v>
      </c>
      <c r="P10" s="1070"/>
      <c r="Q10" s="1071"/>
      <c r="R10" s="1069" t="s">
        <v>3542</v>
      </c>
      <c r="S10" s="1070"/>
      <c r="T10" s="1071"/>
      <c r="U10" s="1069" t="s">
        <v>3543</v>
      </c>
      <c r="V10" s="1070"/>
      <c r="W10" s="1071"/>
      <c r="X10" s="1069" t="s">
        <v>3544</v>
      </c>
      <c r="Y10" s="1070"/>
      <c r="Z10" s="1071"/>
      <c r="AA10" s="1069" t="s">
        <v>3545</v>
      </c>
      <c r="AB10" s="1070"/>
      <c r="AC10" s="1071"/>
      <c r="AD10" s="1069" t="s">
        <v>3546</v>
      </c>
      <c r="AE10" s="1070"/>
      <c r="AF10" s="1071"/>
      <c r="AG10" s="1069" t="s">
        <v>3547</v>
      </c>
      <c r="AH10" s="1070"/>
      <c r="AI10" s="1071"/>
      <c r="AJ10" s="1069" t="s">
        <v>3548</v>
      </c>
      <c r="AK10" s="1070"/>
      <c r="AL10" s="1071"/>
      <c r="AM10" s="1069" t="s">
        <v>3549</v>
      </c>
      <c r="AN10" s="1070"/>
      <c r="AO10" s="1071"/>
      <c r="AP10" s="1069" t="s">
        <v>3550</v>
      </c>
      <c r="AQ10" s="1070"/>
      <c r="AR10" s="1071"/>
      <c r="AS10" s="1069" t="s">
        <v>3551</v>
      </c>
      <c r="AT10" s="1070"/>
      <c r="AU10" s="1071"/>
      <c r="AV10" s="1069" t="s">
        <v>3552</v>
      </c>
      <c r="AW10" s="1070"/>
      <c r="AX10" s="1071"/>
      <c r="AY10" s="1069" t="s">
        <v>3553</v>
      </c>
      <c r="AZ10" s="1070"/>
      <c r="BA10" s="1071"/>
      <c r="BB10" s="1069" t="s">
        <v>3554</v>
      </c>
      <c r="BC10" s="1070"/>
      <c r="BD10" s="1071"/>
      <c r="BE10" s="1069" t="s">
        <v>3555</v>
      </c>
      <c r="BF10" s="1070"/>
      <c r="BG10" s="1071"/>
      <c r="BH10" s="1069" t="s">
        <v>3514</v>
      </c>
      <c r="BI10" s="1070"/>
      <c r="BJ10" s="1071"/>
      <c r="BK10" s="1069" t="s">
        <v>3556</v>
      </c>
      <c r="BL10" s="1070"/>
      <c r="BM10" s="1071"/>
      <c r="BN10" s="1069" t="s">
        <v>3557</v>
      </c>
      <c r="BO10" s="1070"/>
      <c r="BP10" s="1071"/>
      <c r="BQ10" s="1069" t="s">
        <v>3558</v>
      </c>
      <c r="BR10" s="1070"/>
      <c r="BS10" s="1071"/>
      <c r="BT10" s="1069" t="s">
        <v>3559</v>
      </c>
      <c r="BU10" s="1070"/>
      <c r="BV10" s="1071"/>
      <c r="BW10" s="1069" t="s">
        <v>3560</v>
      </c>
      <c r="BX10" s="1070"/>
      <c r="BY10" s="1071"/>
      <c r="BZ10" s="1078"/>
    </row>
    <row r="11" spans="1:78" s="860" customFormat="1" ht="28">
      <c r="A11" s="1086"/>
      <c r="B11" s="1087"/>
      <c r="C11" s="1087"/>
      <c r="D11" s="1087"/>
      <c r="E11" s="1087"/>
      <c r="F11" s="856" t="s">
        <v>3561</v>
      </c>
      <c r="G11" s="857" t="s">
        <v>3562</v>
      </c>
      <c r="H11" s="858" t="s">
        <v>3563</v>
      </c>
      <c r="I11" s="856" t="s">
        <v>3561</v>
      </c>
      <c r="J11" s="857" t="s">
        <v>3562</v>
      </c>
      <c r="K11" s="858" t="s">
        <v>3563</v>
      </c>
      <c r="L11" s="859" t="s">
        <v>3561</v>
      </c>
      <c r="M11" s="857" t="s">
        <v>3562</v>
      </c>
      <c r="N11" s="858" t="s">
        <v>3563</v>
      </c>
      <c r="O11" s="856" t="s">
        <v>3561</v>
      </c>
      <c r="P11" s="857" t="s">
        <v>3562</v>
      </c>
      <c r="Q11" s="858" t="s">
        <v>3563</v>
      </c>
      <c r="R11" s="856" t="s">
        <v>3561</v>
      </c>
      <c r="S11" s="857" t="s">
        <v>3562</v>
      </c>
      <c r="T11" s="858" t="s">
        <v>3563</v>
      </c>
      <c r="U11" s="856" t="s">
        <v>3561</v>
      </c>
      <c r="V11" s="857" t="s">
        <v>3562</v>
      </c>
      <c r="W11" s="858" t="s">
        <v>3563</v>
      </c>
      <c r="X11" s="856" t="s">
        <v>3561</v>
      </c>
      <c r="Y11" s="857" t="s">
        <v>3562</v>
      </c>
      <c r="Z11" s="858" t="s">
        <v>3563</v>
      </c>
      <c r="AA11" s="856" t="s">
        <v>3561</v>
      </c>
      <c r="AB11" s="857" t="s">
        <v>3562</v>
      </c>
      <c r="AC11" s="858" t="s">
        <v>3563</v>
      </c>
      <c r="AD11" s="856" t="s">
        <v>3561</v>
      </c>
      <c r="AE11" s="857" t="s">
        <v>3562</v>
      </c>
      <c r="AF11" s="858" t="s">
        <v>3563</v>
      </c>
      <c r="AG11" s="856" t="s">
        <v>3561</v>
      </c>
      <c r="AH11" s="857" t="s">
        <v>3562</v>
      </c>
      <c r="AI11" s="858" t="s">
        <v>3563</v>
      </c>
      <c r="AJ11" s="856" t="s">
        <v>3561</v>
      </c>
      <c r="AK11" s="857" t="s">
        <v>3562</v>
      </c>
      <c r="AL11" s="858" t="s">
        <v>3563</v>
      </c>
      <c r="AM11" s="856" t="s">
        <v>3561</v>
      </c>
      <c r="AN11" s="857" t="s">
        <v>3562</v>
      </c>
      <c r="AO11" s="858" t="s">
        <v>3563</v>
      </c>
      <c r="AP11" s="856" t="s">
        <v>3561</v>
      </c>
      <c r="AQ11" s="857" t="s">
        <v>3562</v>
      </c>
      <c r="AR11" s="858" t="s">
        <v>3563</v>
      </c>
      <c r="AS11" s="856" t="s">
        <v>3561</v>
      </c>
      <c r="AT11" s="857" t="s">
        <v>3562</v>
      </c>
      <c r="AU11" s="858" t="s">
        <v>3563</v>
      </c>
      <c r="AV11" s="856" t="s">
        <v>3561</v>
      </c>
      <c r="AW11" s="857" t="s">
        <v>3562</v>
      </c>
      <c r="AX11" s="858" t="s">
        <v>3563</v>
      </c>
      <c r="AY11" s="856" t="s">
        <v>3561</v>
      </c>
      <c r="AZ11" s="857" t="s">
        <v>3562</v>
      </c>
      <c r="BA11" s="858" t="s">
        <v>3563</v>
      </c>
      <c r="BB11" s="856" t="s">
        <v>3561</v>
      </c>
      <c r="BC11" s="857" t="s">
        <v>3562</v>
      </c>
      <c r="BD11" s="858" t="s">
        <v>3563</v>
      </c>
      <c r="BE11" s="856" t="s">
        <v>3561</v>
      </c>
      <c r="BF11" s="857" t="s">
        <v>3562</v>
      </c>
      <c r="BG11" s="858" t="s">
        <v>3563</v>
      </c>
      <c r="BH11" s="856" t="s">
        <v>3561</v>
      </c>
      <c r="BI11" s="857" t="s">
        <v>3562</v>
      </c>
      <c r="BJ11" s="858" t="s">
        <v>3563</v>
      </c>
      <c r="BK11" s="856" t="s">
        <v>3561</v>
      </c>
      <c r="BL11" s="857" t="s">
        <v>3562</v>
      </c>
      <c r="BM11" s="858" t="s">
        <v>3563</v>
      </c>
      <c r="BN11" s="856" t="s">
        <v>3561</v>
      </c>
      <c r="BO11" s="857" t="s">
        <v>3562</v>
      </c>
      <c r="BP11" s="858" t="s">
        <v>3563</v>
      </c>
      <c r="BQ11" s="856" t="s">
        <v>3561</v>
      </c>
      <c r="BR11" s="857" t="s">
        <v>3562</v>
      </c>
      <c r="BS11" s="858" t="s">
        <v>3563</v>
      </c>
      <c r="BT11" s="856" t="s">
        <v>3561</v>
      </c>
      <c r="BU11" s="857" t="s">
        <v>3562</v>
      </c>
      <c r="BV11" s="858" t="s">
        <v>3563</v>
      </c>
      <c r="BW11" s="856" t="s">
        <v>3561</v>
      </c>
      <c r="BX11" s="857" t="s">
        <v>3562</v>
      </c>
      <c r="BY11" s="858" t="s">
        <v>3563</v>
      </c>
      <c r="BZ11" s="1078"/>
    </row>
    <row r="12" spans="1:78" s="867" customFormat="1">
      <c r="A12" s="861" t="s">
        <v>3564</v>
      </c>
      <c r="B12" s="862">
        <v>2</v>
      </c>
      <c r="C12" s="862">
        <v>35</v>
      </c>
      <c r="D12" s="862">
        <v>9298</v>
      </c>
      <c r="E12" s="863">
        <v>1.39</v>
      </c>
      <c r="F12" s="864">
        <v>1274.7752808988766</v>
      </c>
      <c r="G12" s="862">
        <v>2787</v>
      </c>
      <c r="H12" s="865" t="s">
        <v>3492</v>
      </c>
      <c r="I12" s="864">
        <v>6071.2359550561787</v>
      </c>
      <c r="J12" s="862" t="s">
        <v>3492</v>
      </c>
      <c r="K12" s="865" t="s">
        <v>3492</v>
      </c>
      <c r="L12" s="862">
        <v>73.599999999999994</v>
      </c>
      <c r="M12" s="862">
        <v>722</v>
      </c>
      <c r="N12" s="865">
        <v>1394</v>
      </c>
      <c r="O12" s="864">
        <v>277.27659574468083</v>
      </c>
      <c r="P12" s="862">
        <v>1497</v>
      </c>
      <c r="Q12" s="865">
        <v>2170</v>
      </c>
      <c r="R12" s="864">
        <v>631.08510638297889</v>
      </c>
      <c r="S12" s="862">
        <v>1803</v>
      </c>
      <c r="T12" s="865">
        <v>2403</v>
      </c>
      <c r="U12" s="864">
        <v>149.46595744680849</v>
      </c>
      <c r="V12" s="862">
        <v>2189</v>
      </c>
      <c r="W12" s="865" t="s">
        <v>3565</v>
      </c>
      <c r="X12" s="864">
        <v>17.927659574468088</v>
      </c>
      <c r="Y12" s="862" t="s">
        <v>3492</v>
      </c>
      <c r="Z12" s="865" t="s">
        <v>3492</v>
      </c>
      <c r="AA12" s="864">
        <v>1.0021276595744679</v>
      </c>
      <c r="AB12" s="862" t="s">
        <v>3492</v>
      </c>
      <c r="AC12" s="865" t="s">
        <v>3492</v>
      </c>
      <c r="AD12" s="864" t="s">
        <v>3566</v>
      </c>
      <c r="AE12" s="862" t="s">
        <v>3566</v>
      </c>
      <c r="AF12" s="865" t="s">
        <v>3566</v>
      </c>
      <c r="AG12" s="864" t="s">
        <v>3566</v>
      </c>
      <c r="AH12" s="862" t="s">
        <v>3566</v>
      </c>
      <c r="AI12" s="865" t="s">
        <v>3566</v>
      </c>
      <c r="AJ12" s="864"/>
      <c r="AK12" s="862"/>
      <c r="AL12" s="865"/>
      <c r="AM12" s="864"/>
      <c r="AN12" s="862"/>
      <c r="AO12" s="865"/>
      <c r="AP12" s="864">
        <v>22.511489361702129</v>
      </c>
      <c r="AQ12" s="862">
        <v>1977</v>
      </c>
      <c r="AR12" s="865" t="s">
        <v>3565</v>
      </c>
      <c r="AS12" s="864"/>
      <c r="AT12" s="862"/>
      <c r="AU12" s="865"/>
      <c r="AV12" s="864">
        <v>2071.0851063829787</v>
      </c>
      <c r="AW12" s="862">
        <v>2351</v>
      </c>
      <c r="AX12" s="865" t="s">
        <v>3492</v>
      </c>
      <c r="AY12" s="864">
        <v>93.54255319148939</v>
      </c>
      <c r="AZ12" s="862" t="s">
        <v>3492</v>
      </c>
      <c r="BA12" s="865" t="s">
        <v>3492</v>
      </c>
      <c r="BB12" s="864"/>
      <c r="BC12" s="862"/>
      <c r="BD12" s="865"/>
      <c r="BE12" s="864" t="s">
        <v>3566</v>
      </c>
      <c r="BF12" s="862" t="s">
        <v>3566</v>
      </c>
      <c r="BG12" s="865" t="s">
        <v>3566</v>
      </c>
      <c r="BH12" s="864"/>
      <c r="BI12" s="862"/>
      <c r="BJ12" s="865"/>
      <c r="BK12" s="864"/>
      <c r="BL12" s="862"/>
      <c r="BM12" s="865"/>
      <c r="BN12" s="864"/>
      <c r="BO12" s="862"/>
      <c r="BP12" s="865"/>
      <c r="BQ12" s="864"/>
      <c r="BR12" s="862"/>
      <c r="BS12" s="865"/>
      <c r="BT12" s="864"/>
      <c r="BU12" s="862"/>
      <c r="BV12" s="865"/>
      <c r="BW12" s="864"/>
      <c r="BX12" s="862"/>
      <c r="BY12" s="865"/>
      <c r="BZ12" s="866" t="s">
        <v>3567</v>
      </c>
    </row>
    <row r="13" spans="1:78">
      <c r="A13" s="868" t="s">
        <v>3568</v>
      </c>
      <c r="B13" s="869">
        <v>3</v>
      </c>
      <c r="C13" s="870">
        <v>47.7</v>
      </c>
      <c r="D13" s="869">
        <v>4377</v>
      </c>
      <c r="E13" s="871" t="s">
        <v>3565</v>
      </c>
      <c r="F13" s="872">
        <v>966</v>
      </c>
      <c r="G13" s="873" t="s">
        <v>3565</v>
      </c>
      <c r="H13" s="874" t="s">
        <v>3492</v>
      </c>
      <c r="I13" s="872">
        <v>3411</v>
      </c>
      <c r="J13" s="873" t="s">
        <v>3565</v>
      </c>
      <c r="K13" s="874" t="s">
        <v>3492</v>
      </c>
      <c r="BZ13" s="875" t="s">
        <v>3569</v>
      </c>
    </row>
    <row r="14" spans="1:78" s="867" customFormat="1">
      <c r="A14" s="861" t="s">
        <v>3570</v>
      </c>
      <c r="B14" s="862">
        <v>1</v>
      </c>
      <c r="C14" s="876">
        <v>15.9</v>
      </c>
      <c r="D14" s="862">
        <v>4377</v>
      </c>
      <c r="E14" s="863" t="s">
        <v>3565</v>
      </c>
      <c r="F14" s="864">
        <v>966</v>
      </c>
      <c r="G14" s="862">
        <v>5344</v>
      </c>
      <c r="H14" s="865">
        <v>5633</v>
      </c>
      <c r="I14" s="864">
        <v>3411</v>
      </c>
      <c r="J14" s="862">
        <v>5367</v>
      </c>
      <c r="K14" s="865">
        <v>5659</v>
      </c>
      <c r="L14" s="862"/>
      <c r="M14" s="862"/>
      <c r="N14" s="865"/>
      <c r="O14" s="864"/>
      <c r="P14" s="862"/>
      <c r="Q14" s="865"/>
      <c r="R14" s="864"/>
      <c r="S14" s="862"/>
      <c r="T14" s="865"/>
      <c r="U14" s="864"/>
      <c r="V14" s="862"/>
      <c r="W14" s="865"/>
      <c r="X14" s="864"/>
      <c r="Y14" s="862"/>
      <c r="Z14" s="865"/>
      <c r="AA14" s="864"/>
      <c r="AB14" s="862"/>
      <c r="AC14" s="865"/>
      <c r="AD14" s="864"/>
      <c r="AE14" s="862"/>
      <c r="AF14" s="865"/>
      <c r="AG14" s="864"/>
      <c r="AH14" s="862"/>
      <c r="AI14" s="865"/>
      <c r="AJ14" s="864"/>
      <c r="AK14" s="862"/>
      <c r="AL14" s="865"/>
      <c r="AM14" s="864"/>
      <c r="AN14" s="862"/>
      <c r="AO14" s="865"/>
      <c r="AP14" s="864"/>
      <c r="AQ14" s="862"/>
      <c r="AR14" s="865"/>
      <c r="AS14" s="864"/>
      <c r="AT14" s="862"/>
      <c r="AU14" s="865"/>
      <c r="AV14" s="864"/>
      <c r="AW14" s="862"/>
      <c r="AX14" s="865"/>
      <c r="AY14" s="864"/>
      <c r="AZ14" s="862"/>
      <c r="BA14" s="865"/>
      <c r="BB14" s="864"/>
      <c r="BC14" s="862"/>
      <c r="BD14" s="865"/>
      <c r="BE14" s="864"/>
      <c r="BF14" s="862"/>
      <c r="BG14" s="865"/>
      <c r="BH14" s="864"/>
      <c r="BI14" s="862"/>
      <c r="BJ14" s="865"/>
      <c r="BK14" s="864"/>
      <c r="BL14" s="862"/>
      <c r="BM14" s="865"/>
      <c r="BN14" s="864"/>
      <c r="BO14" s="862"/>
      <c r="BP14" s="865"/>
      <c r="BQ14" s="864"/>
      <c r="BR14" s="862"/>
      <c r="BS14" s="865"/>
      <c r="BT14" s="864"/>
      <c r="BU14" s="862"/>
      <c r="BV14" s="865"/>
      <c r="BW14" s="864"/>
      <c r="BX14" s="862"/>
      <c r="BY14" s="865"/>
      <c r="BZ14" s="866" t="s">
        <v>3571</v>
      </c>
    </row>
    <row r="15" spans="1:78" s="884" customFormat="1">
      <c r="A15" s="877" t="s">
        <v>2494</v>
      </c>
      <c r="B15" s="878">
        <v>2</v>
      </c>
      <c r="C15" s="879">
        <v>14.92</v>
      </c>
      <c r="D15" s="878">
        <v>534</v>
      </c>
      <c r="E15" s="880" t="s">
        <v>3572</v>
      </c>
      <c r="F15" s="881">
        <v>22</v>
      </c>
      <c r="G15" s="878" t="s">
        <v>3565</v>
      </c>
      <c r="H15" s="882" t="s">
        <v>3492</v>
      </c>
      <c r="I15" s="881">
        <v>277</v>
      </c>
      <c r="J15" s="878" t="s">
        <v>3492</v>
      </c>
      <c r="K15" s="882" t="s">
        <v>3492</v>
      </c>
      <c r="L15" s="878">
        <v>7.2489999999999997</v>
      </c>
      <c r="M15" s="878">
        <v>17874</v>
      </c>
      <c r="N15" s="882">
        <v>19781</v>
      </c>
      <c r="O15" s="881">
        <v>18.78</v>
      </c>
      <c r="P15" s="878">
        <v>18891</v>
      </c>
      <c r="Q15" s="882">
        <v>30435</v>
      </c>
      <c r="R15" s="881">
        <v>23.056666666666668</v>
      </c>
      <c r="S15" s="878">
        <v>38406</v>
      </c>
      <c r="T15" s="882" t="s">
        <v>3492</v>
      </c>
      <c r="U15" s="881">
        <v>9.5867499999999986</v>
      </c>
      <c r="V15" s="878" t="s">
        <v>3492</v>
      </c>
      <c r="W15" s="882" t="s">
        <v>3492</v>
      </c>
      <c r="X15" s="881">
        <v>0.82494999999999996</v>
      </c>
      <c r="Y15" s="878" t="s">
        <v>3565</v>
      </c>
      <c r="Z15" s="882" t="s">
        <v>3492</v>
      </c>
      <c r="AA15" s="881" t="s">
        <v>3566</v>
      </c>
      <c r="AB15" s="878" t="s">
        <v>3566</v>
      </c>
      <c r="AC15" s="882" t="s">
        <v>3566</v>
      </c>
      <c r="AD15" s="881" t="s">
        <v>3566</v>
      </c>
      <c r="AE15" s="878" t="s">
        <v>3566</v>
      </c>
      <c r="AF15" s="882" t="s">
        <v>3566</v>
      </c>
      <c r="AG15" s="881" t="s">
        <v>3566</v>
      </c>
      <c r="AH15" s="878" t="s">
        <v>3566</v>
      </c>
      <c r="AI15" s="882" t="s">
        <v>3566</v>
      </c>
      <c r="AJ15" s="881" t="s">
        <v>3566</v>
      </c>
      <c r="AK15" s="878" t="s">
        <v>3566</v>
      </c>
      <c r="AL15" s="882" t="s">
        <v>3566</v>
      </c>
      <c r="AM15" s="881" t="s">
        <v>3566</v>
      </c>
      <c r="AN15" s="878" t="s">
        <v>3566</v>
      </c>
      <c r="AO15" s="882" t="s">
        <v>3566</v>
      </c>
      <c r="AP15" s="881">
        <v>11.428749999999999</v>
      </c>
      <c r="AQ15" s="878" t="s">
        <v>3565</v>
      </c>
      <c r="AR15" s="882" t="s">
        <v>3492</v>
      </c>
      <c r="AS15" s="881"/>
      <c r="AT15" s="878"/>
      <c r="AU15" s="882"/>
      <c r="AV15" s="881">
        <v>171.65</v>
      </c>
      <c r="AW15" s="878" t="s">
        <v>3492</v>
      </c>
      <c r="AX15" s="882" t="s">
        <v>3492</v>
      </c>
      <c r="AY15" s="881">
        <v>5.0039999999999996</v>
      </c>
      <c r="AZ15" s="878" t="s">
        <v>3492</v>
      </c>
      <c r="BA15" s="882" t="s">
        <v>3492</v>
      </c>
      <c r="BB15" s="881"/>
      <c r="BC15" s="878"/>
      <c r="BD15" s="882"/>
      <c r="BE15" s="881" t="s">
        <v>3566</v>
      </c>
      <c r="BF15" s="878" t="s">
        <v>3566</v>
      </c>
      <c r="BG15" s="882" t="s">
        <v>3566</v>
      </c>
      <c r="BH15" s="881"/>
      <c r="BI15" s="878"/>
      <c r="BJ15" s="882"/>
      <c r="BK15" s="881" t="s">
        <v>3566</v>
      </c>
      <c r="BL15" s="878" t="s">
        <v>3566</v>
      </c>
      <c r="BM15" s="882" t="s">
        <v>3566</v>
      </c>
      <c r="BN15" s="881" t="s">
        <v>3566</v>
      </c>
      <c r="BO15" s="878" t="s">
        <v>3566</v>
      </c>
      <c r="BP15" s="882" t="s">
        <v>3566</v>
      </c>
      <c r="BQ15" s="881" t="s">
        <v>3566</v>
      </c>
      <c r="BR15" s="878" t="s">
        <v>3566</v>
      </c>
      <c r="BS15" s="882" t="s">
        <v>3566</v>
      </c>
      <c r="BT15" s="881" t="s">
        <v>3566</v>
      </c>
      <c r="BU15" s="878" t="s">
        <v>3566</v>
      </c>
      <c r="BV15" s="882" t="s">
        <v>3566</v>
      </c>
      <c r="BW15" s="881" t="s">
        <v>3566</v>
      </c>
      <c r="BX15" s="878" t="s">
        <v>3566</v>
      </c>
      <c r="BY15" s="882" t="s">
        <v>3566</v>
      </c>
      <c r="BZ15" s="883" t="s">
        <v>3573</v>
      </c>
    </row>
    <row r="16" spans="1:78">
      <c r="A16" s="868" t="s">
        <v>3574</v>
      </c>
      <c r="B16" s="869">
        <v>2</v>
      </c>
      <c r="C16" s="869">
        <v>32</v>
      </c>
      <c r="D16" s="869">
        <v>29360</v>
      </c>
      <c r="E16" s="871" t="s">
        <v>3575</v>
      </c>
      <c r="F16" s="872">
        <v>3894</v>
      </c>
      <c r="G16" s="873" t="s">
        <v>3492</v>
      </c>
      <c r="H16" s="874" t="s">
        <v>3492</v>
      </c>
      <c r="I16" s="872">
        <v>11336</v>
      </c>
      <c r="J16" s="873" t="s">
        <v>3565</v>
      </c>
      <c r="K16" s="874" t="s">
        <v>3492</v>
      </c>
      <c r="U16" s="872">
        <v>686</v>
      </c>
      <c r="V16" s="873" t="s">
        <v>3492</v>
      </c>
      <c r="W16" s="874" t="s">
        <v>3492</v>
      </c>
      <c r="X16" s="872">
        <v>28</v>
      </c>
      <c r="Y16" s="873" t="s">
        <v>3492</v>
      </c>
      <c r="Z16" s="874" t="s">
        <v>3492</v>
      </c>
      <c r="AP16" s="872">
        <v>824</v>
      </c>
      <c r="AQ16" s="873" t="s">
        <v>3492</v>
      </c>
      <c r="AR16" s="874" t="s">
        <v>3492</v>
      </c>
      <c r="AV16" s="872">
        <v>12592</v>
      </c>
      <c r="AW16" s="873" t="s">
        <v>3492</v>
      </c>
      <c r="AX16" s="874" t="s">
        <v>3492</v>
      </c>
      <c r="BZ16" s="875" t="s">
        <v>3576</v>
      </c>
    </row>
    <row r="17" spans="1:78" s="867" customFormat="1">
      <c r="A17" s="861" t="s">
        <v>3577</v>
      </c>
      <c r="B17" s="862">
        <v>1</v>
      </c>
      <c r="C17" s="862">
        <v>16</v>
      </c>
      <c r="D17" s="862">
        <v>29360</v>
      </c>
      <c r="E17" s="863" t="s">
        <v>3575</v>
      </c>
      <c r="F17" s="864">
        <v>3894</v>
      </c>
      <c r="G17" s="862">
        <v>2536</v>
      </c>
      <c r="H17" s="865">
        <v>3422</v>
      </c>
      <c r="I17" s="864">
        <v>11336</v>
      </c>
      <c r="J17" s="862" t="s">
        <v>3578</v>
      </c>
      <c r="K17" s="865" t="s">
        <v>3579</v>
      </c>
      <c r="L17" s="862"/>
      <c r="M17" s="862"/>
      <c r="N17" s="865"/>
      <c r="O17" s="864"/>
      <c r="P17" s="862"/>
      <c r="Q17" s="865"/>
      <c r="R17" s="864"/>
      <c r="S17" s="862"/>
      <c r="T17" s="865"/>
      <c r="U17" s="864">
        <v>686</v>
      </c>
      <c r="V17" s="862">
        <v>1825</v>
      </c>
      <c r="W17" s="865">
        <v>3631</v>
      </c>
      <c r="X17" s="864">
        <v>28</v>
      </c>
      <c r="Y17" s="862">
        <v>1404</v>
      </c>
      <c r="Z17" s="865">
        <v>2641</v>
      </c>
      <c r="AA17" s="864"/>
      <c r="AB17" s="862"/>
      <c r="AC17" s="865"/>
      <c r="AD17" s="864"/>
      <c r="AE17" s="862"/>
      <c r="AF17" s="865"/>
      <c r="AG17" s="864"/>
      <c r="AH17" s="862"/>
      <c r="AI17" s="865"/>
      <c r="AJ17" s="864"/>
      <c r="AK17" s="862"/>
      <c r="AL17" s="865"/>
      <c r="AM17" s="864"/>
      <c r="AN17" s="862"/>
      <c r="AO17" s="865"/>
      <c r="AP17" s="864">
        <v>824</v>
      </c>
      <c r="AQ17" s="862">
        <v>1707</v>
      </c>
      <c r="AR17" s="865">
        <v>3109</v>
      </c>
      <c r="AS17" s="864"/>
      <c r="AT17" s="862"/>
      <c r="AU17" s="865"/>
      <c r="AV17" s="864">
        <v>12592</v>
      </c>
      <c r="AW17" s="862"/>
      <c r="AX17" s="865"/>
      <c r="AY17" s="864"/>
      <c r="AZ17" s="862"/>
      <c r="BA17" s="865"/>
      <c r="BB17" s="864"/>
      <c r="BC17" s="862"/>
      <c r="BD17" s="865"/>
      <c r="BE17" s="864"/>
      <c r="BF17" s="862"/>
      <c r="BG17" s="865"/>
      <c r="BH17" s="864"/>
      <c r="BI17" s="862"/>
      <c r="BJ17" s="865"/>
      <c r="BK17" s="864"/>
      <c r="BL17" s="862"/>
      <c r="BM17" s="865"/>
      <c r="BN17" s="864"/>
      <c r="BO17" s="862"/>
      <c r="BP17" s="865"/>
      <c r="BQ17" s="864"/>
      <c r="BR17" s="862"/>
      <c r="BS17" s="865"/>
      <c r="BT17" s="864"/>
      <c r="BU17" s="862"/>
      <c r="BV17" s="865"/>
      <c r="BW17" s="864"/>
      <c r="BX17" s="862"/>
      <c r="BY17" s="865"/>
      <c r="BZ17" s="866" t="s">
        <v>3580</v>
      </c>
    </row>
    <row r="18" spans="1:78">
      <c r="A18" s="868" t="s">
        <v>131</v>
      </c>
      <c r="B18" s="869">
        <v>2</v>
      </c>
      <c r="C18" s="869">
        <v>20</v>
      </c>
      <c r="D18" s="869">
        <v>400</v>
      </c>
      <c r="E18" s="871" t="s">
        <v>3575</v>
      </c>
      <c r="F18" s="872">
        <v>34</v>
      </c>
      <c r="G18" s="873" t="s">
        <v>3492</v>
      </c>
      <c r="H18" s="874" t="s">
        <v>3492</v>
      </c>
      <c r="I18" s="872">
        <v>225</v>
      </c>
      <c r="J18" s="873" t="s">
        <v>3492</v>
      </c>
      <c r="K18" s="874" t="s">
        <v>3492</v>
      </c>
      <c r="R18" s="872">
        <v>49</v>
      </c>
      <c r="S18" s="873">
        <v>7059</v>
      </c>
      <c r="T18" s="874" t="s">
        <v>3492</v>
      </c>
      <c r="U18" s="872">
        <v>14</v>
      </c>
      <c r="V18" s="873" t="s">
        <v>3492</v>
      </c>
      <c r="W18" s="874" t="s">
        <v>3492</v>
      </c>
      <c r="AP18" s="872">
        <v>11</v>
      </c>
      <c r="AQ18" s="873" t="s">
        <v>3492</v>
      </c>
      <c r="AR18" s="874" t="s">
        <v>3492</v>
      </c>
      <c r="AV18" s="872">
        <v>97</v>
      </c>
      <c r="AW18" s="873" t="s">
        <v>3492</v>
      </c>
      <c r="AX18" s="874" t="s">
        <v>3492</v>
      </c>
      <c r="BZ18" s="875" t="s">
        <v>3581</v>
      </c>
    </row>
    <row r="19" spans="1:78">
      <c r="A19" s="868" t="s">
        <v>3582</v>
      </c>
      <c r="B19" s="869">
        <v>1</v>
      </c>
      <c r="C19" s="869">
        <v>10</v>
      </c>
      <c r="D19" s="869">
        <v>400</v>
      </c>
      <c r="E19" s="871" t="s">
        <v>3575</v>
      </c>
      <c r="F19" s="872">
        <v>34</v>
      </c>
      <c r="G19" s="873">
        <v>7295</v>
      </c>
      <c r="H19" s="874" t="s">
        <v>3492</v>
      </c>
      <c r="I19" s="872">
        <v>225</v>
      </c>
      <c r="J19" s="873" t="s">
        <v>3492</v>
      </c>
      <c r="K19" s="874" t="s">
        <v>3492</v>
      </c>
      <c r="R19" s="872">
        <v>49</v>
      </c>
      <c r="S19" s="873">
        <v>4930</v>
      </c>
      <c r="T19" s="874">
        <v>7047</v>
      </c>
      <c r="U19" s="872">
        <v>14</v>
      </c>
      <c r="V19" s="873">
        <v>6954</v>
      </c>
      <c r="W19" s="874">
        <v>15143</v>
      </c>
      <c r="AP19" s="872">
        <v>11</v>
      </c>
      <c r="AQ19" s="873">
        <v>6853</v>
      </c>
      <c r="AR19" s="874">
        <v>8236</v>
      </c>
      <c r="AV19" s="872">
        <v>97</v>
      </c>
      <c r="AW19" s="873">
        <v>7976</v>
      </c>
      <c r="AX19" s="874" t="s">
        <v>3492</v>
      </c>
      <c r="BZ19" s="875" t="s">
        <v>3583</v>
      </c>
    </row>
    <row r="20" spans="1:78" s="867" customFormat="1">
      <c r="A20" s="861" t="s">
        <v>3584</v>
      </c>
      <c r="B20" s="862">
        <v>1</v>
      </c>
      <c r="C20" s="862">
        <v>10</v>
      </c>
      <c r="D20" s="862">
        <v>400</v>
      </c>
      <c r="E20" s="863" t="s">
        <v>3575</v>
      </c>
      <c r="F20" s="864">
        <v>34</v>
      </c>
      <c r="G20" s="862">
        <v>14920</v>
      </c>
      <c r="H20" s="865" t="s">
        <v>3492</v>
      </c>
      <c r="I20" s="864">
        <v>225</v>
      </c>
      <c r="J20" s="862" t="s">
        <v>3492</v>
      </c>
      <c r="K20" s="865" t="s">
        <v>3492</v>
      </c>
      <c r="L20" s="862"/>
      <c r="M20" s="862"/>
      <c r="N20" s="865"/>
      <c r="O20" s="864"/>
      <c r="P20" s="862"/>
      <c r="Q20" s="865"/>
      <c r="R20" s="864">
        <v>49</v>
      </c>
      <c r="S20" s="862">
        <v>6970</v>
      </c>
      <c r="T20" s="865">
        <v>9141</v>
      </c>
      <c r="U20" s="864">
        <v>14</v>
      </c>
      <c r="V20" s="862">
        <v>13714</v>
      </c>
      <c r="W20" s="865">
        <v>16131</v>
      </c>
      <c r="X20" s="864"/>
      <c r="Y20" s="862"/>
      <c r="Z20" s="865"/>
      <c r="AA20" s="864"/>
      <c r="AB20" s="862"/>
      <c r="AC20" s="865"/>
      <c r="AD20" s="864"/>
      <c r="AE20" s="862"/>
      <c r="AF20" s="865"/>
      <c r="AG20" s="864"/>
      <c r="AH20" s="862"/>
      <c r="AI20" s="865"/>
      <c r="AJ20" s="864"/>
      <c r="AK20" s="862"/>
      <c r="AL20" s="865"/>
      <c r="AM20" s="864"/>
      <c r="AN20" s="862"/>
      <c r="AO20" s="865"/>
      <c r="AP20" s="864">
        <v>11</v>
      </c>
      <c r="AQ20" s="862">
        <v>8648</v>
      </c>
      <c r="AR20" s="865">
        <v>13602</v>
      </c>
      <c r="AS20" s="864"/>
      <c r="AT20" s="862"/>
      <c r="AU20" s="865"/>
      <c r="AV20" s="864">
        <v>97</v>
      </c>
      <c r="AW20" s="862">
        <v>15905</v>
      </c>
      <c r="AX20" s="865" t="s">
        <v>3492</v>
      </c>
      <c r="AY20" s="864"/>
      <c r="AZ20" s="862"/>
      <c r="BA20" s="865"/>
      <c r="BB20" s="864"/>
      <c r="BC20" s="862"/>
      <c r="BD20" s="865"/>
      <c r="BE20" s="864"/>
      <c r="BF20" s="862"/>
      <c r="BG20" s="865"/>
      <c r="BH20" s="864"/>
      <c r="BI20" s="862"/>
      <c r="BJ20" s="865"/>
      <c r="BK20" s="864"/>
      <c r="BL20" s="862"/>
      <c r="BM20" s="865"/>
      <c r="BN20" s="864"/>
      <c r="BO20" s="862"/>
      <c r="BP20" s="865"/>
      <c r="BQ20" s="864"/>
      <c r="BR20" s="862"/>
      <c r="BS20" s="865"/>
      <c r="BT20" s="864"/>
      <c r="BU20" s="862"/>
      <c r="BV20" s="865"/>
      <c r="BW20" s="864"/>
      <c r="BX20" s="862"/>
      <c r="BY20" s="865"/>
      <c r="BZ20" s="866" t="s">
        <v>3585</v>
      </c>
    </row>
    <row r="21" spans="1:78" s="892" customFormat="1">
      <c r="A21" s="885" t="s">
        <v>3586</v>
      </c>
      <c r="B21" s="886">
        <v>2</v>
      </c>
      <c r="C21" s="886">
        <v>20</v>
      </c>
      <c r="D21" s="886" t="s">
        <v>3587</v>
      </c>
      <c r="E21" s="887">
        <v>2.4</v>
      </c>
      <c r="F21" s="888">
        <v>11.98</v>
      </c>
      <c r="G21" s="886">
        <v>13211</v>
      </c>
      <c r="H21" s="889" t="s">
        <v>3492</v>
      </c>
      <c r="I21" s="888">
        <v>14.56</v>
      </c>
      <c r="J21" s="886" t="s">
        <v>3492</v>
      </c>
      <c r="K21" s="889" t="s">
        <v>3492</v>
      </c>
      <c r="L21" s="886">
        <v>11.72</v>
      </c>
      <c r="M21" s="886">
        <v>6042</v>
      </c>
      <c r="N21" s="889">
        <v>6214</v>
      </c>
      <c r="O21" s="888">
        <v>25.61</v>
      </c>
      <c r="P21" s="886">
        <v>4086</v>
      </c>
      <c r="Q21" s="889">
        <v>4721</v>
      </c>
      <c r="R21" s="888">
        <v>27.65</v>
      </c>
      <c r="S21" s="886">
        <v>5107</v>
      </c>
      <c r="T21" s="889">
        <v>5897</v>
      </c>
      <c r="U21" s="888">
        <v>18.8</v>
      </c>
      <c r="V21" s="886">
        <v>9068</v>
      </c>
      <c r="W21" s="889">
        <v>9378</v>
      </c>
      <c r="X21" s="888">
        <v>2.56</v>
      </c>
      <c r="Y21" s="886" t="s">
        <v>3492</v>
      </c>
      <c r="Z21" s="889" t="s">
        <v>3492</v>
      </c>
      <c r="AA21" s="888">
        <v>1.45</v>
      </c>
      <c r="AB21" s="886" t="s">
        <v>3492</v>
      </c>
      <c r="AC21" s="889" t="s">
        <v>3492</v>
      </c>
      <c r="AD21" s="888" t="s">
        <v>3566</v>
      </c>
      <c r="AE21" s="886" t="s">
        <v>3566</v>
      </c>
      <c r="AF21" s="889" t="s">
        <v>3566</v>
      </c>
      <c r="AG21" s="888" t="s">
        <v>3566</v>
      </c>
      <c r="AH21" s="886" t="s">
        <v>3566</v>
      </c>
      <c r="AI21" s="889" t="s">
        <v>3566</v>
      </c>
      <c r="AJ21" s="888" t="s">
        <v>3566</v>
      </c>
      <c r="AK21" s="886" t="s">
        <v>3566</v>
      </c>
      <c r="AL21" s="889" t="s">
        <v>3566</v>
      </c>
      <c r="AM21" s="888" t="s">
        <v>3566</v>
      </c>
      <c r="AN21" s="886" t="s">
        <v>3566</v>
      </c>
      <c r="AO21" s="889" t="s">
        <v>3566</v>
      </c>
      <c r="AP21" s="888">
        <v>4.08</v>
      </c>
      <c r="AQ21" s="886">
        <v>11086</v>
      </c>
      <c r="AR21" s="889">
        <v>11491</v>
      </c>
      <c r="AS21" s="890">
        <v>0.44</v>
      </c>
      <c r="AT21" s="886" t="s">
        <v>3492</v>
      </c>
      <c r="AU21" s="889" t="s">
        <v>3492</v>
      </c>
      <c r="AV21" s="888">
        <v>6.3</v>
      </c>
      <c r="AW21" s="886" t="s">
        <v>3492</v>
      </c>
      <c r="AX21" s="889" t="s">
        <v>3492</v>
      </c>
      <c r="AY21" s="888" t="s">
        <v>3566</v>
      </c>
      <c r="AZ21" s="886" t="s">
        <v>3566</v>
      </c>
      <c r="BA21" s="889" t="s">
        <v>3566</v>
      </c>
      <c r="BB21" s="888" t="s">
        <v>3566</v>
      </c>
      <c r="BC21" s="886" t="s">
        <v>3566</v>
      </c>
      <c r="BD21" s="889" t="s">
        <v>3566</v>
      </c>
      <c r="BE21" s="888" t="s">
        <v>3566</v>
      </c>
      <c r="BF21" s="886" t="s">
        <v>3566</v>
      </c>
      <c r="BG21" s="889" t="s">
        <v>3566</v>
      </c>
      <c r="BH21" s="888">
        <v>19.87</v>
      </c>
      <c r="BI21" s="886">
        <v>7040</v>
      </c>
      <c r="BJ21" s="889">
        <v>7166</v>
      </c>
      <c r="BK21" s="888"/>
      <c r="BL21" s="886"/>
      <c r="BM21" s="889"/>
      <c r="BN21" s="888"/>
      <c r="BO21" s="886"/>
      <c r="BP21" s="889"/>
      <c r="BQ21" s="888" t="s">
        <v>3566</v>
      </c>
      <c r="BR21" s="886" t="s">
        <v>3566</v>
      </c>
      <c r="BS21" s="889" t="s">
        <v>3566</v>
      </c>
      <c r="BT21" s="888" t="s">
        <v>3566</v>
      </c>
      <c r="BU21" s="886" t="s">
        <v>3566</v>
      </c>
      <c r="BV21" s="889" t="s">
        <v>3566</v>
      </c>
      <c r="BW21" s="888" t="s">
        <v>3566</v>
      </c>
      <c r="BX21" s="886" t="s">
        <v>3566</v>
      </c>
      <c r="BY21" s="889" t="s">
        <v>3566</v>
      </c>
      <c r="BZ21" s="891" t="s">
        <v>3588</v>
      </c>
    </row>
    <row r="22" spans="1:78" s="867" customFormat="1">
      <c r="A22" s="861" t="s">
        <v>3589</v>
      </c>
      <c r="B22" s="862">
        <v>1</v>
      </c>
      <c r="C22" s="862">
        <v>10</v>
      </c>
      <c r="D22" s="862" t="s">
        <v>3587</v>
      </c>
      <c r="E22" s="893">
        <v>2.4</v>
      </c>
      <c r="F22" s="864">
        <v>11.98</v>
      </c>
      <c r="G22" s="862">
        <v>4108</v>
      </c>
      <c r="H22" s="865">
        <v>4942</v>
      </c>
      <c r="I22" s="864">
        <v>14.56</v>
      </c>
      <c r="J22" s="862">
        <v>8112</v>
      </c>
      <c r="K22" s="865">
        <v>8848</v>
      </c>
      <c r="L22" s="862">
        <v>11.72</v>
      </c>
      <c r="M22" s="862">
        <v>4044</v>
      </c>
      <c r="N22" s="865">
        <v>4310</v>
      </c>
      <c r="O22" s="864">
        <v>25.61</v>
      </c>
      <c r="P22" s="862">
        <v>254</v>
      </c>
      <c r="Q22" s="865">
        <v>2543</v>
      </c>
      <c r="R22" s="864">
        <v>27.65</v>
      </c>
      <c r="S22" s="862">
        <v>301</v>
      </c>
      <c r="T22" s="865">
        <v>3011</v>
      </c>
      <c r="U22" s="864">
        <v>18.8</v>
      </c>
      <c r="V22" s="862">
        <v>4087</v>
      </c>
      <c r="W22" s="865">
        <v>4740</v>
      </c>
      <c r="X22" s="864">
        <v>2.56</v>
      </c>
      <c r="Y22" s="862" t="s">
        <v>3492</v>
      </c>
      <c r="Z22" s="865" t="s">
        <v>3492</v>
      </c>
      <c r="AA22" s="864">
        <v>1.45</v>
      </c>
      <c r="AB22" s="862" t="s">
        <v>3492</v>
      </c>
      <c r="AC22" s="865" t="s">
        <v>3492</v>
      </c>
      <c r="AD22" s="864" t="s">
        <v>3566</v>
      </c>
      <c r="AE22" s="862" t="s">
        <v>3566</v>
      </c>
      <c r="AF22" s="865" t="s">
        <v>3566</v>
      </c>
      <c r="AG22" s="864" t="s">
        <v>3566</v>
      </c>
      <c r="AH22" s="862" t="s">
        <v>3566</v>
      </c>
      <c r="AI22" s="865" t="s">
        <v>3566</v>
      </c>
      <c r="AJ22" s="864" t="s">
        <v>3566</v>
      </c>
      <c r="AK22" s="862" t="s">
        <v>3566</v>
      </c>
      <c r="AL22" s="865" t="s">
        <v>3566</v>
      </c>
      <c r="AM22" s="864" t="s">
        <v>3566</v>
      </c>
      <c r="AN22" s="862" t="s">
        <v>3566</v>
      </c>
      <c r="AO22" s="865" t="s">
        <v>3566</v>
      </c>
      <c r="AP22" s="864">
        <v>4.08</v>
      </c>
      <c r="AQ22" s="862">
        <v>18091</v>
      </c>
      <c r="AR22" s="865">
        <v>18305</v>
      </c>
      <c r="AS22" s="894">
        <v>0.44</v>
      </c>
      <c r="AT22" s="862">
        <v>22121</v>
      </c>
      <c r="AU22" s="865">
        <v>22465</v>
      </c>
      <c r="AV22" s="864">
        <v>6.3</v>
      </c>
      <c r="AW22" s="862">
        <v>14099</v>
      </c>
      <c r="AX22" s="865">
        <v>14521</v>
      </c>
      <c r="AY22" s="864" t="s">
        <v>3566</v>
      </c>
      <c r="AZ22" s="862" t="s">
        <v>3566</v>
      </c>
      <c r="BA22" s="865" t="s">
        <v>3566</v>
      </c>
      <c r="BB22" s="864" t="s">
        <v>3566</v>
      </c>
      <c r="BC22" s="862" t="s">
        <v>3566</v>
      </c>
      <c r="BD22" s="865" t="s">
        <v>3566</v>
      </c>
      <c r="BE22" s="864" t="s">
        <v>3566</v>
      </c>
      <c r="BF22" s="862" t="s">
        <v>3566</v>
      </c>
      <c r="BG22" s="865" t="s">
        <v>3566</v>
      </c>
      <c r="BH22" s="864">
        <v>19.87</v>
      </c>
      <c r="BI22" s="862">
        <v>111</v>
      </c>
      <c r="BJ22" s="865">
        <v>1113</v>
      </c>
      <c r="BK22" s="864"/>
      <c r="BL22" s="862"/>
      <c r="BM22" s="865"/>
      <c r="BN22" s="864"/>
      <c r="BO22" s="862"/>
      <c r="BP22" s="865"/>
      <c r="BQ22" s="864" t="s">
        <v>3566</v>
      </c>
      <c r="BR22" s="862" t="s">
        <v>3566</v>
      </c>
      <c r="BS22" s="865" t="s">
        <v>3566</v>
      </c>
      <c r="BT22" s="864" t="s">
        <v>3566</v>
      </c>
      <c r="BU22" s="862" t="s">
        <v>3566</v>
      </c>
      <c r="BV22" s="865" t="s">
        <v>3566</v>
      </c>
      <c r="BW22" s="864" t="s">
        <v>3566</v>
      </c>
      <c r="BX22" s="862" t="s">
        <v>3566</v>
      </c>
      <c r="BY22" s="865" t="s">
        <v>3566</v>
      </c>
      <c r="BZ22" s="866" t="s">
        <v>3590</v>
      </c>
    </row>
  </sheetData>
  <mergeCells count="34">
    <mergeCell ref="F9:K9"/>
    <mergeCell ref="A9:A11"/>
    <mergeCell ref="B9:B11"/>
    <mergeCell ref="C9:C11"/>
    <mergeCell ref="D9:D11"/>
    <mergeCell ref="E9:E11"/>
    <mergeCell ref="F10:H10"/>
    <mergeCell ref="I10:K10"/>
    <mergeCell ref="L10:N10"/>
    <mergeCell ref="O10:Q10"/>
    <mergeCell ref="R10:T10"/>
    <mergeCell ref="AM10:AO10"/>
    <mergeCell ref="L9:AO9"/>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BH10:BJ10"/>
    <mergeCell ref="BK10:BM10"/>
    <mergeCell ref="BN10:BP10"/>
    <mergeCell ref="BQ10:BS10"/>
    <mergeCell ref="BT10:BV10"/>
  </mergeCells>
  <phoneticPr fontId="83"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L72"/>
  <sheetViews>
    <sheetView workbookViewId="0"/>
  </sheetViews>
  <sheetFormatPr baseColWidth="10" defaultColWidth="9.1640625" defaultRowHeight="13"/>
  <cols>
    <col min="1" max="1" width="24.5" style="414" customWidth="1"/>
    <col min="2" max="2" width="40.6640625" style="438" customWidth="1"/>
    <col min="3" max="3" width="14" style="414" customWidth="1"/>
    <col min="4" max="4" width="15.6640625" style="414" customWidth="1"/>
    <col min="5" max="5" width="13.5" style="414" customWidth="1"/>
    <col min="6" max="6" width="10.5" style="414" customWidth="1"/>
    <col min="7" max="7" width="13.83203125" style="414" customWidth="1"/>
    <col min="8" max="10" width="15.1640625" style="414" customWidth="1"/>
    <col min="11" max="11" width="14.6640625" style="414" customWidth="1"/>
    <col min="12" max="12" width="15.5" style="414" customWidth="1"/>
    <col min="13" max="16384" width="9.1640625" style="414"/>
  </cols>
  <sheetData>
    <row r="1" spans="1:10">
      <c r="A1" s="1" t="s">
        <v>3352</v>
      </c>
    </row>
    <row r="2" spans="1:10">
      <c r="A2" s="1"/>
    </row>
    <row r="3" spans="1:10">
      <c r="A3" s="2" t="s">
        <v>3353</v>
      </c>
    </row>
    <row r="4" spans="1:10" ht="30">
      <c r="A4" s="796" t="s">
        <v>255</v>
      </c>
      <c r="B4" s="797" t="s">
        <v>3395</v>
      </c>
      <c r="C4" s="796" t="s">
        <v>3370</v>
      </c>
      <c r="D4" s="796" t="s">
        <v>3368</v>
      </c>
      <c r="E4" s="796" t="s">
        <v>3364</v>
      </c>
      <c r="F4" s="796" t="s">
        <v>3365</v>
      </c>
      <c r="G4" s="796" t="s">
        <v>3366</v>
      </c>
      <c r="H4" s="796" t="s">
        <v>3367</v>
      </c>
      <c r="I4" s="796" t="s">
        <v>3371</v>
      </c>
      <c r="J4" s="796" t="s">
        <v>3369</v>
      </c>
    </row>
    <row r="5" spans="1:10">
      <c r="A5" s="414" t="s">
        <v>1426</v>
      </c>
      <c r="B5" s="438" t="s">
        <v>1271</v>
      </c>
      <c r="C5" s="792">
        <v>823</v>
      </c>
      <c r="D5" s="590">
        <v>0.37</v>
      </c>
      <c r="E5" s="414">
        <v>167.85</v>
      </c>
      <c r="F5" s="789">
        <v>1.59</v>
      </c>
      <c r="G5" s="414">
        <v>0.53300000000000003</v>
      </c>
      <c r="H5" s="792">
        <v>2900</v>
      </c>
      <c r="I5" s="792">
        <f>1000000*F5*0.808*EXP((F5*-0.075*1.987*298*LN(H5*1000))/E5)</f>
        <v>2455.9030966117425</v>
      </c>
      <c r="J5" s="590">
        <f>0.075*1.987*298*F5/E5</f>
        <v>0.42067932975871314</v>
      </c>
    </row>
    <row r="6" spans="1:10">
      <c r="A6" s="414" t="s">
        <v>1776</v>
      </c>
      <c r="B6" s="438" t="s">
        <v>1777</v>
      </c>
      <c r="C6" s="792">
        <v>64.599999999999994</v>
      </c>
      <c r="D6" s="414">
        <v>0.71</v>
      </c>
      <c r="E6" s="414">
        <v>98.96</v>
      </c>
      <c r="F6" s="789">
        <v>1.17</v>
      </c>
      <c r="G6" s="414">
        <v>31.2</v>
      </c>
      <c r="H6" s="792">
        <v>5500</v>
      </c>
      <c r="I6" s="792">
        <f>1000000*F6*0.808*EXP((F6*-0.075*1.987*298*LN(H6*1000))/E6)</f>
        <v>273.25140410299252</v>
      </c>
      <c r="J6" s="590">
        <f>0.075*1.987*298*F6/E6</f>
        <v>0.52505109640258685</v>
      </c>
    </row>
    <row r="7" spans="1:10">
      <c r="A7" s="414" t="s">
        <v>3372</v>
      </c>
      <c r="B7" s="438" t="s">
        <v>2961</v>
      </c>
      <c r="C7" s="792">
        <v>2670</v>
      </c>
      <c r="D7" s="414">
        <v>0.37</v>
      </c>
      <c r="E7" s="414">
        <v>110.97</v>
      </c>
      <c r="F7" s="590">
        <v>1.1863999999999999</v>
      </c>
      <c r="G7" s="790"/>
      <c r="H7" s="792"/>
      <c r="I7" s="792"/>
      <c r="J7" s="590"/>
    </row>
    <row r="8" spans="1:10">
      <c r="A8" s="414" t="s">
        <v>1272</v>
      </c>
      <c r="B8" s="438" t="s">
        <v>1273</v>
      </c>
      <c r="C8" s="523"/>
      <c r="D8" s="523"/>
      <c r="E8" s="414">
        <v>120.19</v>
      </c>
      <c r="F8" s="414">
        <v>0.872</v>
      </c>
      <c r="G8" s="414">
        <v>0.13300000000000001</v>
      </c>
      <c r="H8" s="792">
        <v>57</v>
      </c>
      <c r="I8" s="792">
        <f>1000000*F8*0.808*EXP((F8*-0.075*1.987*298*LN(H8*1000))/E8)</f>
        <v>20681.974331041438</v>
      </c>
      <c r="J8" s="590">
        <f>0.075*1.987*298*F8/E8</f>
        <v>0.32219852233962892</v>
      </c>
    </row>
    <row r="9" spans="1:10">
      <c r="A9" s="414" t="s">
        <v>3373</v>
      </c>
      <c r="B9" s="438" t="s">
        <v>2966</v>
      </c>
      <c r="C9" s="792">
        <v>16</v>
      </c>
      <c r="D9" s="602">
        <v>2</v>
      </c>
      <c r="E9" s="414">
        <v>184.24</v>
      </c>
      <c r="F9" s="590"/>
      <c r="G9" s="790">
        <v>5.74E-2</v>
      </c>
      <c r="H9" s="792">
        <v>221</v>
      </c>
      <c r="I9" s="792"/>
      <c r="J9" s="590"/>
    </row>
    <row r="10" spans="1:10">
      <c r="A10" s="414" t="s">
        <v>3374</v>
      </c>
      <c r="B10" s="438" t="s">
        <v>2962</v>
      </c>
      <c r="C10" s="792">
        <v>987</v>
      </c>
      <c r="D10" s="590">
        <v>0.5</v>
      </c>
      <c r="E10" s="414">
        <v>112.99</v>
      </c>
      <c r="F10" s="590">
        <v>1.18</v>
      </c>
      <c r="G10" s="790">
        <v>2.4300000000000002</v>
      </c>
      <c r="H10" s="792">
        <v>2730</v>
      </c>
      <c r="I10" s="792">
        <f t="shared" ref="I10:I18" si="0">1000000*F10*0.808*EXP((F10*-0.075*1.987*298*LN(H10*1000))/E10)</f>
        <v>986.94488035474217</v>
      </c>
      <c r="J10" s="590">
        <f t="shared" ref="J10:J18" si="1">0.075*1.987*298*F10/E10</f>
        <v>0.46378574210107087</v>
      </c>
    </row>
    <row r="11" spans="1:10">
      <c r="A11" s="414" t="s">
        <v>395</v>
      </c>
      <c r="B11" s="438" t="s">
        <v>396</v>
      </c>
      <c r="C11" s="523">
        <v>200</v>
      </c>
      <c r="D11" s="523">
        <v>0.69</v>
      </c>
      <c r="E11" s="414">
        <v>110.97</v>
      </c>
      <c r="F11" s="789">
        <v>1.17</v>
      </c>
      <c r="G11" s="414">
        <v>5.3</v>
      </c>
      <c r="H11" s="792">
        <v>2700</v>
      </c>
      <c r="I11" s="792">
        <f t="shared" si="0"/>
        <v>921.01030870696457</v>
      </c>
      <c r="J11" s="590">
        <f t="shared" si="1"/>
        <v>0.46822615571776149</v>
      </c>
    </row>
    <row r="12" spans="1:10">
      <c r="A12" s="414" t="s">
        <v>2171</v>
      </c>
      <c r="B12" s="438" t="s">
        <v>394</v>
      </c>
      <c r="C12" s="523"/>
      <c r="D12" s="523"/>
      <c r="E12" s="414">
        <v>112.99</v>
      </c>
      <c r="F12" s="789">
        <v>1.1135999999999999</v>
      </c>
      <c r="G12" s="414">
        <v>7</v>
      </c>
      <c r="H12" s="792">
        <v>2500</v>
      </c>
      <c r="I12" s="792">
        <f t="shared" si="0"/>
        <v>1425.0799188415399</v>
      </c>
      <c r="J12" s="590">
        <f t="shared" si="1"/>
        <v>0.43768796813877331</v>
      </c>
    </row>
    <row r="13" spans="1:10">
      <c r="A13" s="414" t="s">
        <v>3375</v>
      </c>
      <c r="B13" s="438" t="s">
        <v>2521</v>
      </c>
      <c r="C13" s="792">
        <v>9780</v>
      </c>
      <c r="D13" s="414">
        <v>0.4</v>
      </c>
      <c r="E13" s="414">
        <v>197.45</v>
      </c>
      <c r="F13" s="590">
        <v>1.38</v>
      </c>
      <c r="G13" s="790">
        <v>1.6000000000000001E-3</v>
      </c>
      <c r="H13" s="792">
        <v>800</v>
      </c>
      <c r="I13" s="792">
        <f t="shared" si="0"/>
        <v>16408.698293906709</v>
      </c>
      <c r="J13" s="590">
        <f t="shared" si="1"/>
        <v>0.31038258293238791</v>
      </c>
    </row>
    <row r="14" spans="1:10">
      <c r="A14" s="414" t="s">
        <v>3376</v>
      </c>
      <c r="B14" s="438" t="s">
        <v>2960</v>
      </c>
      <c r="C14" s="792">
        <v>55700</v>
      </c>
      <c r="D14" s="414">
        <v>0.15</v>
      </c>
      <c r="E14" s="590">
        <v>163</v>
      </c>
      <c r="F14" s="590">
        <v>1.29</v>
      </c>
      <c r="G14" s="790">
        <v>0.13</v>
      </c>
      <c r="H14" s="792">
        <v>4500</v>
      </c>
      <c r="I14" s="792">
        <f t="shared" si="0"/>
        <v>4782.4937258626151</v>
      </c>
      <c r="J14" s="590">
        <f t="shared" si="1"/>
        <v>0.35146129141104293</v>
      </c>
    </row>
    <row r="15" spans="1:10">
      <c r="A15" s="414" t="s">
        <v>3377</v>
      </c>
      <c r="B15" s="438" t="s">
        <v>2963</v>
      </c>
      <c r="C15" s="792">
        <v>485</v>
      </c>
      <c r="D15" s="414">
        <v>0.61</v>
      </c>
      <c r="E15" s="414">
        <v>184.11</v>
      </c>
      <c r="F15" s="590">
        <v>1.38</v>
      </c>
      <c r="G15" s="790">
        <v>1.9999999999999999E-6</v>
      </c>
      <c r="H15" s="792">
        <v>5600</v>
      </c>
      <c r="I15" s="792">
        <f t="shared" si="0"/>
        <v>6324.2414507646818</v>
      </c>
      <c r="J15" s="590">
        <f t="shared" si="1"/>
        <v>0.33287187550920638</v>
      </c>
    </row>
    <row r="16" spans="1:10">
      <c r="A16" s="414" t="s">
        <v>3378</v>
      </c>
      <c r="B16" s="438" t="s">
        <v>2964</v>
      </c>
      <c r="C16" s="792">
        <v>17200</v>
      </c>
      <c r="D16" s="414">
        <v>0.31</v>
      </c>
      <c r="E16" s="414">
        <v>182.14</v>
      </c>
      <c r="F16" s="590">
        <v>1.25</v>
      </c>
      <c r="G16" s="790">
        <v>1.7000000000000001E-4</v>
      </c>
      <c r="H16" s="792">
        <v>270</v>
      </c>
      <c r="I16" s="792">
        <f t="shared" si="0"/>
        <v>22334.420035838815</v>
      </c>
      <c r="J16" s="590">
        <f t="shared" si="1"/>
        <v>0.30477551608652687</v>
      </c>
    </row>
    <row r="17" spans="1:10">
      <c r="A17" s="414" t="s">
        <v>3379</v>
      </c>
      <c r="B17" s="438" t="s">
        <v>2965</v>
      </c>
      <c r="C17" s="792">
        <v>15900</v>
      </c>
      <c r="D17" s="414">
        <v>0.32</v>
      </c>
      <c r="E17" s="414">
        <v>182.14</v>
      </c>
      <c r="F17" s="590">
        <v>1.25</v>
      </c>
      <c r="G17" s="790">
        <v>0.8</v>
      </c>
      <c r="H17" s="792">
        <v>270</v>
      </c>
      <c r="I17" s="792">
        <f t="shared" si="0"/>
        <v>22334.420035838815</v>
      </c>
      <c r="J17" s="590">
        <f t="shared" si="1"/>
        <v>0.30477551608652687</v>
      </c>
    </row>
    <row r="18" spans="1:10">
      <c r="A18" s="414" t="s">
        <v>3380</v>
      </c>
      <c r="B18" s="438" t="s">
        <v>2795</v>
      </c>
      <c r="C18" s="792">
        <v>20000</v>
      </c>
      <c r="D18" s="414">
        <v>0.19</v>
      </c>
      <c r="E18" s="414">
        <v>108.13</v>
      </c>
      <c r="F18" s="590">
        <v>1.0409999999999999</v>
      </c>
      <c r="G18" s="790">
        <v>3.2500000000000001E-2</v>
      </c>
      <c r="H18" s="792">
        <v>31000</v>
      </c>
      <c r="I18" s="792">
        <f t="shared" si="0"/>
        <v>527.20794527928149</v>
      </c>
      <c r="J18" s="590">
        <f t="shared" si="1"/>
        <v>0.42754311893091645</v>
      </c>
    </row>
    <row r="19" spans="1:10">
      <c r="A19" s="414" t="s">
        <v>1274</v>
      </c>
      <c r="B19" s="438" t="s">
        <v>1275</v>
      </c>
      <c r="C19" s="792"/>
      <c r="E19" s="414">
        <v>269.77</v>
      </c>
      <c r="F19" s="590">
        <v>1.1100000000000001</v>
      </c>
      <c r="G19" s="790"/>
      <c r="H19" s="791"/>
      <c r="I19" s="792"/>
      <c r="J19" s="590"/>
    </row>
    <row r="20" spans="1:10">
      <c r="A20" s="414" t="s">
        <v>3354</v>
      </c>
      <c r="B20" s="438" t="s">
        <v>1773</v>
      </c>
      <c r="C20" s="792">
        <v>1131</v>
      </c>
      <c r="D20" s="414">
        <v>0.92</v>
      </c>
      <c r="E20" s="414">
        <v>364.91</v>
      </c>
      <c r="F20" s="789">
        <v>1.48</v>
      </c>
      <c r="G20" s="790">
        <v>3.0699999999999998E-6</v>
      </c>
      <c r="H20" s="791">
        <v>1.7000000000000001E-2</v>
      </c>
      <c r="I20" s="792">
        <f>1000000*F20*0.808*EXP((F20*-0.075*1.987*298*LN(H20*1000))/E20)</f>
        <v>717876.97204479342</v>
      </c>
      <c r="J20" s="590">
        <f>0.075*1.987*298*F20/E20</f>
        <v>0.18011560658792575</v>
      </c>
    </row>
    <row r="21" spans="1:10">
      <c r="A21" s="414" t="s">
        <v>1429</v>
      </c>
      <c r="C21" s="792">
        <v>38700</v>
      </c>
      <c r="D21" s="414">
        <v>0.29099999999999998</v>
      </c>
      <c r="F21" s="789"/>
      <c r="G21" s="790"/>
      <c r="H21" s="791"/>
      <c r="I21" s="792"/>
      <c r="J21" s="590"/>
    </row>
    <row r="22" spans="1:10">
      <c r="A22" s="414" t="s">
        <v>3355</v>
      </c>
      <c r="B22" s="438" t="s">
        <v>1774</v>
      </c>
      <c r="C22" s="792">
        <v>17200</v>
      </c>
      <c r="D22" s="414">
        <v>0.36</v>
      </c>
      <c r="E22" s="414">
        <v>157.01</v>
      </c>
      <c r="F22" s="414">
        <v>1.4950000000000001</v>
      </c>
      <c r="G22" s="789">
        <v>0.44</v>
      </c>
      <c r="H22" s="792">
        <v>450</v>
      </c>
      <c r="I22" s="792">
        <f>1000000*F22*0.808*EXP((F22*-0.075*1.987*298*LN(H22*1000))/E22)</f>
        <v>4915.5879003665823</v>
      </c>
      <c r="J22" s="590">
        <f>0.075*1.987*298*F22/E22</f>
        <v>0.42285286128272087</v>
      </c>
    </row>
    <row r="23" spans="1:10">
      <c r="A23" s="414" t="s">
        <v>243</v>
      </c>
      <c r="B23" s="438" t="s">
        <v>1775</v>
      </c>
      <c r="C23" s="792">
        <v>102000</v>
      </c>
      <c r="D23" s="414">
        <v>0.13</v>
      </c>
      <c r="E23" s="414">
        <v>240.68</v>
      </c>
      <c r="F23" s="789">
        <v>0.45</v>
      </c>
      <c r="G23" s="790">
        <v>2.1E-10</v>
      </c>
      <c r="H23" s="792">
        <v>171</v>
      </c>
      <c r="I23" s="792">
        <f>1000000*F23*0.808*EXP((F23*-0.075*1.987*298*LN(H23*1000))/E23)</f>
        <v>133695.05176807143</v>
      </c>
      <c r="J23" s="590">
        <f>0.075*1.987*298*F23/E23</f>
        <v>8.3032460113013129E-2</v>
      </c>
    </row>
    <row r="24" spans="1:10">
      <c r="A24" s="414" t="s">
        <v>1276</v>
      </c>
      <c r="B24" s="438" t="s">
        <v>1277</v>
      </c>
      <c r="C24" s="792">
        <v>18000</v>
      </c>
      <c r="D24" s="414">
        <v>0.37</v>
      </c>
      <c r="E24" s="414">
        <v>318.02999999999997</v>
      </c>
      <c r="F24" s="789"/>
      <c r="G24" s="790">
        <v>8.6000000000000002E-7</v>
      </c>
      <c r="H24" s="791">
        <v>0.04</v>
      </c>
      <c r="I24" s="792"/>
      <c r="J24" s="590"/>
    </row>
    <row r="25" spans="1:10">
      <c r="A25" s="414" t="s">
        <v>3356</v>
      </c>
      <c r="C25" s="795">
        <v>33100</v>
      </c>
      <c r="D25" s="523">
        <v>0.22</v>
      </c>
      <c r="E25" s="793">
        <v>187.5</v>
      </c>
      <c r="F25" s="523"/>
      <c r="G25" s="523"/>
      <c r="H25" s="523"/>
      <c r="I25" s="523"/>
      <c r="J25" s="523"/>
    </row>
    <row r="26" spans="1:10">
      <c r="A26" s="414" t="s">
        <v>1278</v>
      </c>
      <c r="B26" s="438" t="s">
        <v>2959</v>
      </c>
      <c r="C26" s="792">
        <v>4850</v>
      </c>
      <c r="D26" s="414">
        <v>0.49</v>
      </c>
      <c r="E26" s="414">
        <v>304.36</v>
      </c>
      <c r="F26" s="590">
        <v>1.1160000000000001</v>
      </c>
      <c r="G26" s="790">
        <v>1.9000000000000001E-5</v>
      </c>
      <c r="H26" s="792">
        <v>40</v>
      </c>
      <c r="I26" s="792">
        <f>1000000*F26*0.808*EXP((F26*-0.075*1.987*298*LN(H26*1000))/E26)</f>
        <v>160580.11854845157</v>
      </c>
      <c r="J26" s="590">
        <f>0.075*1.987*298*F26/E26</f>
        <v>0.16283659547903798</v>
      </c>
    </row>
    <row r="27" spans="1:10">
      <c r="A27" s="414" t="s">
        <v>3357</v>
      </c>
      <c r="B27" s="438" t="s">
        <v>397</v>
      </c>
      <c r="C27" s="792">
        <v>17884</v>
      </c>
      <c r="D27" s="414">
        <v>0.51</v>
      </c>
      <c r="E27" s="414">
        <v>380.93</v>
      </c>
      <c r="F27" s="789">
        <v>1.5</v>
      </c>
      <c r="G27" s="790">
        <v>2.4E-8</v>
      </c>
      <c r="H27" s="791">
        <v>0.186</v>
      </c>
      <c r="I27" s="792">
        <f>1000000*F27*0.808*EXP((F27*-0.075*1.987*298*LN(H27*1000))/E27)</f>
        <v>485989.91350054042</v>
      </c>
      <c r="J27" s="590">
        <f>0.075*1.987*298*F27/E27</f>
        <v>0.1748724831333841</v>
      </c>
    </row>
    <row r="28" spans="1:10">
      <c r="A28" s="414" t="s">
        <v>2967</v>
      </c>
      <c r="B28" s="438" t="s">
        <v>2968</v>
      </c>
      <c r="C28" s="792">
        <v>18500</v>
      </c>
      <c r="D28" s="414">
        <v>0.28999999999999998</v>
      </c>
      <c r="E28" s="414">
        <v>274.38</v>
      </c>
      <c r="F28" s="590">
        <v>1.1399999999999999</v>
      </c>
      <c r="G28" s="790">
        <v>2.4000000000000001E-5</v>
      </c>
      <c r="H28" s="792">
        <v>25</v>
      </c>
      <c r="I28" s="792">
        <f>1000000*F28*0.808*EXP((F28*-0.075*1.987*298*LN(H28*1000))/E28)</f>
        <v>142179.69150443247</v>
      </c>
      <c r="J28" s="590">
        <f>0.075*1.987*298*F28/E28</f>
        <v>0.18451335009840364</v>
      </c>
    </row>
    <row r="29" spans="1:10">
      <c r="A29" s="414" t="s">
        <v>2787</v>
      </c>
      <c r="B29" s="438" t="s">
        <v>2788</v>
      </c>
      <c r="C29" s="792"/>
      <c r="E29" s="590">
        <v>233.1</v>
      </c>
      <c r="F29" s="590"/>
      <c r="G29" s="790">
        <v>4.0999999999999999E-7</v>
      </c>
      <c r="H29" s="792">
        <v>42</v>
      </c>
      <c r="I29" s="792"/>
      <c r="J29" s="590"/>
    </row>
    <row r="30" spans="1:10">
      <c r="A30" s="414" t="s">
        <v>2789</v>
      </c>
      <c r="B30" s="438" t="s">
        <v>2790</v>
      </c>
      <c r="C30" s="792">
        <v>4860</v>
      </c>
      <c r="D30" s="414">
        <v>0.38</v>
      </c>
      <c r="E30" s="414">
        <v>189.31</v>
      </c>
      <c r="F30" s="590">
        <v>0.96</v>
      </c>
      <c r="G30" s="790">
        <v>4.7000000000000002E-3</v>
      </c>
      <c r="H30" s="792">
        <v>365</v>
      </c>
      <c r="I30" s="792">
        <f>1000000*F30*0.808*EXP((F30*-0.075*1.987*298*LN(H30*1000))/E30)</f>
        <v>43355.153186431948</v>
      </c>
      <c r="J30" s="590">
        <f>0.075*1.987*298*F30/E30</f>
        <v>0.22520242987692143</v>
      </c>
    </row>
    <row r="31" spans="1:10">
      <c r="A31" s="414" t="s">
        <v>2791</v>
      </c>
      <c r="B31" s="438" t="s">
        <v>2792</v>
      </c>
      <c r="C31" s="792"/>
      <c r="E31" s="414">
        <v>246.32</v>
      </c>
      <c r="F31" s="590">
        <v>1.1599999999999999</v>
      </c>
      <c r="G31" s="790">
        <v>2.8E-5</v>
      </c>
      <c r="H31" s="792">
        <v>13</v>
      </c>
      <c r="I31" s="792">
        <f>1000000*F31*0.808*EXP((F31*-0.075*1.987*298*LN(H31*1000))/E31)</f>
        <v>129266.49245074927</v>
      </c>
      <c r="J31" s="590">
        <f>0.075*1.987*298*F31/E31</f>
        <v>0.20913836472880803</v>
      </c>
    </row>
    <row r="32" spans="1:10">
      <c r="A32" s="414" t="s">
        <v>3359</v>
      </c>
      <c r="B32" s="438" t="s">
        <v>2784</v>
      </c>
      <c r="C32" s="792">
        <v>11524</v>
      </c>
      <c r="D32" s="414">
        <v>0.45</v>
      </c>
      <c r="E32" s="414">
        <v>260.76</v>
      </c>
      <c r="F32" s="789">
        <v>1.68</v>
      </c>
      <c r="G32" s="789">
        <v>0.02</v>
      </c>
      <c r="H32" s="792">
        <v>2</v>
      </c>
      <c r="I32" s="792">
        <f>1000000*F32*0.808*EXP((F32*-0.075*1.987*298*LN(H32*1000))/E32)</f>
        <v>154255.17883922992</v>
      </c>
      <c r="J32" s="590">
        <f>0.075*1.987*298*F32/E32</f>
        <v>0.28611702715140358</v>
      </c>
    </row>
    <row r="33" spans="1:10">
      <c r="A33" s="414" t="s">
        <v>2793</v>
      </c>
      <c r="B33" s="438" t="s">
        <v>2794</v>
      </c>
      <c r="C33" s="792"/>
      <c r="E33" s="414">
        <v>249.11</v>
      </c>
      <c r="F33" s="590"/>
      <c r="G33" s="790">
        <v>1.9999999999999999E-6</v>
      </c>
      <c r="H33" s="792">
        <v>81</v>
      </c>
      <c r="I33" s="792"/>
      <c r="J33" s="590"/>
    </row>
    <row r="34" spans="1:10">
      <c r="A34" s="414" t="s">
        <v>2798</v>
      </c>
      <c r="B34" s="438" t="s">
        <v>2799</v>
      </c>
      <c r="C34" s="792"/>
      <c r="E34" s="414">
        <v>94.96</v>
      </c>
      <c r="F34" s="590">
        <v>1.66</v>
      </c>
      <c r="G34" s="790">
        <v>190</v>
      </c>
      <c r="H34" s="792">
        <v>17500</v>
      </c>
      <c r="I34" s="792">
        <f t="shared" ref="I34:I45" si="2">1000000*F34*0.808*EXP((F34*-0.075*1.987*298*LN(H34*1000))/E34)</f>
        <v>3.1957899947270727</v>
      </c>
      <c r="J34" s="590">
        <f t="shared" ref="J34:J45" si="3">0.075*1.987*298*F34/E34</f>
        <v>0.77632357834877841</v>
      </c>
    </row>
    <row r="35" spans="1:10">
      <c r="A35" s="414" t="s">
        <v>3360</v>
      </c>
      <c r="B35" s="438" t="s">
        <v>1553</v>
      </c>
      <c r="C35" s="792">
        <v>218</v>
      </c>
      <c r="D35" s="414">
        <v>0.48</v>
      </c>
      <c r="E35" s="414">
        <v>88.15</v>
      </c>
      <c r="F35" s="414">
        <v>0.73499999999999999</v>
      </c>
      <c r="G35" s="414">
        <v>32.700000000000003</v>
      </c>
      <c r="H35" s="792">
        <v>48000</v>
      </c>
      <c r="I35" s="792">
        <f t="shared" si="2"/>
        <v>850.00629611502495</v>
      </c>
      <c r="J35" s="590">
        <f t="shared" si="3"/>
        <v>0.37028866420873507</v>
      </c>
    </row>
    <row r="36" spans="1:10">
      <c r="A36" s="414" t="s">
        <v>3361</v>
      </c>
      <c r="B36" s="438" t="s">
        <v>1423</v>
      </c>
      <c r="C36" s="792">
        <v>98200</v>
      </c>
      <c r="D36" s="590">
        <v>0.125</v>
      </c>
      <c r="E36" s="414">
        <v>283.81</v>
      </c>
      <c r="F36" s="414">
        <v>1.085</v>
      </c>
      <c r="G36" s="790">
        <v>1.7E-6</v>
      </c>
      <c r="H36" s="792">
        <v>530</v>
      </c>
      <c r="I36" s="792">
        <f t="shared" si="2"/>
        <v>93539.250055687793</v>
      </c>
      <c r="J36" s="590">
        <f t="shared" si="3"/>
        <v>0.1697764463901906</v>
      </c>
    </row>
    <row r="37" spans="1:10">
      <c r="A37" s="414" t="s">
        <v>3362</v>
      </c>
      <c r="B37" s="438" t="s">
        <v>1424</v>
      </c>
      <c r="C37" s="792">
        <v>48700</v>
      </c>
      <c r="D37" s="414">
        <v>0.19</v>
      </c>
      <c r="E37" s="414">
        <v>214.28</v>
      </c>
      <c r="F37" s="789">
        <v>1.28</v>
      </c>
      <c r="G37" s="790">
        <v>9.9999999999999995E-7</v>
      </c>
      <c r="H37" s="792">
        <v>1200</v>
      </c>
      <c r="I37" s="792">
        <f t="shared" si="2"/>
        <v>25231.265560273067</v>
      </c>
      <c r="J37" s="590">
        <f t="shared" si="3"/>
        <v>0.26527952212058986</v>
      </c>
    </row>
    <row r="38" spans="1:10">
      <c r="A38" s="414" t="s">
        <v>2796</v>
      </c>
      <c r="B38" s="438" t="s">
        <v>2797</v>
      </c>
      <c r="C38" s="792"/>
      <c r="E38" s="414">
        <v>187.33</v>
      </c>
      <c r="F38" s="590">
        <v>1.0640000000000001</v>
      </c>
      <c r="G38" s="790">
        <v>7.5000000000000002E-4</v>
      </c>
      <c r="H38" s="792">
        <v>880</v>
      </c>
      <c r="I38" s="792">
        <f t="shared" si="2"/>
        <v>27222.713727284874</v>
      </c>
      <c r="J38" s="590">
        <f t="shared" si="3"/>
        <v>0.2522375209523301</v>
      </c>
    </row>
    <row r="39" spans="1:10">
      <c r="A39" s="414" t="s">
        <v>3363</v>
      </c>
      <c r="B39" s="438" t="s">
        <v>1425</v>
      </c>
      <c r="C39" s="792">
        <v>14206</v>
      </c>
      <c r="D39" s="414">
        <v>0.43</v>
      </c>
      <c r="E39" s="414">
        <v>128.16999999999999</v>
      </c>
      <c r="F39" s="414">
        <v>0.96299999999999997</v>
      </c>
      <c r="G39" s="789">
        <v>1.09E-2</v>
      </c>
      <c r="H39" s="792">
        <v>30</v>
      </c>
      <c r="I39" s="792">
        <f t="shared" si="2"/>
        <v>24955.312373869197</v>
      </c>
      <c r="J39" s="590">
        <f t="shared" si="3"/>
        <v>0.33366856791760946</v>
      </c>
    </row>
    <row r="40" spans="1:10">
      <c r="A40" s="414" t="s">
        <v>2800</v>
      </c>
      <c r="B40" s="438" t="s">
        <v>2801</v>
      </c>
      <c r="C40" s="792">
        <v>3490</v>
      </c>
      <c r="D40" s="414">
        <v>0.43</v>
      </c>
      <c r="E40" s="414">
        <v>123.11</v>
      </c>
      <c r="F40" s="590">
        <v>1.2</v>
      </c>
      <c r="G40" s="790">
        <v>0.02</v>
      </c>
      <c r="H40" s="792">
        <v>1900</v>
      </c>
      <c r="I40" s="792">
        <f t="shared" si="2"/>
        <v>1856.4023325961064</v>
      </c>
      <c r="J40" s="590">
        <f t="shared" si="3"/>
        <v>0.43287580212817806</v>
      </c>
    </row>
    <row r="41" spans="1:10">
      <c r="A41" s="414" t="s">
        <v>3358</v>
      </c>
      <c r="B41" s="438" t="s">
        <v>2783</v>
      </c>
      <c r="C41" s="795">
        <v>54100</v>
      </c>
      <c r="D41" s="523">
        <v>0.22</v>
      </c>
      <c r="E41" s="414">
        <v>134.22</v>
      </c>
      <c r="F41" s="789">
        <v>0.95169999999999999</v>
      </c>
      <c r="G41" s="414">
        <v>0.13300000000000001</v>
      </c>
      <c r="H41" s="792">
        <v>340</v>
      </c>
      <c r="I41" s="792">
        <f t="shared" si="2"/>
        <v>13934.987989380654</v>
      </c>
      <c r="J41" s="590">
        <f t="shared" si="3"/>
        <v>0.31488953632096556</v>
      </c>
    </row>
    <row r="42" spans="1:10">
      <c r="A42" s="414" t="s">
        <v>2802</v>
      </c>
      <c r="B42" s="438" t="s">
        <v>2803</v>
      </c>
      <c r="C42" s="792">
        <v>20900</v>
      </c>
      <c r="D42" s="414">
        <v>0.27</v>
      </c>
      <c r="E42" s="414">
        <v>225.34</v>
      </c>
      <c r="F42" s="590">
        <v>1.01</v>
      </c>
      <c r="G42" s="790">
        <v>3.1E-7</v>
      </c>
      <c r="H42" s="792">
        <v>620</v>
      </c>
      <c r="I42" s="792">
        <f t="shared" si="2"/>
        <v>57380.853128294752</v>
      </c>
      <c r="J42" s="590">
        <f t="shared" si="3"/>
        <v>0.19904830256501285</v>
      </c>
    </row>
    <row r="43" spans="1:10">
      <c r="A43" s="414" t="s">
        <v>2804</v>
      </c>
      <c r="B43" s="438" t="s">
        <v>2805</v>
      </c>
      <c r="C43" s="792"/>
      <c r="E43" s="414">
        <v>222.26</v>
      </c>
      <c r="F43" s="590">
        <v>1.8160000000000001</v>
      </c>
      <c r="G43" s="790"/>
      <c r="H43" s="792">
        <v>60</v>
      </c>
      <c r="I43" s="792">
        <f t="shared" si="2"/>
        <v>27087.182916090635</v>
      </c>
      <c r="J43" s="590">
        <f t="shared" si="3"/>
        <v>0.36285234050211462</v>
      </c>
    </row>
    <row r="44" spans="1:10">
      <c r="A44" s="414" t="s">
        <v>2806</v>
      </c>
      <c r="B44" s="438" t="s">
        <v>2807</v>
      </c>
      <c r="C44" s="792"/>
      <c r="E44" s="414">
        <v>216.65</v>
      </c>
      <c r="F44" s="590">
        <v>1.34</v>
      </c>
      <c r="G44" s="790">
        <v>6.2999999999999995E-8</v>
      </c>
      <c r="H44" s="792">
        <v>710</v>
      </c>
      <c r="I44" s="792">
        <f t="shared" si="2"/>
        <v>26749.336549348438</v>
      </c>
      <c r="J44" s="590">
        <f t="shared" si="3"/>
        <v>0.27467649665358873</v>
      </c>
    </row>
    <row r="45" spans="1:10">
      <c r="A45" s="414" t="s">
        <v>2808</v>
      </c>
      <c r="B45" s="438" t="s">
        <v>2809</v>
      </c>
      <c r="C45" s="792">
        <v>4420</v>
      </c>
      <c r="D45" s="414">
        <v>0.7</v>
      </c>
      <c r="E45" s="414">
        <v>288.41000000000003</v>
      </c>
      <c r="F45" s="590">
        <v>1.1100000000000001</v>
      </c>
      <c r="G45" s="790">
        <v>3.4999999999999997E-5</v>
      </c>
      <c r="H45" s="792">
        <v>4.5</v>
      </c>
      <c r="I45" s="792">
        <f t="shared" si="2"/>
        <v>212977.73021228565</v>
      </c>
      <c r="J45" s="590">
        <f t="shared" si="3"/>
        <v>0.17091810096737284</v>
      </c>
    </row>
    <row r="47" spans="1:10">
      <c r="A47" s="2" t="s">
        <v>3381</v>
      </c>
    </row>
    <row r="48" spans="1:10">
      <c r="A48" s="3" t="s">
        <v>3388</v>
      </c>
    </row>
    <row r="49" spans="1:10" ht="14.25" customHeight="1">
      <c r="A49" s="1088" t="s">
        <v>255</v>
      </c>
      <c r="C49" s="1090" t="s">
        <v>3387</v>
      </c>
      <c r="D49" s="1090"/>
      <c r="E49" s="1090"/>
      <c r="F49" s="1090"/>
      <c r="G49" s="1090"/>
      <c r="H49" s="1090"/>
      <c r="I49" s="1088" t="s">
        <v>3370</v>
      </c>
      <c r="J49" s="1088" t="s">
        <v>3368</v>
      </c>
    </row>
    <row r="50" spans="1:10" ht="42">
      <c r="A50" s="1089"/>
      <c r="B50" s="798" t="s">
        <v>1428</v>
      </c>
      <c r="C50" s="796" t="s">
        <v>2163</v>
      </c>
      <c r="D50" s="796" t="s">
        <v>3382</v>
      </c>
      <c r="E50" s="796" t="s">
        <v>3383</v>
      </c>
      <c r="F50" s="796" t="s">
        <v>3384</v>
      </c>
      <c r="G50" s="796" t="s">
        <v>3385</v>
      </c>
      <c r="H50" s="796" t="s">
        <v>3386</v>
      </c>
      <c r="I50" s="1089"/>
      <c r="J50" s="1089"/>
    </row>
    <row r="51" spans="1:10">
      <c r="A51" s="414" t="s">
        <v>1429</v>
      </c>
      <c r="B51" s="438" t="s">
        <v>2977</v>
      </c>
      <c r="C51" s="414">
        <v>7.93</v>
      </c>
      <c r="D51" s="414">
        <v>240</v>
      </c>
      <c r="E51" s="414">
        <v>200</v>
      </c>
      <c r="F51" s="414">
        <v>2E-3</v>
      </c>
      <c r="G51" s="523" t="s">
        <v>238</v>
      </c>
      <c r="H51" s="414">
        <v>100.4</v>
      </c>
      <c r="I51" s="414">
        <v>19880</v>
      </c>
      <c r="J51" s="414">
        <v>0.72</v>
      </c>
    </row>
    <row r="52" spans="1:10">
      <c r="A52" s="414" t="s">
        <v>1429</v>
      </c>
      <c r="B52" s="438" t="s">
        <v>2977</v>
      </c>
      <c r="C52" s="414">
        <v>7.93</v>
      </c>
      <c r="D52" s="414">
        <v>240</v>
      </c>
      <c r="E52" s="414">
        <v>200</v>
      </c>
      <c r="F52" s="414">
        <v>2E-3</v>
      </c>
      <c r="G52" s="523" t="s">
        <v>238</v>
      </c>
      <c r="H52" s="414">
        <v>10.1</v>
      </c>
      <c r="I52" s="414">
        <v>5160</v>
      </c>
      <c r="J52" s="414">
        <v>0.49</v>
      </c>
    </row>
    <row r="53" spans="1:10">
      <c r="A53" s="414" t="s">
        <v>1429</v>
      </c>
      <c r="B53" s="438" t="s">
        <v>239</v>
      </c>
      <c r="C53" s="414">
        <v>8.17</v>
      </c>
      <c r="D53" s="414">
        <v>104</v>
      </c>
      <c r="E53" s="414">
        <v>144</v>
      </c>
      <c r="F53" s="414">
        <v>8.0000000000000002E-3</v>
      </c>
      <c r="G53" s="414">
        <v>0.65</v>
      </c>
      <c r="H53" s="414">
        <v>101.9</v>
      </c>
      <c r="I53" s="414">
        <v>14170</v>
      </c>
      <c r="J53" s="414">
        <v>0.64</v>
      </c>
    </row>
    <row r="54" spans="1:10">
      <c r="A54" s="414" t="s">
        <v>1429</v>
      </c>
      <c r="B54" s="438" t="s">
        <v>239</v>
      </c>
      <c r="C54" s="414">
        <v>8.17</v>
      </c>
      <c r="D54" s="414">
        <v>104</v>
      </c>
      <c r="E54" s="414">
        <v>144</v>
      </c>
      <c r="F54" s="414">
        <v>8.0000000000000002E-3</v>
      </c>
      <c r="G54" s="414">
        <v>0.65</v>
      </c>
      <c r="H54" s="414">
        <v>10</v>
      </c>
      <c r="I54" s="414">
        <v>7210</v>
      </c>
      <c r="J54" s="414">
        <v>0.63</v>
      </c>
    </row>
    <row r="55" spans="1:10">
      <c r="A55" s="414" t="s">
        <v>1429</v>
      </c>
      <c r="B55" s="794" t="s">
        <v>240</v>
      </c>
      <c r="C55" s="414">
        <v>8.11</v>
      </c>
      <c r="D55" s="414">
        <v>2</v>
      </c>
      <c r="E55" s="414">
        <v>3</v>
      </c>
      <c r="F55" s="414">
        <v>0</v>
      </c>
      <c r="G55" s="523" t="s">
        <v>238</v>
      </c>
      <c r="H55" s="414">
        <v>102.7</v>
      </c>
      <c r="I55" s="414">
        <v>14650</v>
      </c>
      <c r="J55" s="414">
        <v>0.68</v>
      </c>
    </row>
    <row r="56" spans="1:10">
      <c r="A56" s="414" t="s">
        <v>1429</v>
      </c>
      <c r="B56" s="794" t="s">
        <v>240</v>
      </c>
      <c r="C56" s="414">
        <v>8.11</v>
      </c>
      <c r="D56" s="414">
        <v>2</v>
      </c>
      <c r="E56" s="414">
        <v>3</v>
      </c>
      <c r="F56" s="414">
        <v>0</v>
      </c>
      <c r="G56" s="523" t="s">
        <v>238</v>
      </c>
      <c r="H56" s="414">
        <v>10.1</v>
      </c>
      <c r="I56" s="414">
        <v>6920</v>
      </c>
      <c r="J56" s="414">
        <v>0.62</v>
      </c>
    </row>
    <row r="57" spans="1:10">
      <c r="A57" s="414" t="s">
        <v>1429</v>
      </c>
      <c r="B57" s="438" t="s">
        <v>241</v>
      </c>
      <c r="C57" s="414">
        <v>7.75</v>
      </c>
      <c r="D57" s="414">
        <v>97</v>
      </c>
      <c r="E57" s="414">
        <v>134</v>
      </c>
      <c r="F57" s="414">
        <v>0.13900000000000001</v>
      </c>
      <c r="G57" s="414">
        <v>4.67</v>
      </c>
      <c r="H57" s="414">
        <v>100</v>
      </c>
      <c r="I57" s="414">
        <v>5550</v>
      </c>
      <c r="J57" s="414">
        <v>0.61</v>
      </c>
    </row>
    <row r="58" spans="1:10">
      <c r="A58" s="414" t="s">
        <v>1429</v>
      </c>
      <c r="B58" s="438" t="s">
        <v>241</v>
      </c>
      <c r="C58" s="414">
        <v>7.75</v>
      </c>
      <c r="D58" s="414">
        <v>97</v>
      </c>
      <c r="E58" s="414">
        <v>134</v>
      </c>
      <c r="F58" s="414">
        <v>0.13900000000000001</v>
      </c>
      <c r="G58" s="414">
        <v>4.67</v>
      </c>
      <c r="H58" s="414">
        <v>11.1</v>
      </c>
      <c r="I58" s="414">
        <v>2500</v>
      </c>
      <c r="J58" s="414">
        <v>0.57999999999999996</v>
      </c>
    </row>
    <row r="59" spans="1:10">
      <c r="A59" s="414" t="s">
        <v>1429</v>
      </c>
      <c r="B59" s="438" t="s">
        <v>242</v>
      </c>
      <c r="C59" s="414">
        <v>8.25</v>
      </c>
      <c r="D59" s="414">
        <v>74</v>
      </c>
      <c r="E59" s="414">
        <v>123</v>
      </c>
      <c r="F59" s="414">
        <v>5.6000000000000001E-2</v>
      </c>
      <c r="G59" s="414">
        <v>2.81</v>
      </c>
      <c r="H59" s="414">
        <v>101.2</v>
      </c>
      <c r="I59" s="414">
        <v>8420</v>
      </c>
      <c r="J59" s="414">
        <v>0.5</v>
      </c>
    </row>
    <row r="60" spans="1:10">
      <c r="A60" s="414" t="s">
        <v>1429</v>
      </c>
      <c r="B60" s="438" t="s">
        <v>242</v>
      </c>
      <c r="C60" s="414">
        <v>8.25</v>
      </c>
      <c r="D60" s="414">
        <v>74</v>
      </c>
      <c r="E60" s="414">
        <v>123</v>
      </c>
      <c r="F60" s="414">
        <v>5.6000000000000001E-2</v>
      </c>
      <c r="G60" s="414">
        <v>2.81</v>
      </c>
      <c r="H60" s="414">
        <v>11.1</v>
      </c>
      <c r="I60" s="414">
        <v>2870</v>
      </c>
      <c r="J60" s="414">
        <v>0.71</v>
      </c>
    </row>
    <row r="61" spans="1:10">
      <c r="A61" s="414" t="s">
        <v>243</v>
      </c>
      <c r="B61" s="438" t="s">
        <v>2977</v>
      </c>
      <c r="C61" s="414">
        <v>7.93</v>
      </c>
      <c r="D61" s="414">
        <v>240</v>
      </c>
      <c r="E61" s="414">
        <v>200</v>
      </c>
      <c r="F61" s="414">
        <v>2E-3</v>
      </c>
      <c r="G61" s="523" t="s">
        <v>238</v>
      </c>
      <c r="H61" s="414">
        <v>102.4</v>
      </c>
      <c r="I61" s="414">
        <v>2280</v>
      </c>
      <c r="J61" s="414">
        <v>1.83</v>
      </c>
    </row>
    <row r="62" spans="1:10">
      <c r="A62" s="414" t="s">
        <v>243</v>
      </c>
      <c r="B62" s="438" t="s">
        <v>2977</v>
      </c>
      <c r="C62" s="414">
        <v>7.93</v>
      </c>
      <c r="D62" s="414">
        <v>240</v>
      </c>
      <c r="E62" s="414">
        <v>200</v>
      </c>
      <c r="F62" s="414">
        <v>2E-3</v>
      </c>
      <c r="G62" s="523" t="s">
        <v>238</v>
      </c>
      <c r="H62" s="414">
        <v>10.199999999999999</v>
      </c>
      <c r="I62" s="414">
        <v>5110</v>
      </c>
      <c r="J62" s="414">
        <v>0.83</v>
      </c>
    </row>
    <row r="63" spans="1:10">
      <c r="A63" s="414" t="s">
        <v>243</v>
      </c>
      <c r="B63" s="438" t="s">
        <v>239</v>
      </c>
      <c r="C63" s="414">
        <v>8.17</v>
      </c>
      <c r="D63" s="414">
        <v>104</v>
      </c>
      <c r="E63" s="414">
        <v>144</v>
      </c>
      <c r="F63" s="414">
        <v>8.0000000000000002E-3</v>
      </c>
      <c r="G63" s="414">
        <v>0.65</v>
      </c>
      <c r="H63" s="414">
        <v>99.9</v>
      </c>
      <c r="I63" s="414">
        <v>2480</v>
      </c>
      <c r="J63" s="414">
        <v>1.48</v>
      </c>
    </row>
    <row r="64" spans="1:10">
      <c r="A64" s="414" t="s">
        <v>243</v>
      </c>
      <c r="B64" s="438" t="s">
        <v>239</v>
      </c>
      <c r="C64" s="414">
        <v>8.17</v>
      </c>
      <c r="D64" s="414">
        <v>104</v>
      </c>
      <c r="E64" s="414">
        <v>144</v>
      </c>
      <c r="F64" s="414">
        <v>8.0000000000000002E-3</v>
      </c>
      <c r="G64" s="414">
        <v>0.65</v>
      </c>
      <c r="H64" s="414">
        <v>10</v>
      </c>
      <c r="I64" s="414">
        <v>3840</v>
      </c>
      <c r="J64" s="414">
        <v>0.8</v>
      </c>
    </row>
    <row r="65" spans="1:12">
      <c r="A65" s="414" t="s">
        <v>243</v>
      </c>
      <c r="B65" s="438" t="s">
        <v>240</v>
      </c>
      <c r="C65" s="414">
        <v>8.11</v>
      </c>
      <c r="D65" s="414">
        <v>2</v>
      </c>
      <c r="E65" s="414">
        <v>3</v>
      </c>
      <c r="F65" s="414">
        <v>0</v>
      </c>
      <c r="G65" s="523" t="s">
        <v>238</v>
      </c>
      <c r="H65" s="414">
        <v>101.9</v>
      </c>
      <c r="I65" s="414">
        <v>3980</v>
      </c>
      <c r="J65" s="414">
        <v>1.66</v>
      </c>
    </row>
    <row r="66" spans="1:12">
      <c r="A66" s="414" t="s">
        <v>243</v>
      </c>
      <c r="B66" s="438" t="s">
        <v>240</v>
      </c>
      <c r="C66" s="414">
        <v>8.11</v>
      </c>
      <c r="D66" s="414">
        <v>2</v>
      </c>
      <c r="E66" s="414">
        <v>3</v>
      </c>
      <c r="F66" s="414">
        <v>0</v>
      </c>
      <c r="G66" s="523" t="s">
        <v>238</v>
      </c>
      <c r="H66" s="414">
        <v>9.9</v>
      </c>
      <c r="I66" s="414">
        <v>4450</v>
      </c>
      <c r="J66" s="414">
        <v>0.97</v>
      </c>
    </row>
    <row r="67" spans="1:12">
      <c r="A67" s="414" t="s">
        <v>243</v>
      </c>
      <c r="B67" s="438" t="s">
        <v>241</v>
      </c>
      <c r="C67" s="414">
        <v>7.75</v>
      </c>
      <c r="D67" s="414">
        <v>97</v>
      </c>
      <c r="E67" s="414">
        <v>134</v>
      </c>
      <c r="F67" s="414">
        <v>0.13900000000000001</v>
      </c>
      <c r="G67" s="414">
        <v>4.67</v>
      </c>
      <c r="H67" s="414">
        <v>100.4</v>
      </c>
      <c r="I67" s="414">
        <v>2260</v>
      </c>
      <c r="J67" s="414">
        <v>0.93</v>
      </c>
    </row>
    <row r="68" spans="1:12">
      <c r="A68" s="414" t="s">
        <v>243</v>
      </c>
      <c r="B68" s="438" t="s">
        <v>241</v>
      </c>
      <c r="C68" s="414">
        <v>7.75</v>
      </c>
      <c r="D68" s="414">
        <v>97</v>
      </c>
      <c r="E68" s="414">
        <v>134</v>
      </c>
      <c r="F68" s="414">
        <v>0.13900000000000001</v>
      </c>
      <c r="G68" s="414">
        <v>4.67</v>
      </c>
      <c r="H68" s="414">
        <v>10</v>
      </c>
      <c r="I68" s="414">
        <v>1700</v>
      </c>
      <c r="J68" s="414">
        <v>0.59</v>
      </c>
    </row>
    <row r="69" spans="1:12">
      <c r="A69" s="414" t="s">
        <v>243</v>
      </c>
      <c r="B69" s="438" t="s">
        <v>242</v>
      </c>
      <c r="C69" s="414">
        <v>8.25</v>
      </c>
      <c r="D69" s="414">
        <v>74</v>
      </c>
      <c r="E69" s="414">
        <v>123</v>
      </c>
      <c r="F69" s="414">
        <v>5.6000000000000001E-2</v>
      </c>
      <c r="G69" s="414">
        <v>2.81</v>
      </c>
      <c r="H69" s="414">
        <v>99.5</v>
      </c>
      <c r="I69" s="414">
        <v>3300</v>
      </c>
      <c r="J69" s="414">
        <v>0.8</v>
      </c>
    </row>
    <row r="70" spans="1:12">
      <c r="A70" s="414" t="s">
        <v>243</v>
      </c>
      <c r="B70" s="438" t="s">
        <v>242</v>
      </c>
      <c r="C70" s="414">
        <v>8.25</v>
      </c>
      <c r="D70" s="414">
        <v>74</v>
      </c>
      <c r="E70" s="414">
        <v>123</v>
      </c>
      <c r="F70" s="414">
        <v>5.6000000000000001E-2</v>
      </c>
      <c r="G70" s="414">
        <v>2.81</v>
      </c>
      <c r="H70" s="414">
        <v>10.1</v>
      </c>
      <c r="I70" s="414">
        <v>1860</v>
      </c>
      <c r="J70" s="414">
        <v>0.57999999999999996</v>
      </c>
    </row>
    <row r="71" spans="1:12">
      <c r="A71" s="3" t="s">
        <v>3389</v>
      </c>
    </row>
    <row r="72" spans="1:12">
      <c r="K72" s="662"/>
      <c r="L72" s="662"/>
    </row>
  </sheetData>
  <sortState xmlns:xlrd2="http://schemas.microsoft.com/office/spreadsheetml/2017/richdata2" ref="A5:J45">
    <sortCondition ref="A5:A45"/>
  </sortState>
  <mergeCells count="4">
    <mergeCell ref="A49:A50"/>
    <mergeCell ref="C49:H49"/>
    <mergeCell ref="I49:I50"/>
    <mergeCell ref="J49:J50"/>
  </mergeCells>
  <phoneticPr fontId="0" type="noConversion"/>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heet20.cmdTDB_Isotherm_Click">
                <anchor moveWithCells="1" sizeWithCells="1">
                  <from>
                    <xdr:col>2</xdr:col>
                    <xdr:colOff>0</xdr:colOff>
                    <xdr:row>0</xdr:row>
                    <xdr:rowOff>25400</xdr:rowOff>
                  </from>
                  <to>
                    <xdr:col>4</xdr:col>
                    <xdr:colOff>63500</xdr:colOff>
                    <xdr:row>2</xdr:row>
                    <xdr:rowOff>88900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BC366"/>
  <sheetViews>
    <sheetView zoomScaleNormal="100" workbookViewId="0">
      <pane xSplit="3" ySplit="7" topLeftCell="D8" activePane="bottomRight" state="frozen"/>
      <selection pane="topRight" activeCell="D1" sqref="D1"/>
      <selection pane="bottomLeft" activeCell="A7" sqref="A7"/>
      <selection pane="bottomRight"/>
    </sheetView>
  </sheetViews>
  <sheetFormatPr baseColWidth="10" defaultColWidth="9.1640625" defaultRowHeight="13"/>
  <cols>
    <col min="1" max="2" width="12.5" style="414" customWidth="1"/>
    <col min="3" max="3" width="10.5" style="414" customWidth="1"/>
    <col min="4" max="6" width="9.1640625" style="414"/>
    <col min="7" max="7" width="10.5" style="414" bestFit="1" customWidth="1"/>
    <col min="8" max="8" width="23.1640625" style="414" customWidth="1"/>
    <col min="9" max="9" width="20.33203125" style="414" customWidth="1"/>
    <col min="10" max="10" width="12.6640625" style="414" bestFit="1" customWidth="1"/>
    <col min="11" max="11" width="14.6640625" style="414" bestFit="1" customWidth="1"/>
    <col min="12" max="12" width="14.1640625" style="414" customWidth="1"/>
    <col min="13" max="13" width="13.6640625" style="414" customWidth="1"/>
    <col min="14" max="14" width="9.1640625" style="414"/>
    <col min="15" max="15" width="12.1640625" style="414" bestFit="1" customWidth="1"/>
    <col min="16" max="16" width="13.83203125" style="414" bestFit="1" customWidth="1"/>
    <col min="17" max="17" width="12" style="414" bestFit="1" customWidth="1"/>
    <col min="18" max="19" width="12.1640625" style="414" customWidth="1"/>
    <col min="20" max="20" width="9.1640625" style="414"/>
    <col min="21" max="21" width="10.33203125" style="414" customWidth="1"/>
    <col min="22" max="27" width="9.1640625" style="414"/>
    <col min="28" max="28" width="10.5" style="414" bestFit="1" customWidth="1"/>
    <col min="29" max="30" width="10.33203125" style="414" customWidth="1"/>
    <col min="31" max="31" width="9.1640625" style="414"/>
    <col min="32" max="32" width="15" style="414" customWidth="1"/>
    <col min="33" max="33" width="10.83203125" style="414" customWidth="1"/>
    <col min="34" max="34" width="9.1640625" style="414"/>
    <col min="35" max="35" width="10.6640625" style="414" customWidth="1"/>
    <col min="36" max="36" width="10.33203125" style="414" customWidth="1"/>
    <col min="37" max="37" width="11.33203125" style="414" customWidth="1"/>
    <col min="38" max="41" width="12.6640625" style="414" customWidth="1"/>
    <col min="42" max="46" width="9.1640625" style="414"/>
    <col min="47" max="47" width="15.1640625" style="414" customWidth="1"/>
    <col min="48" max="48" width="14.5" style="414" customWidth="1"/>
    <col min="49" max="49" width="32.6640625" style="414" customWidth="1"/>
    <col min="50" max="51" width="9.1640625" style="414"/>
    <col min="52" max="52" width="14.1640625" style="414" customWidth="1"/>
    <col min="53" max="53" width="16.33203125" style="414" customWidth="1"/>
    <col min="54" max="54" width="12.6640625" style="414" customWidth="1"/>
    <col min="55" max="55" width="13.83203125" style="414" customWidth="1"/>
    <col min="56" max="16384" width="9.1640625" style="414"/>
  </cols>
  <sheetData>
    <row r="1" spans="1:55">
      <c r="A1" s="1" t="s">
        <v>1890</v>
      </c>
      <c r="B1" s="1"/>
      <c r="T1" s="523"/>
      <c r="V1" s="549"/>
      <c r="W1" s="549"/>
      <c r="X1" s="549"/>
      <c r="Y1" s="549"/>
      <c r="Z1" s="549"/>
      <c r="AA1" s="549"/>
      <c r="AB1" s="549"/>
      <c r="AC1" s="549"/>
      <c r="AD1" s="549"/>
      <c r="AE1" s="549"/>
      <c r="AF1" s="549"/>
      <c r="AG1" s="549"/>
    </row>
    <row r="2" spans="1:55">
      <c r="A2" s="7" t="s">
        <v>186</v>
      </c>
      <c r="B2" s="1"/>
      <c r="T2" s="523"/>
      <c r="V2" s="549"/>
      <c r="W2" s="549"/>
      <c r="X2" s="549"/>
      <c r="Y2" s="549"/>
      <c r="Z2" s="549"/>
      <c r="AA2" s="549"/>
      <c r="AB2" s="549"/>
      <c r="AC2" s="549"/>
      <c r="AD2" s="549"/>
      <c r="AE2" s="549"/>
      <c r="AF2" s="549"/>
      <c r="AG2" s="549"/>
    </row>
    <row r="3" spans="1:55">
      <c r="A3" s="1"/>
      <c r="B3" s="1"/>
      <c r="T3" s="523"/>
      <c r="V3" s="549"/>
      <c r="W3" s="549"/>
      <c r="X3" s="549"/>
      <c r="Y3" s="549"/>
      <c r="Z3" s="549"/>
      <c r="AA3" s="549"/>
      <c r="AB3" s="549"/>
      <c r="AC3" s="549"/>
      <c r="AD3" s="549"/>
      <c r="AE3" s="549"/>
      <c r="AF3" s="549"/>
      <c r="AG3" s="549"/>
    </row>
    <row r="4" spans="1:55">
      <c r="A4" s="1"/>
      <c r="B4" s="1"/>
      <c r="T4" s="523"/>
      <c r="V4" s="549"/>
      <c r="W4" s="549"/>
      <c r="X4" s="549"/>
      <c r="Y4" s="549"/>
      <c r="Z4" s="549"/>
      <c r="AA4" s="549"/>
      <c r="AB4" s="549"/>
      <c r="AC4" s="549"/>
      <c r="AD4" s="549"/>
      <c r="AE4" s="549"/>
      <c r="AF4" s="549"/>
      <c r="AG4" s="549"/>
    </row>
    <row r="5" spans="1:55">
      <c r="A5" s="1"/>
      <c r="B5" s="1"/>
      <c r="T5" s="523"/>
      <c r="V5" s="549"/>
      <c r="W5" s="549"/>
      <c r="X5" s="549"/>
      <c r="Y5" s="549"/>
      <c r="Z5" s="549"/>
      <c r="AA5" s="549"/>
      <c r="AB5" s="549"/>
      <c r="AC5" s="549"/>
      <c r="AD5" s="549"/>
      <c r="AE5" s="549"/>
      <c r="AF5" s="549"/>
      <c r="AG5" s="549"/>
    </row>
    <row r="6" spans="1:55">
      <c r="A6" s="1092" t="s">
        <v>3239</v>
      </c>
      <c r="B6" s="1092"/>
      <c r="C6" s="1093"/>
      <c r="D6" s="1097" t="s">
        <v>1891</v>
      </c>
      <c r="E6" s="1092"/>
      <c r="F6" s="1092"/>
      <c r="G6" s="1093"/>
      <c r="H6" s="1097" t="s">
        <v>2056</v>
      </c>
      <c r="I6" s="1092"/>
      <c r="J6" s="1092"/>
      <c r="K6" s="1092"/>
      <c r="L6" s="1092"/>
      <c r="M6" s="1093"/>
      <c r="N6" s="1097" t="s">
        <v>2055</v>
      </c>
      <c r="O6" s="1092"/>
      <c r="P6" s="1092"/>
      <c r="Q6" s="1093"/>
      <c r="R6" s="1097" t="s">
        <v>1866</v>
      </c>
      <c r="S6" s="1092"/>
      <c r="T6" s="1092"/>
      <c r="U6" s="1092"/>
      <c r="V6" s="1092"/>
      <c r="W6" s="1093"/>
      <c r="X6" s="1097" t="s">
        <v>1965</v>
      </c>
      <c r="Y6" s="1092"/>
      <c r="Z6" s="1092"/>
      <c r="AA6" s="1093"/>
      <c r="AB6" s="1097" t="s">
        <v>2601</v>
      </c>
      <c r="AC6" s="1092"/>
      <c r="AD6" s="1092"/>
      <c r="AE6" s="1092"/>
      <c r="AF6" s="1093"/>
      <c r="AG6" s="1094" t="s">
        <v>1892</v>
      </c>
      <c r="AH6" s="1095"/>
      <c r="AI6" s="1095"/>
      <c r="AJ6" s="1095"/>
      <c r="AK6" s="1095"/>
      <c r="AL6" s="1095"/>
      <c r="AM6" s="1095"/>
      <c r="AN6" s="1095"/>
      <c r="AO6" s="1095"/>
      <c r="AP6" s="1096"/>
      <c r="AQ6" s="1094" t="s">
        <v>3035</v>
      </c>
      <c r="AR6" s="1095"/>
      <c r="AS6" s="1095"/>
      <c r="AT6" s="1095"/>
      <c r="AU6" s="1095"/>
      <c r="AV6" s="1096"/>
    </row>
    <row r="7" spans="1:55" s="556" customFormat="1" ht="56">
      <c r="A7" s="550" t="s">
        <v>3236</v>
      </c>
      <c r="B7" s="550" t="s">
        <v>2881</v>
      </c>
      <c r="C7" s="551" t="s">
        <v>1596</v>
      </c>
      <c r="D7" s="552" t="s">
        <v>190</v>
      </c>
      <c r="E7" s="550" t="s">
        <v>977</v>
      </c>
      <c r="F7" s="550" t="s">
        <v>192</v>
      </c>
      <c r="G7" s="553" t="s">
        <v>1430</v>
      </c>
      <c r="H7" s="552" t="s">
        <v>691</v>
      </c>
      <c r="I7" s="550" t="s">
        <v>2646</v>
      </c>
      <c r="J7" s="550" t="s">
        <v>1356</v>
      </c>
      <c r="K7" s="550" t="s">
        <v>1357</v>
      </c>
      <c r="L7" s="550" t="s">
        <v>1358</v>
      </c>
      <c r="M7" s="550" t="s">
        <v>1359</v>
      </c>
      <c r="N7" s="552" t="s">
        <v>1431</v>
      </c>
      <c r="O7" s="550" t="s">
        <v>1360</v>
      </c>
      <c r="P7" s="550" t="s">
        <v>1361</v>
      </c>
      <c r="Q7" s="554" t="s">
        <v>1362</v>
      </c>
      <c r="R7" s="552" t="s">
        <v>3240</v>
      </c>
      <c r="S7" s="550" t="s">
        <v>3717</v>
      </c>
      <c r="T7" s="550" t="s">
        <v>2647</v>
      </c>
      <c r="U7" s="550" t="s">
        <v>2975</v>
      </c>
      <c r="V7" s="550" t="s">
        <v>289</v>
      </c>
      <c r="W7" s="553" t="s">
        <v>2976</v>
      </c>
      <c r="X7" s="550" t="s">
        <v>3718</v>
      </c>
      <c r="Y7" s="550" t="s">
        <v>940</v>
      </c>
      <c r="Z7" s="550" t="s">
        <v>1863</v>
      </c>
      <c r="AA7" s="550" t="s">
        <v>2647</v>
      </c>
      <c r="AB7" s="552" t="s">
        <v>1294</v>
      </c>
      <c r="AC7" s="550" t="s">
        <v>2607</v>
      </c>
      <c r="AD7" s="550" t="s">
        <v>336</v>
      </c>
      <c r="AE7" s="550" t="s">
        <v>2648</v>
      </c>
      <c r="AF7" s="553" t="s">
        <v>2985</v>
      </c>
      <c r="AG7" s="552" t="s">
        <v>2955</v>
      </c>
      <c r="AH7" s="550" t="s">
        <v>2956</v>
      </c>
      <c r="AI7" s="550" t="s">
        <v>847</v>
      </c>
      <c r="AJ7" s="550" t="s">
        <v>848</v>
      </c>
      <c r="AK7" s="550" t="s">
        <v>1341</v>
      </c>
      <c r="AL7" s="550" t="s">
        <v>692</v>
      </c>
      <c r="AM7" s="550" t="s">
        <v>3493</v>
      </c>
      <c r="AN7" s="550" t="s">
        <v>3496</v>
      </c>
      <c r="AO7" s="550" t="s">
        <v>3499</v>
      </c>
      <c r="AP7" s="550" t="s">
        <v>1802</v>
      </c>
      <c r="AQ7" s="555" t="s">
        <v>3036</v>
      </c>
      <c r="AR7" s="550" t="s">
        <v>2646</v>
      </c>
      <c r="AS7" s="550" t="s">
        <v>1356</v>
      </c>
      <c r="AT7" s="550" t="s">
        <v>1357</v>
      </c>
      <c r="AU7" s="550" t="s">
        <v>1358</v>
      </c>
      <c r="AV7" s="553" t="s">
        <v>1359</v>
      </c>
      <c r="AW7" s="569" t="s">
        <v>3237</v>
      </c>
      <c r="AX7" s="1091" t="s">
        <v>3238</v>
      </c>
      <c r="AY7" s="1091"/>
      <c r="AZ7" s="1091"/>
      <c r="BA7" s="1091"/>
      <c r="BB7" s="1091"/>
      <c r="BC7" s="1091"/>
    </row>
    <row r="8" spans="1:55" s="564" customFormat="1">
      <c r="C8" s="804"/>
      <c r="D8" s="716" t="s">
        <v>189</v>
      </c>
      <c r="E8" s="405" t="s">
        <v>976</v>
      </c>
      <c r="F8" s="405" t="s">
        <v>193</v>
      </c>
      <c r="G8" s="717" t="s">
        <v>191</v>
      </c>
      <c r="H8" s="716" t="s">
        <v>1225</v>
      </c>
      <c r="I8" s="718" t="s">
        <v>3181</v>
      </c>
      <c r="J8" s="718" t="s">
        <v>292</v>
      </c>
      <c r="K8" s="718" t="s">
        <v>293</v>
      </c>
      <c r="L8" s="718" t="s">
        <v>294</v>
      </c>
      <c r="M8" s="719" t="s">
        <v>295</v>
      </c>
      <c r="N8" s="720" t="s">
        <v>2142</v>
      </c>
      <c r="O8" s="718" t="s">
        <v>2941</v>
      </c>
      <c r="P8" s="718" t="s">
        <v>2942</v>
      </c>
      <c r="Q8" s="719" t="s">
        <v>2943</v>
      </c>
      <c r="R8" s="720" t="s">
        <v>2059</v>
      </c>
      <c r="S8" s="718" t="s">
        <v>3716</v>
      </c>
      <c r="T8" s="405" t="s">
        <v>2223</v>
      </c>
      <c r="U8" s="405" t="s">
        <v>3153</v>
      </c>
      <c r="V8" s="405" t="s">
        <v>2909</v>
      </c>
      <c r="W8" s="717" t="s">
        <v>2910</v>
      </c>
      <c r="X8" s="405" t="s">
        <v>3719</v>
      </c>
      <c r="Y8" s="405" t="s">
        <v>941</v>
      </c>
      <c r="Z8" s="405" t="s">
        <v>1864</v>
      </c>
      <c r="AA8" s="405" t="s">
        <v>1865</v>
      </c>
      <c r="AB8" s="716" t="s">
        <v>1293</v>
      </c>
      <c r="AC8" s="405" t="s">
        <v>1778</v>
      </c>
      <c r="AD8" s="405" t="s">
        <v>1779</v>
      </c>
      <c r="AE8" s="405" t="s">
        <v>352</v>
      </c>
      <c r="AF8" s="717" t="s">
        <v>1780</v>
      </c>
      <c r="AG8" s="716" t="s">
        <v>2226</v>
      </c>
      <c r="AH8" s="718" t="s">
        <v>399</v>
      </c>
      <c r="AI8" s="405" t="s">
        <v>2633</v>
      </c>
      <c r="AJ8" s="405" t="s">
        <v>849</v>
      </c>
      <c r="AK8" s="405" t="s">
        <v>693</v>
      </c>
      <c r="AL8" s="405" t="s">
        <v>2632</v>
      </c>
      <c r="AM8" s="405" t="s">
        <v>3494</v>
      </c>
      <c r="AN8" s="405" t="s">
        <v>3497</v>
      </c>
      <c r="AO8" s="405" t="s">
        <v>3500</v>
      </c>
      <c r="AP8" s="405" t="s">
        <v>2173</v>
      </c>
      <c r="AQ8" s="721" t="s">
        <v>1020</v>
      </c>
      <c r="AR8" s="718" t="s">
        <v>1026</v>
      </c>
      <c r="AS8" s="718" t="s">
        <v>1027</v>
      </c>
      <c r="AT8" s="718" t="s">
        <v>1028</v>
      </c>
      <c r="AU8" s="718" t="s">
        <v>1029</v>
      </c>
      <c r="AV8" s="719" t="s">
        <v>1030</v>
      </c>
      <c r="AX8" s="564" t="s">
        <v>3725</v>
      </c>
      <c r="AY8" s="564" t="s">
        <v>3726</v>
      </c>
      <c r="AZ8" s="564" t="s">
        <v>3727</v>
      </c>
      <c r="BA8" s="564" t="s">
        <v>3728</v>
      </c>
      <c r="BB8" s="564" t="s">
        <v>3729</v>
      </c>
      <c r="BC8" s="564" t="s">
        <v>3730</v>
      </c>
    </row>
    <row r="9" spans="1:55" s="523" customFormat="1">
      <c r="A9" s="523">
        <v>1</v>
      </c>
      <c r="B9" s="523">
        <v>1</v>
      </c>
      <c r="C9" s="523">
        <v>1</v>
      </c>
      <c r="D9" s="557">
        <v>0.03</v>
      </c>
      <c r="E9" s="523" t="s">
        <v>188</v>
      </c>
      <c r="F9" s="414">
        <v>7.0000000000000001E-3</v>
      </c>
      <c r="G9" s="523" t="s">
        <v>188</v>
      </c>
      <c r="H9" s="557" t="s">
        <v>3139</v>
      </c>
      <c r="I9" s="523" t="s">
        <v>936</v>
      </c>
      <c r="J9" s="414">
        <v>50000</v>
      </c>
      <c r="M9" s="561"/>
      <c r="N9" s="557" t="s">
        <v>194</v>
      </c>
      <c r="O9" s="523">
        <v>20</v>
      </c>
      <c r="Q9" s="561"/>
      <c r="R9" s="557">
        <v>2</v>
      </c>
      <c r="S9" s="523" t="s">
        <v>3491</v>
      </c>
      <c r="T9" s="559"/>
      <c r="V9" s="559"/>
      <c r="W9" s="560"/>
      <c r="X9" s="559"/>
      <c r="Y9" s="559"/>
      <c r="Z9" s="559"/>
      <c r="AA9" s="559"/>
      <c r="AB9" s="557">
        <v>168</v>
      </c>
      <c r="AC9" s="414" t="s">
        <v>2060</v>
      </c>
      <c r="AD9" s="438" t="s">
        <v>497</v>
      </c>
      <c r="AE9" s="523" t="s">
        <v>499</v>
      </c>
      <c r="AF9" s="561"/>
      <c r="AG9" s="557"/>
      <c r="AH9" s="805">
        <v>0</v>
      </c>
      <c r="AI9" s="438"/>
      <c r="AJ9" s="414"/>
      <c r="AK9" s="523" t="s">
        <v>1932</v>
      </c>
      <c r="AQ9" s="557"/>
      <c r="AV9" s="561"/>
      <c r="AW9" s="414" t="str">
        <f t="shared" ref="AW9:AW72" si="0">IF(VLOOKUP(A9,contam_lookup,2,FALSE)="","",VLOOKUP(A9,contam_lookup,2,FALSE))&amp;", "&amp;IF(B9=1,"Pressure","Gravity")</f>
        <v>Perfluorooctane Sulfonate (PFOS), Pressure</v>
      </c>
      <c r="AX9" s="414" t="b">
        <f>IF(OR(S9="yes",X9="yes"),AZ9,BA9)</f>
        <v>0</v>
      </c>
      <c r="AY9" s="523" t="b">
        <f t="array" ref="AY9">AND(D9:G9=inp_used_minimal,A9=inp_used_usersel)</f>
        <v>0</v>
      </c>
      <c r="AZ9" s="523" t="b">
        <f t="array" ref="AZ9">AND(A9=inp_used_usersel,D9:R9=inp_used_nonvessel1,AB9:AV9=inp_used_nonvessel2,IF(B9=1,inp_used_pressure=inp_autosize_pressure,inp_used_gravity=inp_autosize_gravity))</f>
        <v>0</v>
      </c>
      <c r="BA9" s="523" t="b">
        <f t="array" ref="BA9">AND(D9:AV9=inp_used,A9=inp_used_usersel)</f>
        <v>0</v>
      </c>
      <c r="BB9" s="523" t="b">
        <f t="shared" ref="BB9:BC16" si="1">CHOOSE(design_type,AX9,AX17)</f>
        <v>0</v>
      </c>
      <c r="BC9" s="523" t="b">
        <f t="shared" si="1"/>
        <v>0</v>
      </c>
    </row>
    <row r="10" spans="1:55" s="523" customFormat="1">
      <c r="A10" s="523">
        <v>1</v>
      </c>
      <c r="B10" s="523">
        <v>1</v>
      </c>
      <c r="C10" s="523">
        <v>2</v>
      </c>
      <c r="D10" s="557">
        <v>0.124</v>
      </c>
      <c r="E10" s="523" t="s">
        <v>188</v>
      </c>
      <c r="F10" s="414">
        <v>3.5000000000000003E-2</v>
      </c>
      <c r="G10" s="523" t="s">
        <v>188</v>
      </c>
      <c r="H10" s="557" t="s">
        <v>3139</v>
      </c>
      <c r="I10" s="523" t="s">
        <v>936</v>
      </c>
      <c r="J10" s="414">
        <v>50000</v>
      </c>
      <c r="M10" s="561"/>
      <c r="N10" s="557" t="s">
        <v>194</v>
      </c>
      <c r="O10" s="523">
        <v>20</v>
      </c>
      <c r="Q10" s="561"/>
      <c r="R10" s="557">
        <v>2</v>
      </c>
      <c r="S10" s="523" t="s">
        <v>3491</v>
      </c>
      <c r="T10" s="559"/>
      <c r="V10" s="559"/>
      <c r="W10" s="560"/>
      <c r="X10" s="559"/>
      <c r="Y10" s="559"/>
      <c r="Z10" s="559"/>
      <c r="AA10" s="559"/>
      <c r="AB10" s="557">
        <v>168</v>
      </c>
      <c r="AC10" s="414" t="s">
        <v>2060</v>
      </c>
      <c r="AD10" s="438" t="s">
        <v>498</v>
      </c>
      <c r="AE10" s="523" t="s">
        <v>499</v>
      </c>
      <c r="AF10" s="562" t="s">
        <v>500</v>
      </c>
      <c r="AG10" s="557"/>
      <c r="AH10" s="523">
        <v>0</v>
      </c>
      <c r="AI10" s="438"/>
      <c r="AJ10" s="414"/>
      <c r="AK10" s="523" t="s">
        <v>1932</v>
      </c>
      <c r="AQ10" s="557"/>
      <c r="AV10" s="561"/>
      <c r="AW10" s="414" t="str">
        <f t="shared" si="0"/>
        <v>Perfluorooctane Sulfonate (PFOS), Pressure</v>
      </c>
      <c r="AX10" s="414" t="b">
        <f t="shared" ref="AX10:AX73" si="2">IF(OR(S10="yes",X10="yes"),AZ10,BA10)</f>
        <v>0</v>
      </c>
      <c r="AY10" s="523" t="b">
        <f t="array" ref="AY10">AND(D10:G10=inp_used_minimal,A10=inp_used_usersel)</f>
        <v>0</v>
      </c>
      <c r="AZ10" s="523" t="b">
        <f t="array" ref="AZ10">AND(A10=inp_used_usersel,D10:R10=inp_used_nonvessel1,AB10:AV10=inp_used_nonvessel2,IF(B10=1,inp_used_pressure=inp_autosize_pressure,inp_used_gravity=inp_autosize_gravity))</f>
        <v>0</v>
      </c>
      <c r="BA10" s="523" t="b">
        <f t="array" ref="BA10">AND(D10:AV10=inp_used,A10=inp_used_usersel)</f>
        <v>0</v>
      </c>
      <c r="BB10" s="523" t="b">
        <f t="shared" si="1"/>
        <v>0</v>
      </c>
      <c r="BC10" s="523" t="b">
        <f t="shared" si="1"/>
        <v>0</v>
      </c>
    </row>
    <row r="11" spans="1:55" s="523" customFormat="1">
      <c r="A11" s="523">
        <v>1</v>
      </c>
      <c r="B11" s="523">
        <v>1</v>
      </c>
      <c r="C11" s="523">
        <v>3</v>
      </c>
      <c r="D11" s="557">
        <v>0.30499999999999999</v>
      </c>
      <c r="E11" s="523" t="s">
        <v>188</v>
      </c>
      <c r="F11" s="414">
        <v>9.4E-2</v>
      </c>
      <c r="G11" s="523" t="s">
        <v>188</v>
      </c>
      <c r="H11" s="557" t="s">
        <v>3139</v>
      </c>
      <c r="I11" s="523" t="s">
        <v>936</v>
      </c>
      <c r="J11" s="414">
        <v>50000</v>
      </c>
      <c r="M11" s="561"/>
      <c r="N11" s="557" t="s">
        <v>194</v>
      </c>
      <c r="O11" s="523">
        <v>20</v>
      </c>
      <c r="Q11" s="561"/>
      <c r="R11" s="557">
        <v>2</v>
      </c>
      <c r="S11" s="523" t="s">
        <v>3491</v>
      </c>
      <c r="T11" s="559"/>
      <c r="V11" s="559"/>
      <c r="W11" s="560"/>
      <c r="X11" s="559"/>
      <c r="Y11" s="559"/>
      <c r="Z11" s="559"/>
      <c r="AA11" s="559"/>
      <c r="AB11" s="557">
        <v>168</v>
      </c>
      <c r="AC11" s="414" t="s">
        <v>2060</v>
      </c>
      <c r="AD11" s="438" t="s">
        <v>498</v>
      </c>
      <c r="AE11" s="523" t="s">
        <v>499</v>
      </c>
      <c r="AF11" s="562" t="s">
        <v>500</v>
      </c>
      <c r="AG11" s="557"/>
      <c r="AH11" s="523">
        <v>0</v>
      </c>
      <c r="AI11" s="438"/>
      <c r="AJ11" s="414"/>
      <c r="AK11" s="523" t="s">
        <v>1932</v>
      </c>
      <c r="AQ11" s="557"/>
      <c r="AV11" s="561"/>
      <c r="AW11" s="414" t="str">
        <f t="shared" si="0"/>
        <v>Perfluorooctane Sulfonate (PFOS), Pressure</v>
      </c>
      <c r="AX11" s="414" t="b">
        <f t="shared" si="2"/>
        <v>0</v>
      </c>
      <c r="AY11" s="523" t="b">
        <f t="array" ref="AY11">AND(D11:G11=inp_used_minimal,A11=inp_used_usersel)</f>
        <v>0</v>
      </c>
      <c r="AZ11" s="523" t="b">
        <f t="array" ref="AZ11">AND(A11=inp_used_usersel,D11:R11=inp_used_nonvessel1,AB11:AV11=inp_used_nonvessel2,IF(B11=1,inp_used_pressure=inp_autosize_pressure,inp_used_gravity=inp_autosize_gravity))</f>
        <v>0</v>
      </c>
      <c r="BA11" s="523" t="b">
        <f t="array" ref="BA11">AND(D11:AV11=inp_used,A11=inp_used_usersel)</f>
        <v>0</v>
      </c>
      <c r="BB11" s="523" t="b">
        <f t="shared" si="1"/>
        <v>0</v>
      </c>
      <c r="BC11" s="523" t="b">
        <f t="shared" si="1"/>
        <v>0</v>
      </c>
    </row>
    <row r="12" spans="1:55" s="523" customFormat="1">
      <c r="A12" s="523">
        <v>1</v>
      </c>
      <c r="B12" s="523">
        <v>1</v>
      </c>
      <c r="C12" s="523">
        <v>4</v>
      </c>
      <c r="D12" s="557">
        <v>0.74</v>
      </c>
      <c r="E12" s="523" t="s">
        <v>188</v>
      </c>
      <c r="F12" s="414">
        <v>0.251</v>
      </c>
      <c r="G12" s="523" t="s">
        <v>188</v>
      </c>
      <c r="H12" s="557" t="s">
        <v>3139</v>
      </c>
      <c r="I12" s="523" t="s">
        <v>936</v>
      </c>
      <c r="J12" s="414">
        <v>50000</v>
      </c>
      <c r="M12" s="561"/>
      <c r="N12" s="557" t="s">
        <v>194</v>
      </c>
      <c r="O12" s="523">
        <v>20</v>
      </c>
      <c r="Q12" s="561"/>
      <c r="R12" s="557">
        <v>2</v>
      </c>
      <c r="S12" s="523" t="s">
        <v>3491</v>
      </c>
      <c r="T12" s="559"/>
      <c r="V12" s="559"/>
      <c r="W12" s="560"/>
      <c r="X12" s="559"/>
      <c r="Y12" s="559"/>
      <c r="Z12" s="559"/>
      <c r="AA12" s="559"/>
      <c r="AB12" s="557">
        <v>168</v>
      </c>
      <c r="AC12" s="414" t="s">
        <v>2060</v>
      </c>
      <c r="AD12" s="438" t="s">
        <v>498</v>
      </c>
      <c r="AE12" s="523" t="s">
        <v>499</v>
      </c>
      <c r="AF12" s="562" t="s">
        <v>500</v>
      </c>
      <c r="AG12" s="557"/>
      <c r="AH12" s="523">
        <v>0</v>
      </c>
      <c r="AI12" s="438"/>
      <c r="AJ12" s="414"/>
      <c r="AK12" s="523" t="s">
        <v>1932</v>
      </c>
      <c r="AQ12" s="557"/>
      <c r="AV12" s="561"/>
      <c r="AW12" s="414" t="str">
        <f t="shared" si="0"/>
        <v>Perfluorooctane Sulfonate (PFOS), Pressure</v>
      </c>
      <c r="AX12" s="414" t="b">
        <f t="shared" si="2"/>
        <v>0</v>
      </c>
      <c r="AY12" s="523" t="b">
        <f t="array" ref="AY12">AND(D12:G12=inp_used_minimal,A12=inp_used_usersel)</f>
        <v>0</v>
      </c>
      <c r="AZ12" s="523" t="b">
        <f t="array" ref="AZ12">AND(A12=inp_used_usersel,D12:R12=inp_used_nonvessel1,AB12:AV12=inp_used_nonvessel2,IF(B12=1,inp_used_pressure=inp_autosize_pressure,inp_used_gravity=inp_autosize_gravity))</f>
        <v>0</v>
      </c>
      <c r="BA12" s="523" t="b">
        <f t="array" ref="BA12">AND(D12:AV12=inp_used,A12=inp_used_usersel)</f>
        <v>0</v>
      </c>
      <c r="BB12" s="523" t="b">
        <f t="shared" si="1"/>
        <v>0</v>
      </c>
      <c r="BC12" s="523" t="b">
        <f t="shared" si="1"/>
        <v>0</v>
      </c>
    </row>
    <row r="13" spans="1:55" s="523" customFormat="1">
      <c r="A13" s="523">
        <v>1</v>
      </c>
      <c r="B13" s="523">
        <v>1</v>
      </c>
      <c r="C13" s="523">
        <v>5</v>
      </c>
      <c r="D13" s="529">
        <v>2.1520000000000001</v>
      </c>
      <c r="E13" s="523" t="s">
        <v>188</v>
      </c>
      <c r="F13" s="414">
        <v>0.81899999999999995</v>
      </c>
      <c r="G13" s="523" t="s">
        <v>188</v>
      </c>
      <c r="H13" s="557" t="s">
        <v>3139</v>
      </c>
      <c r="I13" s="523" t="s">
        <v>936</v>
      </c>
      <c r="J13" s="414">
        <v>50000</v>
      </c>
      <c r="M13" s="561"/>
      <c r="N13" s="557" t="s">
        <v>194</v>
      </c>
      <c r="O13" s="523">
        <v>20</v>
      </c>
      <c r="Q13" s="561"/>
      <c r="R13" s="557">
        <v>2</v>
      </c>
      <c r="S13" s="523" t="s">
        <v>3491</v>
      </c>
      <c r="T13" s="559"/>
      <c r="V13" s="559"/>
      <c r="W13" s="560"/>
      <c r="X13" s="559"/>
      <c r="Y13" s="559"/>
      <c r="Z13" s="559"/>
      <c r="AA13" s="559"/>
      <c r="AB13" s="557">
        <v>168</v>
      </c>
      <c r="AC13" s="414" t="s">
        <v>2060</v>
      </c>
      <c r="AD13" s="438" t="s">
        <v>498</v>
      </c>
      <c r="AE13" s="523" t="s">
        <v>499</v>
      </c>
      <c r="AF13" s="562" t="s">
        <v>500</v>
      </c>
      <c r="AG13" s="557"/>
      <c r="AH13" s="523">
        <v>0</v>
      </c>
      <c r="AJ13" s="414"/>
      <c r="AK13" s="523" t="s">
        <v>1932</v>
      </c>
      <c r="AQ13" s="557"/>
      <c r="AV13" s="561"/>
      <c r="AW13" s="414" t="str">
        <f t="shared" si="0"/>
        <v>Perfluorooctane Sulfonate (PFOS), Pressure</v>
      </c>
      <c r="AX13" s="414" t="b">
        <f t="shared" si="2"/>
        <v>0</v>
      </c>
      <c r="AY13" s="523" t="b">
        <f t="array" ref="AY13">AND(D13:G13=inp_used_minimal,A13=inp_used_usersel)</f>
        <v>0</v>
      </c>
      <c r="AZ13" s="523" t="b">
        <f t="array" ref="AZ13">AND(A13=inp_used_usersel,D13:R13=inp_used_nonvessel1,AB13:AV13=inp_used_nonvessel2,IF(B13=1,inp_used_pressure=inp_autosize_pressure,inp_used_gravity=inp_autosize_gravity))</f>
        <v>0</v>
      </c>
      <c r="BA13" s="523" t="b">
        <f t="array" ref="BA13">AND(D13:AV13=inp_used,A13=inp_used_usersel)</f>
        <v>0</v>
      </c>
      <c r="BB13" s="523" t="b">
        <f t="shared" si="1"/>
        <v>0</v>
      </c>
      <c r="BC13" s="523" t="b">
        <f t="shared" si="1"/>
        <v>0</v>
      </c>
    </row>
    <row r="14" spans="1:55" s="523" customFormat="1">
      <c r="A14" s="523">
        <v>1</v>
      </c>
      <c r="B14" s="523">
        <v>1</v>
      </c>
      <c r="C14" s="523">
        <v>6</v>
      </c>
      <c r="D14" s="529">
        <v>7.3650000000000002</v>
      </c>
      <c r="E14" s="523" t="s">
        <v>188</v>
      </c>
      <c r="F14" s="414">
        <v>3.2</v>
      </c>
      <c r="G14" s="523" t="s">
        <v>188</v>
      </c>
      <c r="H14" s="557" t="s">
        <v>3139</v>
      </c>
      <c r="I14" s="523" t="s">
        <v>936</v>
      </c>
      <c r="J14" s="414">
        <v>50000</v>
      </c>
      <c r="M14" s="561"/>
      <c r="N14" s="557" t="s">
        <v>194</v>
      </c>
      <c r="O14" s="523">
        <v>20</v>
      </c>
      <c r="Q14" s="561"/>
      <c r="R14" s="557">
        <v>2</v>
      </c>
      <c r="S14" s="523" t="s">
        <v>3491</v>
      </c>
      <c r="T14" s="559"/>
      <c r="V14" s="559"/>
      <c r="W14" s="560"/>
      <c r="X14" s="559"/>
      <c r="Y14" s="559"/>
      <c r="Z14" s="559"/>
      <c r="AA14" s="559"/>
      <c r="AB14" s="557">
        <v>168</v>
      </c>
      <c r="AC14" s="414" t="s">
        <v>2060</v>
      </c>
      <c r="AD14" s="438" t="s">
        <v>498</v>
      </c>
      <c r="AE14" s="523" t="s">
        <v>2615</v>
      </c>
      <c r="AF14" s="562" t="s">
        <v>500</v>
      </c>
      <c r="AG14" s="557"/>
      <c r="AH14" s="523">
        <v>0</v>
      </c>
      <c r="AJ14" s="414"/>
      <c r="AK14" s="523" t="s">
        <v>1932</v>
      </c>
      <c r="AQ14" s="557"/>
      <c r="AV14" s="561"/>
      <c r="AW14" s="414" t="str">
        <f t="shared" si="0"/>
        <v>Perfluorooctane Sulfonate (PFOS), Pressure</v>
      </c>
      <c r="AX14" s="414" t="b">
        <f t="shared" si="2"/>
        <v>0</v>
      </c>
      <c r="AY14" s="523" t="b">
        <f t="array" ref="AY14">AND(D14:G14=inp_used_minimal,A14=inp_used_usersel)</f>
        <v>0</v>
      </c>
      <c r="AZ14" s="523" t="b">
        <f t="array" ref="AZ14">AND(A14=inp_used_usersel,D14:R14=inp_used_nonvessel1,AB14:AV14=inp_used_nonvessel2,IF(B14=1,inp_used_pressure=inp_autosize_pressure,inp_used_gravity=inp_autosize_gravity))</f>
        <v>0</v>
      </c>
      <c r="BA14" s="523" t="b">
        <f t="array" ref="BA14">AND(D14:AV14=inp_used,A14=inp_used_usersel)</f>
        <v>0</v>
      </c>
      <c r="BB14" s="523" t="b">
        <f t="shared" si="1"/>
        <v>0</v>
      </c>
      <c r="BC14" s="523" t="b">
        <f t="shared" si="1"/>
        <v>0</v>
      </c>
    </row>
    <row r="15" spans="1:55" s="523" customFormat="1">
      <c r="A15" s="523">
        <v>1</v>
      </c>
      <c r="B15" s="523">
        <v>1</v>
      </c>
      <c r="C15" s="523">
        <v>7</v>
      </c>
      <c r="D15" s="529">
        <v>22.614000000000001</v>
      </c>
      <c r="E15" s="523" t="s">
        <v>188</v>
      </c>
      <c r="F15" s="414">
        <v>11.066000000000001</v>
      </c>
      <c r="G15" s="523" t="s">
        <v>188</v>
      </c>
      <c r="H15" s="557" t="s">
        <v>3139</v>
      </c>
      <c r="I15" s="523" t="s">
        <v>936</v>
      </c>
      <c r="J15" s="414">
        <v>50000</v>
      </c>
      <c r="M15" s="561"/>
      <c r="N15" s="557" t="s">
        <v>194</v>
      </c>
      <c r="O15" s="523">
        <v>20</v>
      </c>
      <c r="Q15" s="561"/>
      <c r="R15" s="557">
        <v>2</v>
      </c>
      <c r="S15" s="523" t="s">
        <v>3491</v>
      </c>
      <c r="T15" s="559"/>
      <c r="V15" s="559"/>
      <c r="W15" s="560"/>
      <c r="X15" s="559"/>
      <c r="Y15" s="559"/>
      <c r="Z15" s="559"/>
      <c r="AA15" s="559"/>
      <c r="AB15" s="557">
        <v>168</v>
      </c>
      <c r="AC15" s="414" t="s">
        <v>2060</v>
      </c>
      <c r="AD15" s="438" t="s">
        <v>498</v>
      </c>
      <c r="AE15" s="523" t="s">
        <v>2615</v>
      </c>
      <c r="AF15" s="562" t="s">
        <v>500</v>
      </c>
      <c r="AG15" s="557"/>
      <c r="AH15" s="523">
        <v>0</v>
      </c>
      <c r="AJ15" s="414"/>
      <c r="AK15" s="523" t="s">
        <v>1932</v>
      </c>
      <c r="AQ15" s="557"/>
      <c r="AV15" s="561"/>
      <c r="AW15" s="414" t="str">
        <f t="shared" si="0"/>
        <v>Perfluorooctane Sulfonate (PFOS), Pressure</v>
      </c>
      <c r="AX15" s="414" t="b">
        <f t="shared" si="2"/>
        <v>0</v>
      </c>
      <c r="AY15" s="523" t="b">
        <f t="array" ref="AY15">AND(D15:G15=inp_used_minimal,A15=inp_used_usersel)</f>
        <v>0</v>
      </c>
      <c r="AZ15" s="523" t="b">
        <f t="array" ref="AZ15">AND(A15=inp_used_usersel,D15:R15=inp_used_nonvessel1,AB15:AV15=inp_used_nonvessel2,IF(B15=1,inp_used_pressure=inp_autosize_pressure,inp_used_gravity=inp_autosize_gravity))</f>
        <v>0</v>
      </c>
      <c r="BA15" s="523" t="b">
        <f t="array" ref="BA15">AND(D15:AV15=inp_used,A15=inp_used_usersel)</f>
        <v>0</v>
      </c>
      <c r="BB15" s="523" t="b">
        <f t="shared" si="1"/>
        <v>0</v>
      </c>
      <c r="BC15" s="523" t="b">
        <f t="shared" si="1"/>
        <v>0</v>
      </c>
    </row>
    <row r="16" spans="1:55" s="563" customFormat="1">
      <c r="A16" s="563">
        <v>1</v>
      </c>
      <c r="B16" s="563">
        <v>1</v>
      </c>
      <c r="C16" s="563">
        <v>8</v>
      </c>
      <c r="D16" s="918">
        <v>75.072000000000003</v>
      </c>
      <c r="E16" s="563" t="s">
        <v>188</v>
      </c>
      <c r="F16" s="564">
        <v>37.536000000000001</v>
      </c>
      <c r="G16" s="563" t="s">
        <v>188</v>
      </c>
      <c r="H16" s="919" t="s">
        <v>3139</v>
      </c>
      <c r="I16" s="563" t="s">
        <v>936</v>
      </c>
      <c r="J16" s="564">
        <v>50000</v>
      </c>
      <c r="M16" s="565"/>
      <c r="N16" s="919" t="s">
        <v>194</v>
      </c>
      <c r="O16" s="563">
        <v>20</v>
      </c>
      <c r="Q16" s="565"/>
      <c r="R16" s="919">
        <v>2</v>
      </c>
      <c r="S16" s="563" t="s">
        <v>3491</v>
      </c>
      <c r="T16" s="566"/>
      <c r="V16" s="566"/>
      <c r="W16" s="567"/>
      <c r="X16" s="566"/>
      <c r="Y16" s="566"/>
      <c r="Z16" s="566"/>
      <c r="AA16" s="567"/>
      <c r="AB16" s="919">
        <v>168</v>
      </c>
      <c r="AC16" s="564" t="s">
        <v>2060</v>
      </c>
      <c r="AD16" s="568" t="s">
        <v>498</v>
      </c>
      <c r="AE16" s="563" t="s">
        <v>2615</v>
      </c>
      <c r="AF16" s="554" t="s">
        <v>500</v>
      </c>
      <c r="AG16" s="919"/>
      <c r="AH16" s="563">
        <v>0</v>
      </c>
      <c r="AJ16" s="564"/>
      <c r="AK16" s="563" t="s">
        <v>1932</v>
      </c>
      <c r="AP16" s="565"/>
      <c r="AQ16" s="919"/>
      <c r="AV16" s="565"/>
      <c r="AW16" s="564" t="str">
        <f t="shared" si="0"/>
        <v>Perfluorooctane Sulfonate (PFOS), Pressure</v>
      </c>
      <c r="AX16" s="564" t="b">
        <f t="shared" si="2"/>
        <v>0</v>
      </c>
      <c r="AY16" s="563" t="b">
        <f t="array" ref="AY16">AND(D16:G16=inp_used_minimal,A16=inp_used_usersel)</f>
        <v>0</v>
      </c>
      <c r="AZ16" s="563" t="b">
        <f t="array" ref="AZ16">AND(A16=inp_used_usersel,D16:R16=inp_used_nonvessel1,AB16:AV16=inp_used_nonvessel2,IF(B16=1,inp_used_pressure=inp_autosize_pressure,inp_used_gravity=inp_autosize_gravity))</f>
        <v>0</v>
      </c>
      <c r="BA16" s="563" t="b">
        <f t="array" ref="BA16">AND(D16:AV16=inp_used,A16=inp_used_usersel)</f>
        <v>0</v>
      </c>
      <c r="BB16" s="563" t="b">
        <f t="shared" si="1"/>
        <v>0</v>
      </c>
      <c r="BC16" s="563" t="b">
        <f t="shared" si="1"/>
        <v>0</v>
      </c>
    </row>
    <row r="17" spans="1:55" s="523" customFormat="1">
      <c r="A17" s="523">
        <v>1</v>
      </c>
      <c r="B17" s="523">
        <v>2</v>
      </c>
      <c r="C17" s="561">
        <v>1</v>
      </c>
      <c r="D17" s="917">
        <v>0.03</v>
      </c>
      <c r="E17" s="523" t="s">
        <v>188</v>
      </c>
      <c r="F17" s="523">
        <v>7.0000000000000001E-3</v>
      </c>
      <c r="G17" s="561" t="s">
        <v>188</v>
      </c>
      <c r="H17" s="917" t="s">
        <v>3139</v>
      </c>
      <c r="I17" s="523" t="s">
        <v>936</v>
      </c>
      <c r="J17" s="414">
        <v>50000</v>
      </c>
      <c r="M17" s="561"/>
      <c r="N17" s="917" t="s">
        <v>194</v>
      </c>
      <c r="O17" s="523">
        <v>20</v>
      </c>
      <c r="Q17" s="561"/>
      <c r="R17" s="917"/>
      <c r="T17" s="559"/>
      <c r="U17" s="559"/>
      <c r="V17" s="559"/>
      <c r="W17" s="560"/>
      <c r="X17" s="559" t="s">
        <v>3491</v>
      </c>
      <c r="Y17" s="414"/>
      <c r="Z17" s="414"/>
      <c r="AA17" s="414"/>
      <c r="AB17" s="917">
        <v>168</v>
      </c>
      <c r="AC17" s="414" t="s">
        <v>2060</v>
      </c>
      <c r="AD17" s="414" t="s">
        <v>2875</v>
      </c>
      <c r="AE17" s="523" t="s">
        <v>499</v>
      </c>
      <c r="AF17" s="414" t="s">
        <v>500</v>
      </c>
      <c r="AG17" s="917"/>
      <c r="AI17" s="438"/>
      <c r="AJ17" s="414"/>
      <c r="AK17" s="523" t="s">
        <v>1932</v>
      </c>
      <c r="AQ17" s="917"/>
      <c r="AV17" s="561"/>
      <c r="AW17" s="414" t="str">
        <f t="shared" si="0"/>
        <v>Perfluorooctane Sulfonate (PFOS), Gravity</v>
      </c>
      <c r="AX17" s="414" t="b">
        <f t="shared" si="2"/>
        <v>0</v>
      </c>
      <c r="AY17" s="523" t="b">
        <f t="array" ref="AY17">AND(D17:G17=inp_used_minimal,A17=inp_used_usersel)</f>
        <v>0</v>
      </c>
      <c r="AZ17" s="523" t="b">
        <f t="array" ref="AZ17">AND(A17=inp_used_usersel,D17:R17=inp_used_nonvessel1,AB17:AV17=inp_used_nonvessel2,IF(B17=1,inp_used_pressure=inp_autosize_pressure,inp_used_gravity=inp_autosize_gravity))</f>
        <v>0</v>
      </c>
      <c r="BA17" s="523" t="b">
        <f t="array" ref="BA17">AND(D17:AV17=inp_used,A17=inp_used_usersel)</f>
        <v>0</v>
      </c>
    </row>
    <row r="18" spans="1:55" s="523" customFormat="1">
      <c r="A18" s="523">
        <v>1</v>
      </c>
      <c r="B18" s="523">
        <v>2</v>
      </c>
      <c r="C18" s="561">
        <v>2</v>
      </c>
      <c r="D18" s="557">
        <v>0.124</v>
      </c>
      <c r="E18" s="523" t="s">
        <v>188</v>
      </c>
      <c r="F18" s="523">
        <v>3.5000000000000003E-2</v>
      </c>
      <c r="G18" s="561" t="s">
        <v>188</v>
      </c>
      <c r="H18" s="557" t="s">
        <v>3139</v>
      </c>
      <c r="I18" s="523" t="s">
        <v>936</v>
      </c>
      <c r="J18" s="414">
        <v>50000</v>
      </c>
      <c r="M18" s="561"/>
      <c r="N18" s="557" t="s">
        <v>194</v>
      </c>
      <c r="O18" s="523">
        <v>20</v>
      </c>
      <c r="Q18" s="561"/>
      <c r="R18" s="557"/>
      <c r="T18" s="559"/>
      <c r="U18" s="559"/>
      <c r="V18" s="559"/>
      <c r="W18" s="560"/>
      <c r="X18" s="559" t="s">
        <v>3491</v>
      </c>
      <c r="Y18" s="414"/>
      <c r="Z18" s="414"/>
      <c r="AA18" s="414"/>
      <c r="AB18" s="557">
        <v>168</v>
      </c>
      <c r="AC18" s="414" t="s">
        <v>2060</v>
      </c>
      <c r="AD18" s="414" t="s">
        <v>2875</v>
      </c>
      <c r="AE18" s="523" t="s">
        <v>499</v>
      </c>
      <c r="AF18" s="414" t="s">
        <v>500</v>
      </c>
      <c r="AG18" s="557"/>
      <c r="AI18" s="438"/>
      <c r="AJ18" s="414"/>
      <c r="AK18" s="523" t="s">
        <v>1932</v>
      </c>
      <c r="AQ18" s="557"/>
      <c r="AV18" s="561"/>
      <c r="AW18" s="414" t="str">
        <f t="shared" si="0"/>
        <v>Perfluorooctane Sulfonate (PFOS), Gravity</v>
      </c>
      <c r="AX18" s="414" t="b">
        <f t="shared" si="2"/>
        <v>0</v>
      </c>
      <c r="AY18" s="523" t="b">
        <f t="array" ref="AY18">AND(D18:G18=inp_used_minimal,A18=inp_used_usersel)</f>
        <v>0</v>
      </c>
      <c r="AZ18" s="523" t="b">
        <f t="array" ref="AZ18">AND(A18=inp_used_usersel,D18:R18=inp_used_nonvessel1,AB18:AV18=inp_used_nonvessel2,IF(B18=1,inp_used_pressure=inp_autosize_pressure,inp_used_gravity=inp_autosize_gravity))</f>
        <v>0</v>
      </c>
      <c r="BA18" s="523" t="b">
        <f t="array" ref="BA18">AND(D18:AV18=inp_used,A18=inp_used_usersel)</f>
        <v>0</v>
      </c>
    </row>
    <row r="19" spans="1:55" s="523" customFormat="1">
      <c r="A19" s="523">
        <v>1</v>
      </c>
      <c r="B19" s="523">
        <v>2</v>
      </c>
      <c r="C19" s="561">
        <v>3</v>
      </c>
      <c r="D19" s="557">
        <v>0.30499999999999999</v>
      </c>
      <c r="E19" s="523" t="s">
        <v>188</v>
      </c>
      <c r="F19" s="523">
        <v>9.4E-2</v>
      </c>
      <c r="G19" s="561" t="s">
        <v>188</v>
      </c>
      <c r="H19" s="557" t="s">
        <v>3139</v>
      </c>
      <c r="I19" s="523" t="s">
        <v>936</v>
      </c>
      <c r="J19" s="414">
        <v>50000</v>
      </c>
      <c r="M19" s="561"/>
      <c r="N19" s="557" t="s">
        <v>194</v>
      </c>
      <c r="O19" s="523">
        <v>20</v>
      </c>
      <c r="Q19" s="561"/>
      <c r="R19" s="557"/>
      <c r="T19" s="559"/>
      <c r="U19" s="559"/>
      <c r="V19" s="559"/>
      <c r="W19" s="560"/>
      <c r="X19" s="559" t="s">
        <v>3491</v>
      </c>
      <c r="Y19" s="414"/>
      <c r="Z19" s="414"/>
      <c r="AA19" s="414"/>
      <c r="AB19" s="557">
        <v>168</v>
      </c>
      <c r="AC19" s="414" t="s">
        <v>2060</v>
      </c>
      <c r="AD19" s="414" t="s">
        <v>2875</v>
      </c>
      <c r="AE19" s="523" t="s">
        <v>499</v>
      </c>
      <c r="AF19" s="414" t="s">
        <v>500</v>
      </c>
      <c r="AG19" s="557"/>
      <c r="AI19" s="438"/>
      <c r="AJ19" s="414"/>
      <c r="AK19" s="523" t="s">
        <v>1932</v>
      </c>
      <c r="AQ19" s="557"/>
      <c r="AV19" s="561"/>
      <c r="AW19" s="414" t="str">
        <f t="shared" si="0"/>
        <v>Perfluorooctane Sulfonate (PFOS), Gravity</v>
      </c>
      <c r="AX19" s="414" t="b">
        <f t="shared" si="2"/>
        <v>0</v>
      </c>
      <c r="AY19" s="523" t="b">
        <f t="array" ref="AY19">AND(D19:G19=inp_used_minimal,A19=inp_used_usersel)</f>
        <v>0</v>
      </c>
      <c r="AZ19" s="523" t="b">
        <f t="array" ref="AZ19">AND(A19=inp_used_usersel,D19:R19=inp_used_nonvessel1,AB19:AV19=inp_used_nonvessel2,IF(B19=1,inp_used_pressure=inp_autosize_pressure,inp_used_gravity=inp_autosize_gravity))</f>
        <v>0</v>
      </c>
      <c r="BA19" s="523" t="b">
        <f t="array" ref="BA19">AND(D19:AV19=inp_used,A19=inp_used_usersel)</f>
        <v>0</v>
      </c>
    </row>
    <row r="20" spans="1:55" s="523" customFormat="1">
      <c r="A20" s="523">
        <v>1</v>
      </c>
      <c r="B20" s="523">
        <v>2</v>
      </c>
      <c r="C20" s="561">
        <v>4</v>
      </c>
      <c r="D20" s="557">
        <v>0.74</v>
      </c>
      <c r="E20" s="523" t="s">
        <v>188</v>
      </c>
      <c r="F20" s="523">
        <v>0.251</v>
      </c>
      <c r="G20" s="561" t="s">
        <v>188</v>
      </c>
      <c r="H20" s="557" t="s">
        <v>3139</v>
      </c>
      <c r="I20" s="523" t="s">
        <v>936</v>
      </c>
      <c r="J20" s="414">
        <v>50000</v>
      </c>
      <c r="M20" s="561"/>
      <c r="N20" s="557" t="s">
        <v>194</v>
      </c>
      <c r="O20" s="523">
        <v>20</v>
      </c>
      <c r="Q20" s="561"/>
      <c r="R20" s="557"/>
      <c r="T20" s="559"/>
      <c r="U20" s="559"/>
      <c r="V20" s="559"/>
      <c r="W20" s="560"/>
      <c r="X20" s="559" t="s">
        <v>3491</v>
      </c>
      <c r="Y20" s="414"/>
      <c r="Z20" s="414"/>
      <c r="AA20" s="414"/>
      <c r="AB20" s="557">
        <v>168</v>
      </c>
      <c r="AC20" s="414" t="s">
        <v>2060</v>
      </c>
      <c r="AD20" s="414" t="s">
        <v>2875</v>
      </c>
      <c r="AE20" s="523" t="s">
        <v>499</v>
      </c>
      <c r="AF20" s="414" t="s">
        <v>500</v>
      </c>
      <c r="AG20" s="557"/>
      <c r="AI20" s="438"/>
      <c r="AJ20" s="414"/>
      <c r="AK20" s="523" t="s">
        <v>1932</v>
      </c>
      <c r="AQ20" s="557"/>
      <c r="AV20" s="561"/>
      <c r="AW20" s="414" t="str">
        <f t="shared" si="0"/>
        <v>Perfluorooctane Sulfonate (PFOS), Gravity</v>
      </c>
      <c r="AX20" s="414" t="b">
        <f t="shared" si="2"/>
        <v>0</v>
      </c>
      <c r="AY20" s="523" t="b">
        <f t="array" ref="AY20">AND(D20:G20=inp_used_minimal,A20=inp_used_usersel)</f>
        <v>0</v>
      </c>
      <c r="AZ20" s="523" t="b">
        <f t="array" ref="AZ20">AND(A20=inp_used_usersel,D20:R20=inp_used_nonvessel1,AB20:AV20=inp_used_nonvessel2,IF(B20=1,inp_used_pressure=inp_autosize_pressure,inp_used_gravity=inp_autosize_gravity))</f>
        <v>0</v>
      </c>
      <c r="BA20" s="523" t="b">
        <f t="array" ref="BA20">AND(D20:AV20=inp_used,A20=inp_used_usersel)</f>
        <v>0</v>
      </c>
    </row>
    <row r="21" spans="1:55" s="523" customFormat="1">
      <c r="A21" s="523">
        <v>1</v>
      </c>
      <c r="B21" s="523">
        <v>2</v>
      </c>
      <c r="C21" s="562">
        <v>5</v>
      </c>
      <c r="D21" s="529">
        <v>2.1520000000000001</v>
      </c>
      <c r="E21" s="523" t="s">
        <v>188</v>
      </c>
      <c r="F21" s="414">
        <v>0.81899999999999995</v>
      </c>
      <c r="G21" s="561" t="s">
        <v>188</v>
      </c>
      <c r="H21" s="557" t="s">
        <v>3139</v>
      </c>
      <c r="I21" s="523" t="s">
        <v>936</v>
      </c>
      <c r="J21" s="414">
        <v>50000</v>
      </c>
      <c r="M21" s="561"/>
      <c r="N21" s="557" t="s">
        <v>194</v>
      </c>
      <c r="O21" s="523">
        <v>20</v>
      </c>
      <c r="Q21" s="561"/>
      <c r="R21" s="557"/>
      <c r="T21" s="559"/>
      <c r="U21" s="559"/>
      <c r="V21" s="559"/>
      <c r="W21" s="560"/>
      <c r="X21" s="559" t="s">
        <v>3491</v>
      </c>
      <c r="Y21" s="414"/>
      <c r="Z21" s="414"/>
      <c r="AA21" s="414"/>
      <c r="AB21" s="557">
        <v>168</v>
      </c>
      <c r="AC21" s="414" t="s">
        <v>2060</v>
      </c>
      <c r="AD21" s="414" t="s">
        <v>2875</v>
      </c>
      <c r="AE21" s="523" t="s">
        <v>499</v>
      </c>
      <c r="AF21" s="414" t="s">
        <v>500</v>
      </c>
      <c r="AG21" s="557"/>
      <c r="AJ21" s="414"/>
      <c r="AK21" s="523" t="s">
        <v>1932</v>
      </c>
      <c r="AQ21" s="557"/>
      <c r="AV21" s="561"/>
      <c r="AW21" s="414" t="str">
        <f t="shared" si="0"/>
        <v>Perfluorooctane Sulfonate (PFOS), Gravity</v>
      </c>
      <c r="AX21" s="414" t="b">
        <f t="shared" si="2"/>
        <v>0</v>
      </c>
      <c r="AY21" s="523" t="b">
        <f t="array" ref="AY21">AND(D21:G21=inp_used_minimal,A21=inp_used_usersel)</f>
        <v>0</v>
      </c>
      <c r="AZ21" s="523" t="b">
        <f t="array" ref="AZ21">AND(A21=inp_used_usersel,D21:R21=inp_used_nonvessel1,AB21:AV21=inp_used_nonvessel2,IF(B21=1,inp_used_pressure=inp_autosize_pressure,inp_used_gravity=inp_autosize_gravity))</f>
        <v>0</v>
      </c>
      <c r="BA21" s="523" t="b">
        <f t="array" ref="BA21">AND(D21:AV21=inp_used,A21=inp_used_usersel)</f>
        <v>0</v>
      </c>
    </row>
    <row r="22" spans="1:55" s="523" customFormat="1">
      <c r="A22" s="523">
        <v>1</v>
      </c>
      <c r="B22" s="523">
        <v>2</v>
      </c>
      <c r="C22" s="562">
        <v>6</v>
      </c>
      <c r="D22" s="529">
        <v>7.3650000000000002</v>
      </c>
      <c r="E22" s="523" t="s">
        <v>188</v>
      </c>
      <c r="F22" s="414">
        <v>3.2</v>
      </c>
      <c r="G22" s="561" t="s">
        <v>188</v>
      </c>
      <c r="H22" s="557" t="s">
        <v>3139</v>
      </c>
      <c r="I22" s="523" t="s">
        <v>936</v>
      </c>
      <c r="J22" s="414">
        <v>50000</v>
      </c>
      <c r="M22" s="561"/>
      <c r="N22" s="557" t="s">
        <v>194</v>
      </c>
      <c r="O22" s="523">
        <v>20</v>
      </c>
      <c r="Q22" s="561"/>
      <c r="R22" s="557"/>
      <c r="T22" s="559"/>
      <c r="U22" s="559"/>
      <c r="V22" s="559"/>
      <c r="W22" s="560"/>
      <c r="X22" s="559" t="s">
        <v>3491</v>
      </c>
      <c r="Y22" s="414"/>
      <c r="Z22" s="414"/>
      <c r="AA22" s="414"/>
      <c r="AB22" s="557">
        <v>168</v>
      </c>
      <c r="AC22" s="414" t="s">
        <v>2060</v>
      </c>
      <c r="AD22" s="414" t="s">
        <v>2875</v>
      </c>
      <c r="AE22" s="523" t="s">
        <v>2615</v>
      </c>
      <c r="AF22" s="414" t="s">
        <v>500</v>
      </c>
      <c r="AG22" s="557"/>
      <c r="AJ22" s="414"/>
      <c r="AK22" s="523" t="s">
        <v>1932</v>
      </c>
      <c r="AQ22" s="557"/>
      <c r="AV22" s="561"/>
      <c r="AW22" s="414" t="str">
        <f t="shared" si="0"/>
        <v>Perfluorooctane Sulfonate (PFOS), Gravity</v>
      </c>
      <c r="AX22" s="414" t="b">
        <f t="shared" si="2"/>
        <v>0</v>
      </c>
      <c r="AY22" s="523" t="b">
        <f t="array" ref="AY22">AND(D22:G22=inp_used_minimal,A22=inp_used_usersel)</f>
        <v>0</v>
      </c>
      <c r="AZ22" s="523" t="b">
        <f t="array" ref="AZ22">AND(A22=inp_used_usersel,D22:R22=inp_used_nonvessel1,AB22:AV22=inp_used_nonvessel2,IF(B22=1,inp_used_pressure=inp_autosize_pressure,inp_used_gravity=inp_autosize_gravity))</f>
        <v>0</v>
      </c>
      <c r="BA22" s="523" t="b">
        <f t="array" ref="BA22">AND(D22:AV22=inp_used,A22=inp_used_usersel)</f>
        <v>0</v>
      </c>
    </row>
    <row r="23" spans="1:55" s="523" customFormat="1">
      <c r="A23" s="523">
        <v>1</v>
      </c>
      <c r="B23" s="523">
        <v>2</v>
      </c>
      <c r="C23" s="562">
        <v>7</v>
      </c>
      <c r="D23" s="529">
        <v>22.614000000000001</v>
      </c>
      <c r="E23" s="523" t="s">
        <v>188</v>
      </c>
      <c r="F23" s="414">
        <v>11.066000000000001</v>
      </c>
      <c r="G23" s="561" t="s">
        <v>188</v>
      </c>
      <c r="H23" s="557" t="s">
        <v>3139</v>
      </c>
      <c r="I23" s="523" t="s">
        <v>936</v>
      </c>
      <c r="J23" s="414">
        <v>50000</v>
      </c>
      <c r="M23" s="561"/>
      <c r="N23" s="557" t="s">
        <v>194</v>
      </c>
      <c r="O23" s="523">
        <v>20</v>
      </c>
      <c r="Q23" s="561"/>
      <c r="R23" s="557"/>
      <c r="T23" s="559"/>
      <c r="U23" s="559"/>
      <c r="V23" s="559"/>
      <c r="W23" s="560"/>
      <c r="X23" s="559" t="s">
        <v>3491</v>
      </c>
      <c r="Y23" s="414"/>
      <c r="Z23" s="414"/>
      <c r="AA23" s="414"/>
      <c r="AB23" s="557">
        <v>168</v>
      </c>
      <c r="AC23" s="414" t="s">
        <v>2060</v>
      </c>
      <c r="AD23" s="414" t="s">
        <v>2875</v>
      </c>
      <c r="AE23" s="523" t="s">
        <v>2615</v>
      </c>
      <c r="AF23" s="414" t="s">
        <v>500</v>
      </c>
      <c r="AG23" s="557"/>
      <c r="AJ23" s="414"/>
      <c r="AK23" s="523" t="s">
        <v>1932</v>
      </c>
      <c r="AQ23" s="557"/>
      <c r="AV23" s="561"/>
      <c r="AW23" s="414" t="str">
        <f t="shared" si="0"/>
        <v>Perfluorooctane Sulfonate (PFOS), Gravity</v>
      </c>
      <c r="AX23" s="414" t="b">
        <f t="shared" si="2"/>
        <v>0</v>
      </c>
      <c r="AY23" s="523" t="b">
        <f t="array" ref="AY23">AND(D23:G23=inp_used_minimal,A23=inp_used_usersel)</f>
        <v>0</v>
      </c>
      <c r="AZ23" s="523" t="b">
        <f t="array" ref="AZ23">AND(A23=inp_used_usersel,D23:R23=inp_used_nonvessel1,AB23:AV23=inp_used_nonvessel2,IF(B23=1,inp_used_pressure=inp_autosize_pressure,inp_used_gravity=inp_autosize_gravity))</f>
        <v>0</v>
      </c>
      <c r="BA23" s="523" t="b">
        <f t="array" ref="BA23">AND(D23:AV23=inp_used,A23=inp_used_usersel)</f>
        <v>0</v>
      </c>
    </row>
    <row r="24" spans="1:55" s="563" customFormat="1">
      <c r="A24" s="563">
        <v>1</v>
      </c>
      <c r="B24" s="563">
        <v>2</v>
      </c>
      <c r="C24" s="554">
        <v>8</v>
      </c>
      <c r="D24" s="918">
        <v>75.072000000000003</v>
      </c>
      <c r="E24" s="563" t="s">
        <v>188</v>
      </c>
      <c r="F24" s="564">
        <v>37.536000000000001</v>
      </c>
      <c r="G24" s="565" t="s">
        <v>188</v>
      </c>
      <c r="H24" s="919" t="s">
        <v>3139</v>
      </c>
      <c r="I24" s="563" t="s">
        <v>936</v>
      </c>
      <c r="J24" s="564">
        <v>50000</v>
      </c>
      <c r="M24" s="565"/>
      <c r="N24" s="919" t="s">
        <v>194</v>
      </c>
      <c r="O24" s="563">
        <v>20</v>
      </c>
      <c r="Q24" s="565"/>
      <c r="R24" s="919"/>
      <c r="T24" s="566"/>
      <c r="U24" s="566"/>
      <c r="V24" s="566"/>
      <c r="W24" s="567"/>
      <c r="X24" s="566" t="s">
        <v>3491</v>
      </c>
      <c r="Y24" s="564"/>
      <c r="Z24" s="564"/>
      <c r="AA24" s="554"/>
      <c r="AB24" s="919">
        <v>168</v>
      </c>
      <c r="AC24" s="564" t="s">
        <v>2060</v>
      </c>
      <c r="AD24" s="564" t="s">
        <v>2875</v>
      </c>
      <c r="AE24" s="563" t="s">
        <v>2615</v>
      </c>
      <c r="AF24" s="564" t="s">
        <v>500</v>
      </c>
      <c r="AG24" s="919"/>
      <c r="AJ24" s="564"/>
      <c r="AK24" s="563" t="s">
        <v>1932</v>
      </c>
      <c r="AP24" s="565"/>
      <c r="AQ24" s="919"/>
      <c r="AV24" s="565"/>
      <c r="AW24" s="564" t="str">
        <f t="shared" si="0"/>
        <v>Perfluorooctane Sulfonate (PFOS), Gravity</v>
      </c>
      <c r="AX24" s="564" t="b">
        <f t="shared" si="2"/>
        <v>0</v>
      </c>
      <c r="AY24" s="563" t="b">
        <f t="array" ref="AY24">AND(D24:G24=inp_used_minimal,A24=inp_used_usersel)</f>
        <v>0</v>
      </c>
      <c r="AZ24" s="563" t="b">
        <f t="array" ref="AZ24">AND(A24=inp_used_usersel,D24:R24=inp_used_nonvessel1,AB24:AV24=inp_used_nonvessel2,IF(B24=1,inp_used_pressure=inp_autosize_pressure,inp_used_gravity=inp_autosize_gravity))</f>
        <v>0</v>
      </c>
      <c r="BA24" s="563" t="b">
        <f t="array" ref="BA24">AND(D24:AV24=inp_used,A24=inp_used_usersel)</f>
        <v>0</v>
      </c>
    </row>
    <row r="25" spans="1:55">
      <c r="A25" s="523">
        <v>2</v>
      </c>
      <c r="B25" s="523">
        <v>1</v>
      </c>
      <c r="C25" s="523">
        <v>1</v>
      </c>
      <c r="D25" s="917">
        <v>0.03</v>
      </c>
      <c r="E25" s="523" t="s">
        <v>188</v>
      </c>
      <c r="F25" s="414">
        <v>7.0000000000000001E-3</v>
      </c>
      <c r="G25" s="523" t="s">
        <v>188</v>
      </c>
      <c r="H25" s="917" t="s">
        <v>3139</v>
      </c>
      <c r="I25" s="523" t="s">
        <v>936</v>
      </c>
      <c r="J25" s="414">
        <v>50000</v>
      </c>
      <c r="K25" s="523"/>
      <c r="L25" s="523"/>
      <c r="M25" s="561"/>
      <c r="N25" s="917" t="s">
        <v>194</v>
      </c>
      <c r="O25" s="523">
        <v>20</v>
      </c>
      <c r="P25" s="523"/>
      <c r="Q25" s="561"/>
      <c r="R25" s="917">
        <v>2</v>
      </c>
      <c r="S25" s="523" t="s">
        <v>3491</v>
      </c>
      <c r="T25" s="559"/>
      <c r="U25" s="523"/>
      <c r="V25" s="559"/>
      <c r="W25" s="560"/>
      <c r="X25" s="559"/>
      <c r="Y25" s="559"/>
      <c r="Z25" s="559"/>
      <c r="AA25" s="559"/>
      <c r="AB25" s="917">
        <v>168</v>
      </c>
      <c r="AC25" s="414" t="s">
        <v>2060</v>
      </c>
      <c r="AD25" s="438" t="s">
        <v>497</v>
      </c>
      <c r="AE25" s="523" t="s">
        <v>499</v>
      </c>
      <c r="AF25" s="561"/>
      <c r="AG25" s="917"/>
      <c r="AH25" s="523">
        <v>0</v>
      </c>
      <c r="AI25" s="438"/>
      <c r="AK25" s="523" t="s">
        <v>1932</v>
      </c>
      <c r="AL25" s="523"/>
      <c r="AM25" s="523"/>
      <c r="AN25" s="523"/>
      <c r="AO25" s="523"/>
      <c r="AP25" s="523"/>
      <c r="AQ25" s="917"/>
      <c r="AR25" s="523"/>
      <c r="AS25" s="523"/>
      <c r="AT25" s="523"/>
      <c r="AU25" s="523"/>
      <c r="AV25" s="561"/>
      <c r="AW25" s="414" t="str">
        <f t="shared" si="0"/>
        <v>Perfluorooctanoic Acid (PFOA), Pressure</v>
      </c>
      <c r="AX25" s="414" t="b">
        <f t="shared" si="2"/>
        <v>0</v>
      </c>
      <c r="AY25" s="523" t="b">
        <f t="array" ref="AY25">AND(D25:G25=inp_used_minimal,A25=inp_used_usersel)</f>
        <v>0</v>
      </c>
      <c r="AZ25" s="523" t="b">
        <f t="array" ref="AZ25">AND(A25=inp_used_usersel,D25:R25=inp_used_nonvessel1,AB25:AV25=inp_used_nonvessel2,IF(B25=1,inp_used_pressure=inp_autosize_pressure,inp_used_gravity=inp_autosize_gravity))</f>
        <v>0</v>
      </c>
      <c r="BA25" s="523" t="b">
        <f t="array" ref="BA25">AND(D25:AV25=inp_used,A25=inp_used_usersel)</f>
        <v>0</v>
      </c>
      <c r="BB25" s="523" t="b">
        <f t="shared" ref="BB25:BC32" si="3">CHOOSE(design_type,AX25,AX33)</f>
        <v>0</v>
      </c>
      <c r="BC25" s="523" t="b">
        <f t="shared" si="3"/>
        <v>0</v>
      </c>
    </row>
    <row r="26" spans="1:55">
      <c r="A26" s="523">
        <v>2</v>
      </c>
      <c r="B26" s="523">
        <v>1</v>
      </c>
      <c r="C26" s="523">
        <v>2</v>
      </c>
      <c r="D26" s="557">
        <v>0.124</v>
      </c>
      <c r="E26" s="523" t="s">
        <v>188</v>
      </c>
      <c r="F26" s="414">
        <v>3.5000000000000003E-2</v>
      </c>
      <c r="G26" s="523" t="s">
        <v>188</v>
      </c>
      <c r="H26" s="557" t="s">
        <v>3139</v>
      </c>
      <c r="I26" s="523" t="s">
        <v>936</v>
      </c>
      <c r="J26" s="414">
        <v>50000</v>
      </c>
      <c r="K26" s="523"/>
      <c r="L26" s="523"/>
      <c r="M26" s="561"/>
      <c r="N26" s="557" t="s">
        <v>194</v>
      </c>
      <c r="O26" s="523">
        <v>20</v>
      </c>
      <c r="P26" s="523"/>
      <c r="Q26" s="561"/>
      <c r="R26" s="557">
        <v>2</v>
      </c>
      <c r="S26" s="523" t="s">
        <v>3491</v>
      </c>
      <c r="T26" s="559"/>
      <c r="U26" s="523"/>
      <c r="V26" s="559"/>
      <c r="W26" s="560"/>
      <c r="X26" s="559"/>
      <c r="Y26" s="559"/>
      <c r="Z26" s="559"/>
      <c r="AA26" s="559"/>
      <c r="AB26" s="557">
        <v>168</v>
      </c>
      <c r="AC26" s="414" t="s">
        <v>2060</v>
      </c>
      <c r="AD26" s="438" t="s">
        <v>498</v>
      </c>
      <c r="AE26" s="523" t="s">
        <v>499</v>
      </c>
      <c r="AF26" s="562" t="s">
        <v>500</v>
      </c>
      <c r="AG26" s="557"/>
      <c r="AH26" s="523">
        <v>0</v>
      </c>
      <c r="AI26" s="438"/>
      <c r="AK26" s="523" t="s">
        <v>1932</v>
      </c>
      <c r="AL26" s="523"/>
      <c r="AM26" s="523"/>
      <c r="AN26" s="523"/>
      <c r="AO26" s="523"/>
      <c r="AP26" s="523"/>
      <c r="AQ26" s="557"/>
      <c r="AR26" s="523"/>
      <c r="AS26" s="523"/>
      <c r="AT26" s="523"/>
      <c r="AU26" s="523"/>
      <c r="AV26" s="561"/>
      <c r="AW26" s="414" t="str">
        <f t="shared" si="0"/>
        <v>Perfluorooctanoic Acid (PFOA), Pressure</v>
      </c>
      <c r="AX26" s="414" t="b">
        <f t="shared" si="2"/>
        <v>0</v>
      </c>
      <c r="AY26" s="523" t="b">
        <f t="array" ref="AY26">AND(D26:G26=inp_used_minimal,A26=inp_used_usersel)</f>
        <v>0</v>
      </c>
      <c r="AZ26" s="523" t="b">
        <f t="array" ref="AZ26">AND(A26=inp_used_usersel,D26:R26=inp_used_nonvessel1,AB26:AV26=inp_used_nonvessel2,IF(B26=1,inp_used_pressure=inp_autosize_pressure,inp_used_gravity=inp_autosize_gravity))</f>
        <v>0</v>
      </c>
      <c r="BA26" s="523" t="b">
        <f t="array" ref="BA26">AND(D26:AV26=inp_used,A26=inp_used_usersel)</f>
        <v>0</v>
      </c>
      <c r="BB26" s="523" t="b">
        <f t="shared" si="3"/>
        <v>0</v>
      </c>
      <c r="BC26" s="523" t="b">
        <f t="shared" si="3"/>
        <v>0</v>
      </c>
    </row>
    <row r="27" spans="1:55">
      <c r="A27" s="523">
        <v>2</v>
      </c>
      <c r="B27" s="523">
        <v>1</v>
      </c>
      <c r="C27" s="523">
        <v>3</v>
      </c>
      <c r="D27" s="557">
        <v>0.30499999999999999</v>
      </c>
      <c r="E27" s="523" t="s">
        <v>188</v>
      </c>
      <c r="F27" s="414">
        <v>9.4E-2</v>
      </c>
      <c r="G27" s="523" t="s">
        <v>188</v>
      </c>
      <c r="H27" s="557" t="s">
        <v>3139</v>
      </c>
      <c r="I27" s="523" t="s">
        <v>936</v>
      </c>
      <c r="J27" s="414">
        <v>50000</v>
      </c>
      <c r="K27" s="523"/>
      <c r="L27" s="523"/>
      <c r="M27" s="561"/>
      <c r="N27" s="557" t="s">
        <v>194</v>
      </c>
      <c r="O27" s="523">
        <v>20</v>
      </c>
      <c r="P27" s="523"/>
      <c r="Q27" s="561"/>
      <c r="R27" s="557">
        <v>2</v>
      </c>
      <c r="S27" s="523" t="s">
        <v>3491</v>
      </c>
      <c r="T27" s="559"/>
      <c r="U27" s="523"/>
      <c r="V27" s="559"/>
      <c r="W27" s="560"/>
      <c r="X27" s="559"/>
      <c r="Y27" s="559"/>
      <c r="Z27" s="559"/>
      <c r="AA27" s="559"/>
      <c r="AB27" s="557">
        <v>168</v>
      </c>
      <c r="AC27" s="414" t="s">
        <v>2060</v>
      </c>
      <c r="AD27" s="438" t="s">
        <v>498</v>
      </c>
      <c r="AE27" s="523" t="s">
        <v>499</v>
      </c>
      <c r="AF27" s="562" t="s">
        <v>500</v>
      </c>
      <c r="AG27" s="557"/>
      <c r="AH27" s="523">
        <v>0</v>
      </c>
      <c r="AI27" s="438"/>
      <c r="AK27" s="523" t="s">
        <v>1932</v>
      </c>
      <c r="AL27" s="523"/>
      <c r="AM27" s="523"/>
      <c r="AN27" s="523"/>
      <c r="AO27" s="523"/>
      <c r="AP27" s="523"/>
      <c r="AQ27" s="557"/>
      <c r="AR27" s="523"/>
      <c r="AS27" s="523"/>
      <c r="AT27" s="523"/>
      <c r="AU27" s="523"/>
      <c r="AV27" s="561"/>
      <c r="AW27" s="414" t="str">
        <f t="shared" si="0"/>
        <v>Perfluorooctanoic Acid (PFOA), Pressure</v>
      </c>
      <c r="AX27" s="414" t="b">
        <f t="shared" si="2"/>
        <v>0</v>
      </c>
      <c r="AY27" s="523" t="b">
        <f t="array" ref="AY27">AND(D27:G27=inp_used_minimal,A27=inp_used_usersel)</f>
        <v>0</v>
      </c>
      <c r="AZ27" s="523" t="b">
        <f t="array" ref="AZ27">AND(A27=inp_used_usersel,D27:R27=inp_used_nonvessel1,AB27:AV27=inp_used_nonvessel2,IF(B27=1,inp_used_pressure=inp_autosize_pressure,inp_used_gravity=inp_autosize_gravity))</f>
        <v>0</v>
      </c>
      <c r="BA27" s="523" t="b">
        <f t="array" ref="BA27">AND(D27:AV27=inp_used,A27=inp_used_usersel)</f>
        <v>0</v>
      </c>
      <c r="BB27" s="523" t="b">
        <f t="shared" si="3"/>
        <v>0</v>
      </c>
      <c r="BC27" s="523" t="b">
        <f t="shared" si="3"/>
        <v>0</v>
      </c>
    </row>
    <row r="28" spans="1:55">
      <c r="A28" s="523">
        <v>2</v>
      </c>
      <c r="B28" s="523">
        <v>1</v>
      </c>
      <c r="C28" s="523">
        <v>4</v>
      </c>
      <c r="D28" s="557">
        <v>0.74</v>
      </c>
      <c r="E28" s="523" t="s">
        <v>188</v>
      </c>
      <c r="F28" s="414">
        <v>0.251</v>
      </c>
      <c r="G28" s="523" t="s">
        <v>188</v>
      </c>
      <c r="H28" s="557" t="s">
        <v>3139</v>
      </c>
      <c r="I28" s="523" t="s">
        <v>936</v>
      </c>
      <c r="J28" s="414">
        <v>50000</v>
      </c>
      <c r="K28" s="523"/>
      <c r="L28" s="523"/>
      <c r="M28" s="561"/>
      <c r="N28" s="557" t="s">
        <v>194</v>
      </c>
      <c r="O28" s="523">
        <v>20</v>
      </c>
      <c r="P28" s="523"/>
      <c r="Q28" s="561"/>
      <c r="R28" s="557">
        <v>2</v>
      </c>
      <c r="S28" s="523" t="s">
        <v>3491</v>
      </c>
      <c r="T28" s="559"/>
      <c r="U28" s="523"/>
      <c r="V28" s="559"/>
      <c r="W28" s="560"/>
      <c r="X28" s="559"/>
      <c r="Y28" s="559"/>
      <c r="Z28" s="559"/>
      <c r="AA28" s="559"/>
      <c r="AB28" s="557">
        <v>168</v>
      </c>
      <c r="AC28" s="414" t="s">
        <v>2060</v>
      </c>
      <c r="AD28" s="438" t="s">
        <v>498</v>
      </c>
      <c r="AE28" s="523" t="s">
        <v>499</v>
      </c>
      <c r="AF28" s="562" t="s">
        <v>500</v>
      </c>
      <c r="AG28" s="557"/>
      <c r="AH28" s="523">
        <v>0</v>
      </c>
      <c r="AI28" s="438"/>
      <c r="AK28" s="523" t="s">
        <v>1932</v>
      </c>
      <c r="AL28" s="523"/>
      <c r="AM28" s="523"/>
      <c r="AN28" s="523"/>
      <c r="AO28" s="523"/>
      <c r="AP28" s="523"/>
      <c r="AQ28" s="557"/>
      <c r="AR28" s="523"/>
      <c r="AS28" s="523"/>
      <c r="AT28" s="523"/>
      <c r="AU28" s="523"/>
      <c r="AV28" s="561"/>
      <c r="AW28" s="414" t="str">
        <f t="shared" si="0"/>
        <v>Perfluorooctanoic Acid (PFOA), Pressure</v>
      </c>
      <c r="AX28" s="414" t="b">
        <f t="shared" si="2"/>
        <v>0</v>
      </c>
      <c r="AY28" s="523" t="b">
        <f t="array" ref="AY28">AND(D28:G28=inp_used_minimal,A28=inp_used_usersel)</f>
        <v>0</v>
      </c>
      <c r="AZ28" s="523" t="b">
        <f t="array" ref="AZ28">AND(A28=inp_used_usersel,D28:R28=inp_used_nonvessel1,AB28:AV28=inp_used_nonvessel2,IF(B28=1,inp_used_pressure=inp_autosize_pressure,inp_used_gravity=inp_autosize_gravity))</f>
        <v>0</v>
      </c>
      <c r="BA28" s="523" t="b">
        <f t="array" ref="BA28">AND(D28:AV28=inp_used,A28=inp_used_usersel)</f>
        <v>0</v>
      </c>
      <c r="BB28" s="523" t="b">
        <f t="shared" si="3"/>
        <v>0</v>
      </c>
      <c r="BC28" s="523" t="b">
        <f t="shared" si="3"/>
        <v>0</v>
      </c>
    </row>
    <row r="29" spans="1:55" s="523" customFormat="1">
      <c r="A29" s="523">
        <v>2</v>
      </c>
      <c r="B29" s="523">
        <v>1</v>
      </c>
      <c r="C29" s="414">
        <v>5</v>
      </c>
      <c r="D29" s="529">
        <v>2.1520000000000001</v>
      </c>
      <c r="E29" s="523" t="s">
        <v>188</v>
      </c>
      <c r="F29" s="414">
        <v>0.81899999999999995</v>
      </c>
      <c r="G29" s="523" t="s">
        <v>188</v>
      </c>
      <c r="H29" s="557" t="s">
        <v>3139</v>
      </c>
      <c r="I29" s="523" t="s">
        <v>936</v>
      </c>
      <c r="J29" s="414">
        <v>50000</v>
      </c>
      <c r="M29" s="561"/>
      <c r="N29" s="557" t="s">
        <v>194</v>
      </c>
      <c r="O29" s="523">
        <v>20</v>
      </c>
      <c r="Q29" s="561"/>
      <c r="R29" s="557">
        <v>2</v>
      </c>
      <c r="S29" s="523" t="s">
        <v>3491</v>
      </c>
      <c r="T29" s="559"/>
      <c r="V29" s="559"/>
      <c r="W29" s="560"/>
      <c r="X29" s="559"/>
      <c r="Y29" s="559"/>
      <c r="Z29" s="559"/>
      <c r="AA29" s="559"/>
      <c r="AB29" s="557">
        <v>168</v>
      </c>
      <c r="AC29" s="414" t="s">
        <v>2060</v>
      </c>
      <c r="AD29" s="438" t="s">
        <v>498</v>
      </c>
      <c r="AE29" s="523" t="s">
        <v>499</v>
      </c>
      <c r="AF29" s="562" t="s">
        <v>500</v>
      </c>
      <c r="AG29" s="557"/>
      <c r="AH29" s="523">
        <v>0</v>
      </c>
      <c r="AJ29" s="414"/>
      <c r="AK29" s="523" t="s">
        <v>1932</v>
      </c>
      <c r="AQ29" s="557"/>
      <c r="AV29" s="561"/>
      <c r="AW29" s="414" t="str">
        <f t="shared" si="0"/>
        <v>Perfluorooctanoic Acid (PFOA), Pressure</v>
      </c>
      <c r="AX29" s="414" t="b">
        <f t="shared" si="2"/>
        <v>0</v>
      </c>
      <c r="AY29" s="523" t="b">
        <f t="array" ref="AY29">AND(D29:G29=inp_used_minimal,A29=inp_used_usersel)</f>
        <v>0</v>
      </c>
      <c r="AZ29" s="523" t="b">
        <f t="array" ref="AZ29">AND(A29=inp_used_usersel,D29:R29=inp_used_nonvessel1,AB29:AV29=inp_used_nonvessel2,IF(B29=1,inp_used_pressure=inp_autosize_pressure,inp_used_gravity=inp_autosize_gravity))</f>
        <v>0</v>
      </c>
      <c r="BA29" s="523" t="b">
        <f t="array" ref="BA29">AND(D29:AV29=inp_used,A29=inp_used_usersel)</f>
        <v>0</v>
      </c>
      <c r="BB29" s="523" t="b">
        <f t="shared" si="3"/>
        <v>0</v>
      </c>
      <c r="BC29" s="523" t="b">
        <f t="shared" si="3"/>
        <v>0</v>
      </c>
    </row>
    <row r="30" spans="1:55" s="523" customFormat="1">
      <c r="A30" s="523">
        <v>2</v>
      </c>
      <c r="B30" s="523">
        <v>1</v>
      </c>
      <c r="C30" s="414">
        <v>6</v>
      </c>
      <c r="D30" s="529">
        <v>7.3650000000000002</v>
      </c>
      <c r="E30" s="523" t="s">
        <v>188</v>
      </c>
      <c r="F30" s="414">
        <v>3.2</v>
      </c>
      <c r="G30" s="523" t="s">
        <v>188</v>
      </c>
      <c r="H30" s="557" t="s">
        <v>3139</v>
      </c>
      <c r="I30" s="523" t="s">
        <v>936</v>
      </c>
      <c r="J30" s="414">
        <v>50000</v>
      </c>
      <c r="M30" s="561"/>
      <c r="N30" s="557" t="s">
        <v>194</v>
      </c>
      <c r="O30" s="523">
        <v>20</v>
      </c>
      <c r="Q30" s="561"/>
      <c r="R30" s="557">
        <v>2</v>
      </c>
      <c r="S30" s="523" t="s">
        <v>3491</v>
      </c>
      <c r="T30" s="559"/>
      <c r="V30" s="559"/>
      <c r="W30" s="560"/>
      <c r="X30" s="559"/>
      <c r="Y30" s="559"/>
      <c r="Z30" s="559"/>
      <c r="AA30" s="559"/>
      <c r="AB30" s="557">
        <v>168</v>
      </c>
      <c r="AC30" s="414" t="s">
        <v>2060</v>
      </c>
      <c r="AD30" s="438" t="s">
        <v>498</v>
      </c>
      <c r="AE30" s="523" t="s">
        <v>2615</v>
      </c>
      <c r="AF30" s="562" t="s">
        <v>500</v>
      </c>
      <c r="AG30" s="557"/>
      <c r="AH30" s="523">
        <v>0</v>
      </c>
      <c r="AJ30" s="414"/>
      <c r="AK30" s="523" t="s">
        <v>1932</v>
      </c>
      <c r="AQ30" s="557"/>
      <c r="AV30" s="561"/>
      <c r="AW30" s="414" t="str">
        <f t="shared" si="0"/>
        <v>Perfluorooctanoic Acid (PFOA), Pressure</v>
      </c>
      <c r="AX30" s="414" t="b">
        <f t="shared" si="2"/>
        <v>0</v>
      </c>
      <c r="AY30" s="523" t="b">
        <f t="array" ref="AY30">AND(D30:G30=inp_used_minimal,A30=inp_used_usersel)</f>
        <v>0</v>
      </c>
      <c r="AZ30" s="523" t="b">
        <f t="array" ref="AZ30">AND(A30=inp_used_usersel,D30:R30=inp_used_nonvessel1,AB30:AV30=inp_used_nonvessel2,IF(B30=1,inp_used_pressure=inp_autosize_pressure,inp_used_gravity=inp_autosize_gravity))</f>
        <v>0</v>
      </c>
      <c r="BA30" s="523" t="b">
        <f t="array" ref="BA30">AND(D30:AV30=inp_used,A30=inp_used_usersel)</f>
        <v>0</v>
      </c>
      <c r="BB30" s="523" t="b">
        <f t="shared" si="3"/>
        <v>0</v>
      </c>
      <c r="BC30" s="523" t="b">
        <f t="shared" si="3"/>
        <v>0</v>
      </c>
    </row>
    <row r="31" spans="1:55" s="523" customFormat="1">
      <c r="A31" s="523">
        <v>2</v>
      </c>
      <c r="B31" s="523">
        <v>1</v>
      </c>
      <c r="C31" s="414">
        <v>7</v>
      </c>
      <c r="D31" s="529">
        <v>22.614000000000001</v>
      </c>
      <c r="E31" s="523" t="s">
        <v>188</v>
      </c>
      <c r="F31" s="414">
        <v>11.066000000000001</v>
      </c>
      <c r="G31" s="523" t="s">
        <v>188</v>
      </c>
      <c r="H31" s="557" t="s">
        <v>3139</v>
      </c>
      <c r="I31" s="523" t="s">
        <v>936</v>
      </c>
      <c r="J31" s="414">
        <v>50000</v>
      </c>
      <c r="M31" s="561"/>
      <c r="N31" s="557" t="s">
        <v>194</v>
      </c>
      <c r="O31" s="523">
        <v>20</v>
      </c>
      <c r="Q31" s="561"/>
      <c r="R31" s="557">
        <v>2</v>
      </c>
      <c r="S31" s="523" t="s">
        <v>3491</v>
      </c>
      <c r="T31" s="559"/>
      <c r="V31" s="559"/>
      <c r="W31" s="560"/>
      <c r="X31" s="559"/>
      <c r="Y31" s="559"/>
      <c r="Z31" s="559"/>
      <c r="AA31" s="559"/>
      <c r="AB31" s="557">
        <v>168</v>
      </c>
      <c r="AC31" s="414" t="s">
        <v>2060</v>
      </c>
      <c r="AD31" s="438" t="s">
        <v>498</v>
      </c>
      <c r="AE31" s="523" t="s">
        <v>2615</v>
      </c>
      <c r="AF31" s="562" t="s">
        <v>500</v>
      </c>
      <c r="AG31" s="557"/>
      <c r="AH31" s="523">
        <v>0</v>
      </c>
      <c r="AJ31" s="414"/>
      <c r="AK31" s="523" t="s">
        <v>1932</v>
      </c>
      <c r="AQ31" s="557"/>
      <c r="AV31" s="561"/>
      <c r="AW31" s="414" t="str">
        <f t="shared" si="0"/>
        <v>Perfluorooctanoic Acid (PFOA), Pressure</v>
      </c>
      <c r="AX31" s="414" t="b">
        <f t="shared" si="2"/>
        <v>0</v>
      </c>
      <c r="AY31" s="523" t="b">
        <f t="array" ref="AY31">AND(D31:G31=inp_used_minimal,A31=inp_used_usersel)</f>
        <v>0</v>
      </c>
      <c r="AZ31" s="523" t="b">
        <f t="array" ref="AZ31">AND(A31=inp_used_usersel,D31:R31=inp_used_nonvessel1,AB31:AV31=inp_used_nonvessel2,IF(B31=1,inp_used_pressure=inp_autosize_pressure,inp_used_gravity=inp_autosize_gravity))</f>
        <v>0</v>
      </c>
      <c r="BA31" s="523" t="b">
        <f t="array" ref="BA31">AND(D31:AV31=inp_used,A31=inp_used_usersel)</f>
        <v>0</v>
      </c>
      <c r="BB31" s="523" t="b">
        <f t="shared" si="3"/>
        <v>0</v>
      </c>
      <c r="BC31" s="523" t="b">
        <f t="shared" si="3"/>
        <v>0</v>
      </c>
    </row>
    <row r="32" spans="1:55" s="563" customFormat="1">
      <c r="A32" s="563">
        <v>2</v>
      </c>
      <c r="B32" s="563">
        <v>1</v>
      </c>
      <c r="C32" s="564">
        <v>8</v>
      </c>
      <c r="D32" s="918">
        <v>75.072000000000003</v>
      </c>
      <c r="E32" s="563" t="s">
        <v>188</v>
      </c>
      <c r="F32" s="564">
        <v>37.536000000000001</v>
      </c>
      <c r="G32" s="563" t="s">
        <v>188</v>
      </c>
      <c r="H32" s="919" t="s">
        <v>3139</v>
      </c>
      <c r="I32" s="563" t="s">
        <v>936</v>
      </c>
      <c r="J32" s="564">
        <v>50000</v>
      </c>
      <c r="M32" s="565"/>
      <c r="N32" s="919" t="s">
        <v>194</v>
      </c>
      <c r="O32" s="563">
        <v>20</v>
      </c>
      <c r="Q32" s="565"/>
      <c r="R32" s="919">
        <v>2</v>
      </c>
      <c r="S32" s="563" t="s">
        <v>3491</v>
      </c>
      <c r="T32" s="566"/>
      <c r="V32" s="566"/>
      <c r="W32" s="567"/>
      <c r="X32" s="566"/>
      <c r="Y32" s="566"/>
      <c r="Z32" s="566"/>
      <c r="AA32" s="567"/>
      <c r="AB32" s="919">
        <v>168</v>
      </c>
      <c r="AC32" s="564" t="s">
        <v>2060</v>
      </c>
      <c r="AD32" s="568" t="s">
        <v>498</v>
      </c>
      <c r="AE32" s="563" t="s">
        <v>2615</v>
      </c>
      <c r="AF32" s="554" t="s">
        <v>500</v>
      </c>
      <c r="AG32" s="919"/>
      <c r="AH32" s="563">
        <v>0</v>
      </c>
      <c r="AJ32" s="564"/>
      <c r="AK32" s="563" t="s">
        <v>1932</v>
      </c>
      <c r="AP32" s="565"/>
      <c r="AQ32" s="919"/>
      <c r="AV32" s="565"/>
      <c r="AW32" s="564" t="str">
        <f t="shared" si="0"/>
        <v>Perfluorooctanoic Acid (PFOA), Pressure</v>
      </c>
      <c r="AX32" s="564" t="b">
        <f t="shared" si="2"/>
        <v>0</v>
      </c>
      <c r="AY32" s="563" t="b">
        <f t="array" ref="AY32">AND(D32:G32=inp_used_minimal,A32=inp_used_usersel)</f>
        <v>0</v>
      </c>
      <c r="AZ32" s="563" t="b">
        <f t="array" ref="AZ32">AND(A32=inp_used_usersel,D32:R32=inp_used_nonvessel1,AB32:AV32=inp_used_nonvessel2,IF(B32=1,inp_used_pressure=inp_autosize_pressure,inp_used_gravity=inp_autosize_gravity))</f>
        <v>0</v>
      </c>
      <c r="BA32" s="563" t="b">
        <f t="array" ref="BA32">AND(D32:AV32=inp_used,A32=inp_used_usersel)</f>
        <v>0</v>
      </c>
      <c r="BB32" s="563" t="b">
        <f t="shared" si="3"/>
        <v>0</v>
      </c>
      <c r="BC32" s="563" t="b">
        <f t="shared" si="3"/>
        <v>0</v>
      </c>
    </row>
    <row r="33" spans="1:55" s="523" customFormat="1">
      <c r="A33" s="523">
        <v>2</v>
      </c>
      <c r="B33" s="523">
        <v>2</v>
      </c>
      <c r="C33" s="523">
        <v>1</v>
      </c>
      <c r="D33" s="917">
        <v>0.03</v>
      </c>
      <c r="E33" s="523" t="s">
        <v>188</v>
      </c>
      <c r="F33" s="414">
        <v>7.0000000000000001E-3</v>
      </c>
      <c r="G33" s="523" t="s">
        <v>188</v>
      </c>
      <c r="H33" s="917" t="s">
        <v>3139</v>
      </c>
      <c r="I33" s="523" t="s">
        <v>936</v>
      </c>
      <c r="J33" s="414">
        <v>50000</v>
      </c>
      <c r="M33" s="561"/>
      <c r="N33" s="917" t="s">
        <v>194</v>
      </c>
      <c r="O33" s="523">
        <v>20</v>
      </c>
      <c r="Q33" s="561"/>
      <c r="R33" s="917"/>
      <c r="T33" s="559"/>
      <c r="U33" s="559"/>
      <c r="V33" s="559"/>
      <c r="W33" s="560"/>
      <c r="X33" s="559" t="s">
        <v>3491</v>
      </c>
      <c r="Y33" s="414"/>
      <c r="Z33" s="414"/>
      <c r="AA33" s="414"/>
      <c r="AB33" s="917">
        <v>168</v>
      </c>
      <c r="AC33" s="414" t="s">
        <v>2060</v>
      </c>
      <c r="AD33" s="414" t="s">
        <v>2875</v>
      </c>
      <c r="AE33" s="523" t="s">
        <v>499</v>
      </c>
      <c r="AF33" s="414" t="s">
        <v>500</v>
      </c>
      <c r="AG33" s="917"/>
      <c r="AI33" s="438"/>
      <c r="AJ33" s="414"/>
      <c r="AK33" s="523" t="s">
        <v>1932</v>
      </c>
      <c r="AQ33" s="917"/>
      <c r="AV33" s="561"/>
      <c r="AW33" s="414" t="str">
        <f t="shared" si="0"/>
        <v>Perfluorooctanoic Acid (PFOA), Gravity</v>
      </c>
      <c r="AX33" s="414" t="b">
        <f t="shared" si="2"/>
        <v>0</v>
      </c>
      <c r="AY33" s="523" t="b">
        <f t="array" ref="AY33">AND(D33:G33=inp_used_minimal,A33=inp_used_usersel)</f>
        <v>0</v>
      </c>
      <c r="AZ33" s="523" t="b">
        <f t="array" ref="AZ33">AND(A33=inp_used_usersel,D33:R33=inp_used_nonvessel1,AB33:AV33=inp_used_nonvessel2,IF(B33=1,inp_used_pressure=inp_autosize_pressure,inp_used_gravity=inp_autosize_gravity))</f>
        <v>0</v>
      </c>
      <c r="BA33" s="523" t="b">
        <f t="array" ref="BA33">AND(D33:AV33=inp_used,A33=inp_used_usersel)</f>
        <v>0</v>
      </c>
    </row>
    <row r="34" spans="1:55" s="523" customFormat="1">
      <c r="A34" s="523">
        <v>2</v>
      </c>
      <c r="B34" s="523">
        <v>2</v>
      </c>
      <c r="C34" s="523">
        <v>2</v>
      </c>
      <c r="D34" s="557">
        <v>0.124</v>
      </c>
      <c r="E34" s="523" t="s">
        <v>188</v>
      </c>
      <c r="F34" s="414">
        <v>3.5000000000000003E-2</v>
      </c>
      <c r="G34" s="523" t="s">
        <v>188</v>
      </c>
      <c r="H34" s="557" t="s">
        <v>3139</v>
      </c>
      <c r="I34" s="523" t="s">
        <v>936</v>
      </c>
      <c r="J34" s="414">
        <v>50000</v>
      </c>
      <c r="M34" s="561"/>
      <c r="N34" s="557" t="s">
        <v>194</v>
      </c>
      <c r="O34" s="523">
        <v>20</v>
      </c>
      <c r="Q34" s="561"/>
      <c r="R34" s="557"/>
      <c r="T34" s="559"/>
      <c r="U34" s="559"/>
      <c r="V34" s="559"/>
      <c r="W34" s="560"/>
      <c r="X34" s="559" t="s">
        <v>3491</v>
      </c>
      <c r="Y34" s="414"/>
      <c r="Z34" s="414"/>
      <c r="AA34" s="414"/>
      <c r="AB34" s="557">
        <v>168</v>
      </c>
      <c r="AC34" s="414" t="s">
        <v>2060</v>
      </c>
      <c r="AD34" s="414" t="s">
        <v>2875</v>
      </c>
      <c r="AE34" s="523" t="s">
        <v>499</v>
      </c>
      <c r="AF34" s="414" t="s">
        <v>500</v>
      </c>
      <c r="AG34" s="557"/>
      <c r="AI34" s="438"/>
      <c r="AJ34" s="414"/>
      <c r="AK34" s="523" t="s">
        <v>1932</v>
      </c>
      <c r="AQ34" s="557"/>
      <c r="AV34" s="561"/>
      <c r="AW34" s="414" t="str">
        <f t="shared" si="0"/>
        <v>Perfluorooctanoic Acid (PFOA), Gravity</v>
      </c>
      <c r="AX34" s="414" t="b">
        <f t="shared" si="2"/>
        <v>0</v>
      </c>
      <c r="AY34" s="523" t="b">
        <f t="array" ref="AY34">AND(D34:G34=inp_used_minimal,A34=inp_used_usersel)</f>
        <v>0</v>
      </c>
      <c r="AZ34" s="523" t="b">
        <f t="array" ref="AZ34">AND(A34=inp_used_usersel,D34:R34=inp_used_nonvessel1,AB34:AV34=inp_used_nonvessel2,IF(B34=1,inp_used_pressure=inp_autosize_pressure,inp_used_gravity=inp_autosize_gravity))</f>
        <v>0</v>
      </c>
      <c r="BA34" s="523" t="b">
        <f t="array" ref="BA34">AND(D34:AV34=inp_used,A34=inp_used_usersel)</f>
        <v>0</v>
      </c>
    </row>
    <row r="35" spans="1:55" s="523" customFormat="1">
      <c r="A35" s="523">
        <v>2</v>
      </c>
      <c r="B35" s="523">
        <v>2</v>
      </c>
      <c r="C35" s="523">
        <v>3</v>
      </c>
      <c r="D35" s="557">
        <v>0.30499999999999999</v>
      </c>
      <c r="E35" s="523" t="s">
        <v>188</v>
      </c>
      <c r="F35" s="414">
        <v>9.4E-2</v>
      </c>
      <c r="G35" s="523" t="s">
        <v>188</v>
      </c>
      <c r="H35" s="557" t="s">
        <v>3139</v>
      </c>
      <c r="I35" s="523" t="s">
        <v>936</v>
      </c>
      <c r="J35" s="414">
        <v>50000</v>
      </c>
      <c r="M35" s="561"/>
      <c r="N35" s="557" t="s">
        <v>194</v>
      </c>
      <c r="O35" s="523">
        <v>20</v>
      </c>
      <c r="Q35" s="561"/>
      <c r="R35" s="557"/>
      <c r="T35" s="559"/>
      <c r="U35" s="559"/>
      <c r="V35" s="559"/>
      <c r="W35" s="560"/>
      <c r="X35" s="559" t="s">
        <v>3491</v>
      </c>
      <c r="Y35" s="414"/>
      <c r="Z35" s="414"/>
      <c r="AA35" s="414"/>
      <c r="AB35" s="557">
        <v>168</v>
      </c>
      <c r="AC35" s="414" t="s">
        <v>2060</v>
      </c>
      <c r="AD35" s="414" t="s">
        <v>2875</v>
      </c>
      <c r="AE35" s="523" t="s">
        <v>499</v>
      </c>
      <c r="AF35" s="414" t="s">
        <v>500</v>
      </c>
      <c r="AG35" s="557"/>
      <c r="AI35" s="438"/>
      <c r="AJ35" s="414"/>
      <c r="AK35" s="523" t="s">
        <v>1932</v>
      </c>
      <c r="AQ35" s="557"/>
      <c r="AV35" s="561"/>
      <c r="AW35" s="414" t="str">
        <f t="shared" si="0"/>
        <v>Perfluorooctanoic Acid (PFOA), Gravity</v>
      </c>
      <c r="AX35" s="414" t="b">
        <f t="shared" si="2"/>
        <v>0</v>
      </c>
      <c r="AY35" s="523" t="b">
        <f t="array" ref="AY35">AND(D35:G35=inp_used_minimal,A35=inp_used_usersel)</f>
        <v>0</v>
      </c>
      <c r="AZ35" s="523" t="b">
        <f t="array" ref="AZ35">AND(A35=inp_used_usersel,D35:R35=inp_used_nonvessel1,AB35:AV35=inp_used_nonvessel2,IF(B35=1,inp_used_pressure=inp_autosize_pressure,inp_used_gravity=inp_autosize_gravity))</f>
        <v>0</v>
      </c>
      <c r="BA35" s="523" t="b">
        <f t="array" ref="BA35">AND(D35:AV35=inp_used,A35=inp_used_usersel)</f>
        <v>0</v>
      </c>
    </row>
    <row r="36" spans="1:55" s="523" customFormat="1">
      <c r="A36" s="523">
        <v>2</v>
      </c>
      <c r="B36" s="523">
        <v>2</v>
      </c>
      <c r="C36" s="523">
        <v>4</v>
      </c>
      <c r="D36" s="557">
        <v>0.74</v>
      </c>
      <c r="E36" s="523" t="s">
        <v>188</v>
      </c>
      <c r="F36" s="414">
        <v>0.251</v>
      </c>
      <c r="G36" s="523" t="s">
        <v>188</v>
      </c>
      <c r="H36" s="557" t="s">
        <v>3139</v>
      </c>
      <c r="I36" s="523" t="s">
        <v>936</v>
      </c>
      <c r="J36" s="414">
        <v>50000</v>
      </c>
      <c r="M36" s="561"/>
      <c r="N36" s="557" t="s">
        <v>194</v>
      </c>
      <c r="O36" s="523">
        <v>20</v>
      </c>
      <c r="Q36" s="561"/>
      <c r="R36" s="557"/>
      <c r="T36" s="559"/>
      <c r="U36" s="559"/>
      <c r="V36" s="559"/>
      <c r="W36" s="560"/>
      <c r="X36" s="559" t="s">
        <v>3491</v>
      </c>
      <c r="Y36" s="414"/>
      <c r="Z36" s="414"/>
      <c r="AA36" s="414"/>
      <c r="AB36" s="557">
        <v>168</v>
      </c>
      <c r="AC36" s="414" t="s">
        <v>2060</v>
      </c>
      <c r="AD36" s="414" t="s">
        <v>2875</v>
      </c>
      <c r="AE36" s="523" t="s">
        <v>499</v>
      </c>
      <c r="AF36" s="414" t="s">
        <v>500</v>
      </c>
      <c r="AG36" s="557"/>
      <c r="AI36" s="438"/>
      <c r="AJ36" s="414"/>
      <c r="AK36" s="523" t="s">
        <v>1932</v>
      </c>
      <c r="AQ36" s="557"/>
      <c r="AV36" s="561"/>
      <c r="AW36" s="414" t="str">
        <f t="shared" si="0"/>
        <v>Perfluorooctanoic Acid (PFOA), Gravity</v>
      </c>
      <c r="AX36" s="414" t="b">
        <f t="shared" si="2"/>
        <v>0</v>
      </c>
      <c r="AY36" s="523" t="b">
        <f t="array" ref="AY36">AND(D36:G36=inp_used_minimal,A36=inp_used_usersel)</f>
        <v>0</v>
      </c>
      <c r="AZ36" s="523" t="b">
        <f t="array" ref="AZ36">AND(A36=inp_used_usersel,D36:R36=inp_used_nonvessel1,AB36:AV36=inp_used_nonvessel2,IF(B36=1,inp_used_pressure=inp_autosize_pressure,inp_used_gravity=inp_autosize_gravity))</f>
        <v>0</v>
      </c>
      <c r="BA36" s="523" t="b">
        <f t="array" ref="BA36">AND(D36:AV36=inp_used,A36=inp_used_usersel)</f>
        <v>0</v>
      </c>
    </row>
    <row r="37" spans="1:55" s="523" customFormat="1">
      <c r="A37" s="523">
        <v>2</v>
      </c>
      <c r="B37" s="523">
        <v>2</v>
      </c>
      <c r="C37" s="414">
        <v>5</v>
      </c>
      <c r="D37" s="529">
        <v>2.1520000000000001</v>
      </c>
      <c r="E37" s="523" t="s">
        <v>188</v>
      </c>
      <c r="F37" s="414">
        <v>0.81899999999999995</v>
      </c>
      <c r="G37" s="523" t="s">
        <v>188</v>
      </c>
      <c r="H37" s="557" t="s">
        <v>3139</v>
      </c>
      <c r="I37" s="523" t="s">
        <v>936</v>
      </c>
      <c r="J37" s="414">
        <v>50000</v>
      </c>
      <c r="M37" s="561"/>
      <c r="N37" s="557" t="s">
        <v>194</v>
      </c>
      <c r="O37" s="523">
        <v>20</v>
      </c>
      <c r="Q37" s="561"/>
      <c r="R37" s="557"/>
      <c r="T37" s="559"/>
      <c r="U37" s="559"/>
      <c r="V37" s="559"/>
      <c r="W37" s="560"/>
      <c r="X37" s="559" t="s">
        <v>3491</v>
      </c>
      <c r="Y37" s="414"/>
      <c r="Z37" s="414"/>
      <c r="AA37" s="414"/>
      <c r="AB37" s="557">
        <v>168</v>
      </c>
      <c r="AC37" s="414" t="s">
        <v>2060</v>
      </c>
      <c r="AD37" s="414" t="s">
        <v>2875</v>
      </c>
      <c r="AE37" s="523" t="s">
        <v>499</v>
      </c>
      <c r="AF37" s="414" t="s">
        <v>500</v>
      </c>
      <c r="AG37" s="557"/>
      <c r="AJ37" s="414"/>
      <c r="AK37" s="523" t="s">
        <v>1932</v>
      </c>
      <c r="AQ37" s="557"/>
      <c r="AV37" s="561"/>
      <c r="AW37" s="414" t="str">
        <f t="shared" si="0"/>
        <v>Perfluorooctanoic Acid (PFOA), Gravity</v>
      </c>
      <c r="AX37" s="414" t="b">
        <f t="shared" si="2"/>
        <v>0</v>
      </c>
      <c r="AY37" s="523" t="b">
        <f t="array" ref="AY37">AND(D37:G37=inp_used_minimal,A37=inp_used_usersel)</f>
        <v>0</v>
      </c>
      <c r="AZ37" s="523" t="b">
        <f t="array" ref="AZ37">AND(A37=inp_used_usersel,D37:R37=inp_used_nonvessel1,AB37:AV37=inp_used_nonvessel2,IF(B37=1,inp_used_pressure=inp_autosize_pressure,inp_used_gravity=inp_autosize_gravity))</f>
        <v>0</v>
      </c>
      <c r="BA37" s="523" t="b">
        <f t="array" ref="BA37">AND(D37:AV37=inp_used,A37=inp_used_usersel)</f>
        <v>0</v>
      </c>
    </row>
    <row r="38" spans="1:55" s="523" customFormat="1">
      <c r="A38" s="523">
        <v>2</v>
      </c>
      <c r="B38" s="523">
        <v>2</v>
      </c>
      <c r="C38" s="414">
        <v>6</v>
      </c>
      <c r="D38" s="529">
        <v>7.3650000000000002</v>
      </c>
      <c r="E38" s="523" t="s">
        <v>188</v>
      </c>
      <c r="F38" s="414">
        <v>3.2</v>
      </c>
      <c r="G38" s="523" t="s">
        <v>188</v>
      </c>
      <c r="H38" s="557" t="s">
        <v>3139</v>
      </c>
      <c r="I38" s="523" t="s">
        <v>936</v>
      </c>
      <c r="J38" s="414">
        <v>50000</v>
      </c>
      <c r="M38" s="561"/>
      <c r="N38" s="557" t="s">
        <v>194</v>
      </c>
      <c r="O38" s="523">
        <v>20</v>
      </c>
      <c r="Q38" s="561"/>
      <c r="R38" s="557"/>
      <c r="T38" s="559"/>
      <c r="U38" s="559"/>
      <c r="V38" s="559"/>
      <c r="W38" s="560"/>
      <c r="X38" s="559" t="s">
        <v>3491</v>
      </c>
      <c r="Y38" s="414"/>
      <c r="Z38" s="414"/>
      <c r="AA38" s="414"/>
      <c r="AB38" s="557">
        <v>168</v>
      </c>
      <c r="AC38" s="414" t="s">
        <v>2060</v>
      </c>
      <c r="AD38" s="414" t="s">
        <v>2875</v>
      </c>
      <c r="AE38" s="523" t="s">
        <v>2615</v>
      </c>
      <c r="AF38" s="414" t="s">
        <v>500</v>
      </c>
      <c r="AG38" s="557"/>
      <c r="AJ38" s="414"/>
      <c r="AK38" s="523" t="s">
        <v>1932</v>
      </c>
      <c r="AQ38" s="557"/>
      <c r="AV38" s="561"/>
      <c r="AW38" s="414" t="str">
        <f t="shared" si="0"/>
        <v>Perfluorooctanoic Acid (PFOA), Gravity</v>
      </c>
      <c r="AX38" s="414" t="b">
        <f t="shared" si="2"/>
        <v>0</v>
      </c>
      <c r="AY38" s="523" t="b">
        <f t="array" ref="AY38">AND(D38:G38=inp_used_minimal,A38=inp_used_usersel)</f>
        <v>0</v>
      </c>
      <c r="AZ38" s="523" t="b">
        <f t="array" ref="AZ38">AND(A38=inp_used_usersel,D38:R38=inp_used_nonvessel1,AB38:AV38=inp_used_nonvessel2,IF(B38=1,inp_used_pressure=inp_autosize_pressure,inp_used_gravity=inp_autosize_gravity))</f>
        <v>0</v>
      </c>
      <c r="BA38" s="523" t="b">
        <f t="array" ref="BA38">AND(D38:AV38=inp_used,A38=inp_used_usersel)</f>
        <v>0</v>
      </c>
    </row>
    <row r="39" spans="1:55" s="523" customFormat="1">
      <c r="A39" s="523">
        <v>2</v>
      </c>
      <c r="B39" s="523">
        <v>2</v>
      </c>
      <c r="C39" s="414">
        <v>7</v>
      </c>
      <c r="D39" s="529">
        <v>22.614000000000001</v>
      </c>
      <c r="E39" s="523" t="s">
        <v>188</v>
      </c>
      <c r="F39" s="414">
        <v>11.066000000000001</v>
      </c>
      <c r="G39" s="523" t="s">
        <v>188</v>
      </c>
      <c r="H39" s="557" t="s">
        <v>3139</v>
      </c>
      <c r="I39" s="523" t="s">
        <v>936</v>
      </c>
      <c r="J39" s="414">
        <v>50000</v>
      </c>
      <c r="M39" s="561"/>
      <c r="N39" s="557" t="s">
        <v>194</v>
      </c>
      <c r="O39" s="523">
        <v>20</v>
      </c>
      <c r="Q39" s="561"/>
      <c r="R39" s="557"/>
      <c r="T39" s="559"/>
      <c r="U39" s="559"/>
      <c r="V39" s="559"/>
      <c r="W39" s="560"/>
      <c r="X39" s="559" t="s">
        <v>3491</v>
      </c>
      <c r="Y39" s="414"/>
      <c r="Z39" s="414"/>
      <c r="AA39" s="414"/>
      <c r="AB39" s="557">
        <v>168</v>
      </c>
      <c r="AC39" s="414" t="s">
        <v>2060</v>
      </c>
      <c r="AD39" s="414" t="s">
        <v>2875</v>
      </c>
      <c r="AE39" s="523" t="s">
        <v>2615</v>
      </c>
      <c r="AF39" s="414" t="s">
        <v>500</v>
      </c>
      <c r="AG39" s="557"/>
      <c r="AJ39" s="414"/>
      <c r="AK39" s="523" t="s">
        <v>1932</v>
      </c>
      <c r="AQ39" s="557"/>
      <c r="AV39" s="561"/>
      <c r="AW39" s="414" t="str">
        <f t="shared" si="0"/>
        <v>Perfluorooctanoic Acid (PFOA), Gravity</v>
      </c>
      <c r="AX39" s="414" t="b">
        <f t="shared" si="2"/>
        <v>0</v>
      </c>
      <c r="AY39" s="523" t="b">
        <f t="array" ref="AY39">AND(D39:G39=inp_used_minimal,A39=inp_used_usersel)</f>
        <v>0</v>
      </c>
      <c r="AZ39" s="523" t="b">
        <f t="array" ref="AZ39">AND(A39=inp_used_usersel,D39:R39=inp_used_nonvessel1,AB39:AV39=inp_used_nonvessel2,IF(B39=1,inp_used_pressure=inp_autosize_pressure,inp_used_gravity=inp_autosize_gravity))</f>
        <v>0</v>
      </c>
      <c r="BA39" s="523" t="b">
        <f t="array" ref="BA39">AND(D39:AV39=inp_used,A39=inp_used_usersel)</f>
        <v>0</v>
      </c>
    </row>
    <row r="40" spans="1:55" s="563" customFormat="1">
      <c r="A40" s="563">
        <v>2</v>
      </c>
      <c r="B40" s="563">
        <v>2</v>
      </c>
      <c r="C40" s="564">
        <v>8</v>
      </c>
      <c r="D40" s="918">
        <v>75.072000000000003</v>
      </c>
      <c r="E40" s="563" t="s">
        <v>188</v>
      </c>
      <c r="F40" s="564">
        <v>37.536000000000001</v>
      </c>
      <c r="G40" s="563" t="s">
        <v>188</v>
      </c>
      <c r="H40" s="919" t="s">
        <v>3139</v>
      </c>
      <c r="I40" s="563" t="s">
        <v>936</v>
      </c>
      <c r="J40" s="564">
        <v>50000</v>
      </c>
      <c r="M40" s="565"/>
      <c r="N40" s="919" t="s">
        <v>194</v>
      </c>
      <c r="O40" s="563">
        <v>20</v>
      </c>
      <c r="Q40" s="565"/>
      <c r="R40" s="919"/>
      <c r="T40" s="566"/>
      <c r="U40" s="566"/>
      <c r="V40" s="566"/>
      <c r="W40" s="567"/>
      <c r="X40" s="566" t="s">
        <v>3491</v>
      </c>
      <c r="Y40" s="564"/>
      <c r="Z40" s="564"/>
      <c r="AA40" s="554"/>
      <c r="AB40" s="919">
        <v>168</v>
      </c>
      <c r="AC40" s="564" t="s">
        <v>2060</v>
      </c>
      <c r="AD40" s="564" t="s">
        <v>2875</v>
      </c>
      <c r="AE40" s="563" t="s">
        <v>2615</v>
      </c>
      <c r="AF40" s="564" t="s">
        <v>500</v>
      </c>
      <c r="AG40" s="919"/>
      <c r="AJ40" s="564"/>
      <c r="AK40" s="563" t="s">
        <v>1932</v>
      </c>
      <c r="AP40" s="565"/>
      <c r="AQ40" s="919"/>
      <c r="AV40" s="565"/>
      <c r="AW40" s="564" t="str">
        <f t="shared" si="0"/>
        <v>Perfluorooctanoic Acid (PFOA), Gravity</v>
      </c>
      <c r="AX40" s="564" t="b">
        <f t="shared" si="2"/>
        <v>0</v>
      </c>
      <c r="AY40" s="563" t="b">
        <f t="array" ref="AY40">AND(D40:G40=inp_used_minimal,A40=inp_used_usersel)</f>
        <v>0</v>
      </c>
      <c r="AZ40" s="563" t="b">
        <f t="array" ref="AZ40">AND(A40=inp_used_usersel,D40:R40=inp_used_nonvessel1,AB40:AV40=inp_used_nonvessel2,IF(B40=1,inp_used_pressure=inp_autosize_pressure,inp_used_gravity=inp_autosize_gravity))</f>
        <v>0</v>
      </c>
      <c r="BA40" s="563" t="b">
        <f t="array" ref="BA40">AND(D40:AV40=inp_used,A40=inp_used_usersel)</f>
        <v>0</v>
      </c>
    </row>
    <row r="41" spans="1:55" s="523" customFormat="1">
      <c r="A41" s="523">
        <v>3</v>
      </c>
      <c r="B41" s="523">
        <v>1</v>
      </c>
      <c r="C41" s="523">
        <v>1</v>
      </c>
      <c r="D41" s="917">
        <v>0.03</v>
      </c>
      <c r="E41" s="523" t="s">
        <v>188</v>
      </c>
      <c r="F41" s="414">
        <v>7.0000000000000001E-3</v>
      </c>
      <c r="G41" s="523" t="s">
        <v>188</v>
      </c>
      <c r="H41" s="917" t="s">
        <v>3139</v>
      </c>
      <c r="I41" s="523" t="s">
        <v>936</v>
      </c>
      <c r="J41" s="414">
        <v>35000</v>
      </c>
      <c r="M41" s="561"/>
      <c r="N41" s="917" t="s">
        <v>194</v>
      </c>
      <c r="O41" s="523">
        <v>20</v>
      </c>
      <c r="Q41" s="561"/>
      <c r="R41" s="917">
        <v>2</v>
      </c>
      <c r="S41" s="523" t="s">
        <v>3491</v>
      </c>
      <c r="T41" s="559"/>
      <c r="V41" s="559"/>
      <c r="W41" s="560"/>
      <c r="X41" s="559"/>
      <c r="Y41" s="559"/>
      <c r="Z41" s="559"/>
      <c r="AA41" s="559"/>
      <c r="AB41" s="917">
        <v>168</v>
      </c>
      <c r="AC41" s="414" t="s">
        <v>2060</v>
      </c>
      <c r="AD41" s="438" t="s">
        <v>497</v>
      </c>
      <c r="AE41" s="523" t="s">
        <v>499</v>
      </c>
      <c r="AF41" s="561"/>
      <c r="AG41" s="917"/>
      <c r="AH41" s="523">
        <v>0</v>
      </c>
      <c r="AI41" s="438"/>
      <c r="AJ41" s="414"/>
      <c r="AK41" s="523" t="s">
        <v>1932</v>
      </c>
      <c r="AQ41" s="917"/>
      <c r="AV41" s="561"/>
      <c r="AW41" s="414" t="str">
        <f t="shared" si="0"/>
        <v>Perfluorohexane Sulfonate (PFHxS), Pressure</v>
      </c>
      <c r="AX41" s="414" t="b">
        <f t="shared" si="2"/>
        <v>0</v>
      </c>
      <c r="AY41" s="523" t="b">
        <f t="array" ref="AY41">AND(D41:G41=inp_used_minimal,A41=inp_used_usersel)</f>
        <v>0</v>
      </c>
      <c r="AZ41" s="523" t="b">
        <f t="array" ref="AZ41">AND(A41=inp_used_usersel,D41:R41=inp_used_nonvessel1,AB41:AV41=inp_used_nonvessel2,IF(B41=1,inp_used_pressure=inp_autosize_pressure,inp_used_gravity=inp_autosize_gravity))</f>
        <v>0</v>
      </c>
      <c r="BA41" s="523" t="b">
        <f t="array" ref="BA41">AND(D41:AV41=inp_used,A41=inp_used_usersel)</f>
        <v>0</v>
      </c>
      <c r="BB41" s="523" t="b">
        <f t="shared" ref="BB41:BC48" si="4">CHOOSE(design_type,AX41,AX49)</f>
        <v>0</v>
      </c>
      <c r="BC41" s="523" t="b">
        <f t="shared" si="4"/>
        <v>0</v>
      </c>
    </row>
    <row r="42" spans="1:55" s="523" customFormat="1">
      <c r="A42" s="523">
        <v>3</v>
      </c>
      <c r="B42" s="523">
        <v>1</v>
      </c>
      <c r="C42" s="523">
        <v>2</v>
      </c>
      <c r="D42" s="557">
        <v>0.124</v>
      </c>
      <c r="E42" s="523" t="s">
        <v>188</v>
      </c>
      <c r="F42" s="414">
        <v>3.5000000000000003E-2</v>
      </c>
      <c r="G42" s="523" t="s">
        <v>188</v>
      </c>
      <c r="H42" s="557" t="s">
        <v>3139</v>
      </c>
      <c r="I42" s="523" t="s">
        <v>936</v>
      </c>
      <c r="J42" s="414">
        <v>35000</v>
      </c>
      <c r="M42" s="561"/>
      <c r="N42" s="557" t="s">
        <v>194</v>
      </c>
      <c r="O42" s="523">
        <v>20</v>
      </c>
      <c r="Q42" s="561"/>
      <c r="R42" s="557">
        <v>2</v>
      </c>
      <c r="S42" s="523" t="s">
        <v>3491</v>
      </c>
      <c r="T42" s="559"/>
      <c r="V42" s="559"/>
      <c r="W42" s="560"/>
      <c r="X42" s="559"/>
      <c r="Y42" s="559"/>
      <c r="Z42" s="559"/>
      <c r="AA42" s="559"/>
      <c r="AB42" s="557">
        <v>168</v>
      </c>
      <c r="AC42" s="414" t="s">
        <v>2060</v>
      </c>
      <c r="AD42" s="438" t="s">
        <v>498</v>
      </c>
      <c r="AE42" s="523" t="s">
        <v>499</v>
      </c>
      <c r="AF42" s="562" t="s">
        <v>500</v>
      </c>
      <c r="AG42" s="557"/>
      <c r="AH42" s="523">
        <v>0</v>
      </c>
      <c r="AI42" s="438"/>
      <c r="AJ42" s="414"/>
      <c r="AK42" s="523" t="s">
        <v>1932</v>
      </c>
      <c r="AQ42" s="557"/>
      <c r="AV42" s="561"/>
      <c r="AW42" s="414" t="str">
        <f t="shared" si="0"/>
        <v>Perfluorohexane Sulfonate (PFHxS), Pressure</v>
      </c>
      <c r="AX42" s="414" t="b">
        <f t="shared" si="2"/>
        <v>0</v>
      </c>
      <c r="AY42" s="523" t="b">
        <f t="array" ref="AY42">AND(D42:G42=inp_used_minimal,A42=inp_used_usersel)</f>
        <v>0</v>
      </c>
      <c r="AZ42" s="523" t="b">
        <f t="array" ref="AZ42">AND(A42=inp_used_usersel,D42:R42=inp_used_nonvessel1,AB42:AV42=inp_used_nonvessel2,IF(B42=1,inp_used_pressure=inp_autosize_pressure,inp_used_gravity=inp_autosize_gravity))</f>
        <v>0</v>
      </c>
      <c r="BA42" s="523" t="b">
        <f t="array" ref="BA42">AND(D42:AV42=inp_used,A42=inp_used_usersel)</f>
        <v>0</v>
      </c>
      <c r="BB42" s="523" t="b">
        <f t="shared" si="4"/>
        <v>0</v>
      </c>
      <c r="BC42" s="523" t="b">
        <f t="shared" si="4"/>
        <v>0</v>
      </c>
    </row>
    <row r="43" spans="1:55" s="523" customFormat="1">
      <c r="A43" s="523">
        <v>3</v>
      </c>
      <c r="B43" s="523">
        <v>1</v>
      </c>
      <c r="C43" s="523">
        <v>3</v>
      </c>
      <c r="D43" s="557">
        <v>0.30499999999999999</v>
      </c>
      <c r="E43" s="523" t="s">
        <v>188</v>
      </c>
      <c r="F43" s="414">
        <v>9.4E-2</v>
      </c>
      <c r="G43" s="523" t="s">
        <v>188</v>
      </c>
      <c r="H43" s="557" t="s">
        <v>3139</v>
      </c>
      <c r="I43" s="523" t="s">
        <v>936</v>
      </c>
      <c r="J43" s="414">
        <v>35000</v>
      </c>
      <c r="M43" s="561"/>
      <c r="N43" s="557" t="s">
        <v>194</v>
      </c>
      <c r="O43" s="523">
        <v>20</v>
      </c>
      <c r="Q43" s="561"/>
      <c r="R43" s="557">
        <v>2</v>
      </c>
      <c r="S43" s="523" t="s">
        <v>3491</v>
      </c>
      <c r="T43" s="559"/>
      <c r="V43" s="559"/>
      <c r="W43" s="560"/>
      <c r="X43" s="559"/>
      <c r="Y43" s="559"/>
      <c r="Z43" s="559"/>
      <c r="AA43" s="559"/>
      <c r="AB43" s="557">
        <v>168</v>
      </c>
      <c r="AC43" s="414" t="s">
        <v>2060</v>
      </c>
      <c r="AD43" s="438" t="s">
        <v>498</v>
      </c>
      <c r="AE43" s="523" t="s">
        <v>499</v>
      </c>
      <c r="AF43" s="562" t="s">
        <v>500</v>
      </c>
      <c r="AG43" s="557"/>
      <c r="AH43" s="523">
        <v>0</v>
      </c>
      <c r="AI43" s="438"/>
      <c r="AJ43" s="414"/>
      <c r="AK43" s="523" t="s">
        <v>1932</v>
      </c>
      <c r="AQ43" s="557"/>
      <c r="AV43" s="561"/>
      <c r="AW43" s="414" t="str">
        <f t="shared" si="0"/>
        <v>Perfluorohexane Sulfonate (PFHxS), Pressure</v>
      </c>
      <c r="AX43" s="414" t="b">
        <f t="shared" si="2"/>
        <v>0</v>
      </c>
      <c r="AY43" s="523" t="b">
        <f t="array" ref="AY43">AND(D43:G43=inp_used_minimal,A43=inp_used_usersel)</f>
        <v>0</v>
      </c>
      <c r="AZ43" s="523" t="b">
        <f t="array" ref="AZ43">AND(A43=inp_used_usersel,D43:R43=inp_used_nonvessel1,AB43:AV43=inp_used_nonvessel2,IF(B43=1,inp_used_pressure=inp_autosize_pressure,inp_used_gravity=inp_autosize_gravity))</f>
        <v>0</v>
      </c>
      <c r="BA43" s="523" t="b">
        <f t="array" ref="BA43">AND(D43:AV43=inp_used,A43=inp_used_usersel)</f>
        <v>0</v>
      </c>
      <c r="BB43" s="523" t="b">
        <f t="shared" si="4"/>
        <v>0</v>
      </c>
      <c r="BC43" s="523" t="b">
        <f t="shared" si="4"/>
        <v>0</v>
      </c>
    </row>
    <row r="44" spans="1:55" s="523" customFormat="1">
      <c r="A44" s="523">
        <v>3</v>
      </c>
      <c r="B44" s="523">
        <v>1</v>
      </c>
      <c r="C44" s="523">
        <v>4</v>
      </c>
      <c r="D44" s="557">
        <v>0.74</v>
      </c>
      <c r="E44" s="523" t="s">
        <v>188</v>
      </c>
      <c r="F44" s="414">
        <v>0.251</v>
      </c>
      <c r="G44" s="523" t="s">
        <v>188</v>
      </c>
      <c r="H44" s="557" t="s">
        <v>3139</v>
      </c>
      <c r="I44" s="523" t="s">
        <v>936</v>
      </c>
      <c r="J44" s="414">
        <v>35000</v>
      </c>
      <c r="M44" s="561"/>
      <c r="N44" s="557" t="s">
        <v>194</v>
      </c>
      <c r="O44" s="523">
        <v>20</v>
      </c>
      <c r="Q44" s="561"/>
      <c r="R44" s="557">
        <v>2</v>
      </c>
      <c r="S44" s="523" t="s">
        <v>3491</v>
      </c>
      <c r="T44" s="559"/>
      <c r="V44" s="559"/>
      <c r="W44" s="560"/>
      <c r="X44" s="559"/>
      <c r="Y44" s="559"/>
      <c r="Z44" s="559"/>
      <c r="AA44" s="559"/>
      <c r="AB44" s="557">
        <v>168</v>
      </c>
      <c r="AC44" s="414" t="s">
        <v>2060</v>
      </c>
      <c r="AD44" s="438" t="s">
        <v>498</v>
      </c>
      <c r="AE44" s="523" t="s">
        <v>499</v>
      </c>
      <c r="AF44" s="562" t="s">
        <v>500</v>
      </c>
      <c r="AG44" s="557"/>
      <c r="AH44" s="523">
        <v>0</v>
      </c>
      <c r="AI44" s="438"/>
      <c r="AJ44" s="414"/>
      <c r="AK44" s="523" t="s">
        <v>1932</v>
      </c>
      <c r="AQ44" s="557"/>
      <c r="AV44" s="561"/>
      <c r="AW44" s="414" t="str">
        <f t="shared" si="0"/>
        <v>Perfluorohexane Sulfonate (PFHxS), Pressure</v>
      </c>
      <c r="AX44" s="414" t="b">
        <f t="shared" si="2"/>
        <v>0</v>
      </c>
      <c r="AY44" s="523" t="b">
        <f t="array" ref="AY44">AND(D44:G44=inp_used_minimal,A44=inp_used_usersel)</f>
        <v>0</v>
      </c>
      <c r="AZ44" s="523" t="b">
        <f t="array" ref="AZ44">AND(A44=inp_used_usersel,D44:R44=inp_used_nonvessel1,AB44:AV44=inp_used_nonvessel2,IF(B44=1,inp_used_pressure=inp_autosize_pressure,inp_used_gravity=inp_autosize_gravity))</f>
        <v>0</v>
      </c>
      <c r="BA44" s="523" t="b">
        <f t="array" ref="BA44">AND(D44:AV44=inp_used,A44=inp_used_usersel)</f>
        <v>0</v>
      </c>
      <c r="BB44" s="523" t="b">
        <f t="shared" si="4"/>
        <v>0</v>
      </c>
      <c r="BC44" s="523" t="b">
        <f t="shared" si="4"/>
        <v>0</v>
      </c>
    </row>
    <row r="45" spans="1:55" s="523" customFormat="1">
      <c r="A45" s="523">
        <v>3</v>
      </c>
      <c r="B45" s="523">
        <v>1</v>
      </c>
      <c r="C45" s="414">
        <v>5</v>
      </c>
      <c r="D45" s="529">
        <v>2.1520000000000001</v>
      </c>
      <c r="E45" s="523" t="s">
        <v>188</v>
      </c>
      <c r="F45" s="414">
        <v>0.81899999999999995</v>
      </c>
      <c r="G45" s="523" t="s">
        <v>188</v>
      </c>
      <c r="H45" s="557" t="s">
        <v>3139</v>
      </c>
      <c r="I45" s="523" t="s">
        <v>936</v>
      </c>
      <c r="J45" s="414">
        <v>35000</v>
      </c>
      <c r="M45" s="561"/>
      <c r="N45" s="557" t="s">
        <v>194</v>
      </c>
      <c r="O45" s="523">
        <v>20</v>
      </c>
      <c r="Q45" s="561"/>
      <c r="R45" s="557">
        <v>2</v>
      </c>
      <c r="S45" s="523" t="s">
        <v>3491</v>
      </c>
      <c r="T45" s="559"/>
      <c r="V45" s="559"/>
      <c r="W45" s="560"/>
      <c r="X45" s="559"/>
      <c r="Y45" s="559"/>
      <c r="Z45" s="559"/>
      <c r="AA45" s="559"/>
      <c r="AB45" s="557">
        <v>168</v>
      </c>
      <c r="AC45" s="414" t="s">
        <v>2060</v>
      </c>
      <c r="AD45" s="438" t="s">
        <v>498</v>
      </c>
      <c r="AE45" s="523" t="s">
        <v>499</v>
      </c>
      <c r="AF45" s="562" t="s">
        <v>500</v>
      </c>
      <c r="AG45" s="557"/>
      <c r="AH45" s="523">
        <v>0</v>
      </c>
      <c r="AJ45" s="414"/>
      <c r="AK45" s="523" t="s">
        <v>1932</v>
      </c>
      <c r="AQ45" s="557"/>
      <c r="AV45" s="561"/>
      <c r="AW45" s="414" t="str">
        <f t="shared" si="0"/>
        <v>Perfluorohexane Sulfonate (PFHxS), Pressure</v>
      </c>
      <c r="AX45" s="414" t="b">
        <f t="shared" si="2"/>
        <v>0</v>
      </c>
      <c r="AY45" s="523" t="b">
        <f t="array" ref="AY45">AND(D45:G45=inp_used_minimal,A45=inp_used_usersel)</f>
        <v>0</v>
      </c>
      <c r="AZ45" s="523" t="b">
        <f t="array" ref="AZ45">AND(A45=inp_used_usersel,D45:R45=inp_used_nonvessel1,AB45:AV45=inp_used_nonvessel2,IF(B45=1,inp_used_pressure=inp_autosize_pressure,inp_used_gravity=inp_autosize_gravity))</f>
        <v>0</v>
      </c>
      <c r="BA45" s="523" t="b">
        <f t="array" ref="BA45">AND(D45:AV45=inp_used,A45=inp_used_usersel)</f>
        <v>0</v>
      </c>
      <c r="BB45" s="523" t="b">
        <f t="shared" si="4"/>
        <v>0</v>
      </c>
      <c r="BC45" s="523" t="b">
        <f t="shared" si="4"/>
        <v>0</v>
      </c>
    </row>
    <row r="46" spans="1:55" s="523" customFormat="1">
      <c r="A46" s="523">
        <v>3</v>
      </c>
      <c r="B46" s="523">
        <v>1</v>
      </c>
      <c r="C46" s="414">
        <v>6</v>
      </c>
      <c r="D46" s="529">
        <v>7.3650000000000002</v>
      </c>
      <c r="E46" s="523" t="s">
        <v>188</v>
      </c>
      <c r="F46" s="414">
        <v>3.2</v>
      </c>
      <c r="G46" s="523" t="s">
        <v>188</v>
      </c>
      <c r="H46" s="557" t="s">
        <v>3139</v>
      </c>
      <c r="I46" s="523" t="s">
        <v>936</v>
      </c>
      <c r="J46" s="414">
        <v>35000</v>
      </c>
      <c r="M46" s="561"/>
      <c r="N46" s="557" t="s">
        <v>194</v>
      </c>
      <c r="O46" s="523">
        <v>20</v>
      </c>
      <c r="Q46" s="561"/>
      <c r="R46" s="557">
        <v>2</v>
      </c>
      <c r="S46" s="523" t="s">
        <v>3491</v>
      </c>
      <c r="T46" s="559"/>
      <c r="V46" s="559"/>
      <c r="W46" s="560"/>
      <c r="X46" s="559"/>
      <c r="Y46" s="559"/>
      <c r="Z46" s="559"/>
      <c r="AA46" s="559"/>
      <c r="AB46" s="557">
        <v>168</v>
      </c>
      <c r="AC46" s="414" t="s">
        <v>2060</v>
      </c>
      <c r="AD46" s="438" t="s">
        <v>498</v>
      </c>
      <c r="AE46" s="523" t="s">
        <v>2615</v>
      </c>
      <c r="AF46" s="562" t="s">
        <v>500</v>
      </c>
      <c r="AG46" s="557"/>
      <c r="AH46" s="523">
        <v>0</v>
      </c>
      <c r="AJ46" s="414"/>
      <c r="AK46" s="523" t="s">
        <v>1932</v>
      </c>
      <c r="AQ46" s="557"/>
      <c r="AV46" s="561"/>
      <c r="AW46" s="414" t="str">
        <f t="shared" si="0"/>
        <v>Perfluorohexane Sulfonate (PFHxS), Pressure</v>
      </c>
      <c r="AX46" s="414" t="b">
        <f t="shared" si="2"/>
        <v>0</v>
      </c>
      <c r="AY46" s="523" t="b">
        <f t="array" ref="AY46">AND(D46:G46=inp_used_minimal,A46=inp_used_usersel)</f>
        <v>0</v>
      </c>
      <c r="AZ46" s="523" t="b">
        <f t="array" ref="AZ46">AND(A46=inp_used_usersel,D46:R46=inp_used_nonvessel1,AB46:AV46=inp_used_nonvessel2,IF(B46=1,inp_used_pressure=inp_autosize_pressure,inp_used_gravity=inp_autosize_gravity))</f>
        <v>0</v>
      </c>
      <c r="BA46" s="523" t="b">
        <f t="array" ref="BA46">AND(D46:AV46=inp_used,A46=inp_used_usersel)</f>
        <v>0</v>
      </c>
      <c r="BB46" s="523" t="b">
        <f t="shared" si="4"/>
        <v>0</v>
      </c>
      <c r="BC46" s="523" t="b">
        <f t="shared" si="4"/>
        <v>0</v>
      </c>
    </row>
    <row r="47" spans="1:55" s="523" customFormat="1">
      <c r="A47" s="523">
        <v>3</v>
      </c>
      <c r="B47" s="523">
        <v>1</v>
      </c>
      <c r="C47" s="414">
        <v>7</v>
      </c>
      <c r="D47" s="529">
        <v>22.614000000000001</v>
      </c>
      <c r="E47" s="523" t="s">
        <v>188</v>
      </c>
      <c r="F47" s="414">
        <v>11.066000000000001</v>
      </c>
      <c r="G47" s="523" t="s">
        <v>188</v>
      </c>
      <c r="H47" s="557" t="s">
        <v>3139</v>
      </c>
      <c r="I47" s="523" t="s">
        <v>936</v>
      </c>
      <c r="J47" s="414">
        <v>35000</v>
      </c>
      <c r="M47" s="561"/>
      <c r="N47" s="557" t="s">
        <v>194</v>
      </c>
      <c r="O47" s="523">
        <v>20</v>
      </c>
      <c r="Q47" s="561"/>
      <c r="R47" s="557">
        <v>2</v>
      </c>
      <c r="S47" s="523" t="s">
        <v>3491</v>
      </c>
      <c r="T47" s="559"/>
      <c r="V47" s="559"/>
      <c r="W47" s="560"/>
      <c r="X47" s="559"/>
      <c r="Y47" s="559"/>
      <c r="Z47" s="559"/>
      <c r="AA47" s="559"/>
      <c r="AB47" s="557">
        <v>168</v>
      </c>
      <c r="AC47" s="414" t="s">
        <v>2060</v>
      </c>
      <c r="AD47" s="438" t="s">
        <v>498</v>
      </c>
      <c r="AE47" s="523" t="s">
        <v>2615</v>
      </c>
      <c r="AF47" s="562" t="s">
        <v>500</v>
      </c>
      <c r="AG47" s="557"/>
      <c r="AH47" s="523">
        <v>0</v>
      </c>
      <c r="AJ47" s="414"/>
      <c r="AK47" s="523" t="s">
        <v>1932</v>
      </c>
      <c r="AQ47" s="557"/>
      <c r="AV47" s="561"/>
      <c r="AW47" s="414" t="str">
        <f t="shared" si="0"/>
        <v>Perfluorohexane Sulfonate (PFHxS), Pressure</v>
      </c>
      <c r="AX47" s="414" t="b">
        <f t="shared" si="2"/>
        <v>0</v>
      </c>
      <c r="AY47" s="523" t="b">
        <f t="array" ref="AY47">AND(D47:G47=inp_used_minimal,A47=inp_used_usersel)</f>
        <v>0</v>
      </c>
      <c r="AZ47" s="523" t="b">
        <f t="array" ref="AZ47">AND(A47=inp_used_usersel,D47:R47=inp_used_nonvessel1,AB47:AV47=inp_used_nonvessel2,IF(B47=1,inp_used_pressure=inp_autosize_pressure,inp_used_gravity=inp_autosize_gravity))</f>
        <v>0</v>
      </c>
      <c r="BA47" s="523" t="b">
        <f t="array" ref="BA47">AND(D47:AV47=inp_used,A47=inp_used_usersel)</f>
        <v>0</v>
      </c>
      <c r="BB47" s="523" t="b">
        <f t="shared" si="4"/>
        <v>0</v>
      </c>
      <c r="BC47" s="523" t="b">
        <f t="shared" si="4"/>
        <v>0</v>
      </c>
    </row>
    <row r="48" spans="1:55" s="563" customFormat="1">
      <c r="A48" s="563">
        <v>3</v>
      </c>
      <c r="B48" s="563">
        <v>1</v>
      </c>
      <c r="C48" s="564">
        <v>8</v>
      </c>
      <c r="D48" s="918">
        <v>75.072000000000003</v>
      </c>
      <c r="E48" s="563" t="s">
        <v>188</v>
      </c>
      <c r="F48" s="564">
        <v>37.536000000000001</v>
      </c>
      <c r="G48" s="563" t="s">
        <v>188</v>
      </c>
      <c r="H48" s="919" t="s">
        <v>3139</v>
      </c>
      <c r="I48" s="563" t="s">
        <v>936</v>
      </c>
      <c r="J48" s="564">
        <v>35000</v>
      </c>
      <c r="M48" s="565"/>
      <c r="N48" s="919" t="s">
        <v>194</v>
      </c>
      <c r="O48" s="563">
        <v>20</v>
      </c>
      <c r="Q48" s="565"/>
      <c r="R48" s="919">
        <v>2</v>
      </c>
      <c r="S48" s="563" t="s">
        <v>3491</v>
      </c>
      <c r="T48" s="566"/>
      <c r="V48" s="566"/>
      <c r="W48" s="567"/>
      <c r="X48" s="566"/>
      <c r="Y48" s="566"/>
      <c r="Z48" s="566"/>
      <c r="AA48" s="567"/>
      <c r="AB48" s="919">
        <v>168</v>
      </c>
      <c r="AC48" s="564" t="s">
        <v>2060</v>
      </c>
      <c r="AD48" s="568" t="s">
        <v>498</v>
      </c>
      <c r="AE48" s="563" t="s">
        <v>2615</v>
      </c>
      <c r="AF48" s="554" t="s">
        <v>500</v>
      </c>
      <c r="AG48" s="919"/>
      <c r="AH48" s="563">
        <v>0</v>
      </c>
      <c r="AJ48" s="564"/>
      <c r="AK48" s="563" t="s">
        <v>1932</v>
      </c>
      <c r="AP48" s="565"/>
      <c r="AQ48" s="919"/>
      <c r="AV48" s="565"/>
      <c r="AW48" s="564" t="str">
        <f t="shared" si="0"/>
        <v>Perfluorohexane Sulfonate (PFHxS), Pressure</v>
      </c>
      <c r="AX48" s="564" t="b">
        <f t="shared" si="2"/>
        <v>0</v>
      </c>
      <c r="AY48" s="563" t="b">
        <f t="array" ref="AY48">AND(D48:G48=inp_used_minimal,A48=inp_used_usersel)</f>
        <v>0</v>
      </c>
      <c r="AZ48" s="563" t="b">
        <f t="array" ref="AZ48">AND(A48=inp_used_usersel,D48:R48=inp_used_nonvessel1,AB48:AV48=inp_used_nonvessel2,IF(B48=1,inp_used_pressure=inp_autosize_pressure,inp_used_gravity=inp_autosize_gravity))</f>
        <v>0</v>
      </c>
      <c r="BA48" s="563" t="b">
        <f t="array" ref="BA48">AND(D48:AV48=inp_used,A48=inp_used_usersel)</f>
        <v>0</v>
      </c>
      <c r="BB48" s="563" t="b">
        <f t="shared" si="4"/>
        <v>0</v>
      </c>
      <c r="BC48" s="563" t="b">
        <f t="shared" si="4"/>
        <v>0</v>
      </c>
    </row>
    <row r="49" spans="1:55" s="523" customFormat="1">
      <c r="A49" s="523">
        <v>3</v>
      </c>
      <c r="B49" s="523">
        <v>2</v>
      </c>
      <c r="C49" s="523">
        <v>1</v>
      </c>
      <c r="D49" s="917">
        <v>0.03</v>
      </c>
      <c r="E49" s="523" t="s">
        <v>188</v>
      </c>
      <c r="F49" s="414">
        <v>7.0000000000000001E-3</v>
      </c>
      <c r="G49" s="523" t="s">
        <v>188</v>
      </c>
      <c r="H49" s="917" t="s">
        <v>3139</v>
      </c>
      <c r="I49" s="523" t="s">
        <v>936</v>
      </c>
      <c r="J49" s="414">
        <v>35000</v>
      </c>
      <c r="M49" s="561"/>
      <c r="N49" s="917" t="s">
        <v>194</v>
      </c>
      <c r="O49" s="523">
        <v>20</v>
      </c>
      <c r="Q49" s="561"/>
      <c r="R49" s="917"/>
      <c r="T49" s="559"/>
      <c r="U49" s="559"/>
      <c r="V49" s="559"/>
      <c r="W49" s="560"/>
      <c r="X49" s="559" t="s">
        <v>3491</v>
      </c>
      <c r="Y49" s="414"/>
      <c r="Z49" s="414"/>
      <c r="AA49" s="414"/>
      <c r="AB49" s="917">
        <v>168</v>
      </c>
      <c r="AC49" s="414" t="s">
        <v>2060</v>
      </c>
      <c r="AD49" s="414" t="s">
        <v>2875</v>
      </c>
      <c r="AE49" s="523" t="s">
        <v>499</v>
      </c>
      <c r="AF49" s="414" t="s">
        <v>500</v>
      </c>
      <c r="AG49" s="917"/>
      <c r="AI49" s="438"/>
      <c r="AJ49" s="414"/>
      <c r="AK49" s="523" t="s">
        <v>1932</v>
      </c>
      <c r="AQ49" s="917"/>
      <c r="AV49" s="561"/>
      <c r="AW49" s="414" t="str">
        <f t="shared" si="0"/>
        <v>Perfluorohexane Sulfonate (PFHxS), Gravity</v>
      </c>
      <c r="AX49" s="414" t="b">
        <f t="shared" si="2"/>
        <v>0</v>
      </c>
      <c r="AY49" s="523" t="b">
        <f t="array" ref="AY49">AND(D49:G49=inp_used_minimal,A49=inp_used_usersel)</f>
        <v>0</v>
      </c>
      <c r="AZ49" s="523" t="b">
        <f t="array" ref="AZ49">AND(A49=inp_used_usersel,D49:R49=inp_used_nonvessel1,AB49:AV49=inp_used_nonvessel2,IF(B49=1,inp_used_pressure=inp_autosize_pressure,inp_used_gravity=inp_autosize_gravity))</f>
        <v>0</v>
      </c>
      <c r="BA49" s="523" t="b">
        <f t="array" ref="BA49">AND(D49:AV49=inp_used,A49=inp_used_usersel)</f>
        <v>0</v>
      </c>
    </row>
    <row r="50" spans="1:55" s="523" customFormat="1">
      <c r="A50" s="523">
        <v>3</v>
      </c>
      <c r="B50" s="523">
        <v>2</v>
      </c>
      <c r="C50" s="523">
        <v>2</v>
      </c>
      <c r="D50" s="557">
        <v>0.124</v>
      </c>
      <c r="E50" s="523" t="s">
        <v>188</v>
      </c>
      <c r="F50" s="414">
        <v>3.5000000000000003E-2</v>
      </c>
      <c r="G50" s="523" t="s">
        <v>188</v>
      </c>
      <c r="H50" s="557" t="s">
        <v>3139</v>
      </c>
      <c r="I50" s="523" t="s">
        <v>936</v>
      </c>
      <c r="J50" s="414">
        <v>35000</v>
      </c>
      <c r="M50" s="561"/>
      <c r="N50" s="557" t="s">
        <v>194</v>
      </c>
      <c r="O50" s="523">
        <v>20</v>
      </c>
      <c r="Q50" s="561"/>
      <c r="R50" s="557"/>
      <c r="T50" s="559"/>
      <c r="U50" s="559"/>
      <c r="V50" s="559"/>
      <c r="W50" s="560"/>
      <c r="X50" s="559" t="s">
        <v>3491</v>
      </c>
      <c r="Y50" s="414"/>
      <c r="Z50" s="414"/>
      <c r="AA50" s="414"/>
      <c r="AB50" s="557">
        <v>168</v>
      </c>
      <c r="AC50" s="414" t="s">
        <v>2060</v>
      </c>
      <c r="AD50" s="414" t="s">
        <v>2875</v>
      </c>
      <c r="AE50" s="523" t="s">
        <v>499</v>
      </c>
      <c r="AF50" s="414" t="s">
        <v>500</v>
      </c>
      <c r="AG50" s="557"/>
      <c r="AI50" s="438"/>
      <c r="AJ50" s="414"/>
      <c r="AK50" s="523" t="s">
        <v>1932</v>
      </c>
      <c r="AQ50" s="557"/>
      <c r="AV50" s="561"/>
      <c r="AW50" s="414" t="str">
        <f t="shared" si="0"/>
        <v>Perfluorohexane Sulfonate (PFHxS), Gravity</v>
      </c>
      <c r="AX50" s="414" t="b">
        <f t="shared" si="2"/>
        <v>0</v>
      </c>
      <c r="AY50" s="523" t="b">
        <f t="array" ref="AY50">AND(D50:G50=inp_used_minimal,A50=inp_used_usersel)</f>
        <v>0</v>
      </c>
      <c r="AZ50" s="523" t="b">
        <f t="array" ref="AZ50">AND(A50=inp_used_usersel,D50:R50=inp_used_nonvessel1,AB50:AV50=inp_used_nonvessel2,IF(B50=1,inp_used_pressure=inp_autosize_pressure,inp_used_gravity=inp_autosize_gravity))</f>
        <v>0</v>
      </c>
      <c r="BA50" s="523" t="b">
        <f t="array" ref="BA50">AND(D50:AV50=inp_used,A50=inp_used_usersel)</f>
        <v>0</v>
      </c>
    </row>
    <row r="51" spans="1:55" s="523" customFormat="1">
      <c r="A51" s="523">
        <v>3</v>
      </c>
      <c r="B51" s="523">
        <v>2</v>
      </c>
      <c r="C51" s="523">
        <v>3</v>
      </c>
      <c r="D51" s="557">
        <v>0.30499999999999999</v>
      </c>
      <c r="E51" s="523" t="s">
        <v>188</v>
      </c>
      <c r="F51" s="414">
        <v>9.4E-2</v>
      </c>
      <c r="G51" s="523" t="s">
        <v>188</v>
      </c>
      <c r="H51" s="557" t="s">
        <v>3139</v>
      </c>
      <c r="I51" s="523" t="s">
        <v>936</v>
      </c>
      <c r="J51" s="414">
        <v>35000</v>
      </c>
      <c r="M51" s="561"/>
      <c r="N51" s="557" t="s">
        <v>194</v>
      </c>
      <c r="O51" s="523">
        <v>20</v>
      </c>
      <c r="Q51" s="561"/>
      <c r="R51" s="557"/>
      <c r="T51" s="559"/>
      <c r="U51" s="559"/>
      <c r="V51" s="559"/>
      <c r="W51" s="560"/>
      <c r="X51" s="559" t="s">
        <v>3491</v>
      </c>
      <c r="Y51" s="414"/>
      <c r="Z51" s="414"/>
      <c r="AA51" s="414"/>
      <c r="AB51" s="557">
        <v>168</v>
      </c>
      <c r="AC51" s="414" t="s">
        <v>2060</v>
      </c>
      <c r="AD51" s="414" t="s">
        <v>2875</v>
      </c>
      <c r="AE51" s="523" t="s">
        <v>499</v>
      </c>
      <c r="AF51" s="414" t="s">
        <v>500</v>
      </c>
      <c r="AG51" s="557"/>
      <c r="AI51" s="438"/>
      <c r="AJ51" s="414"/>
      <c r="AK51" s="523" t="s">
        <v>1932</v>
      </c>
      <c r="AQ51" s="557"/>
      <c r="AV51" s="561"/>
      <c r="AW51" s="414" t="str">
        <f t="shared" si="0"/>
        <v>Perfluorohexane Sulfonate (PFHxS), Gravity</v>
      </c>
      <c r="AX51" s="414" t="b">
        <f t="shared" si="2"/>
        <v>0</v>
      </c>
      <c r="AY51" s="523" t="b">
        <f t="array" ref="AY51">AND(D51:G51=inp_used_minimal,A51=inp_used_usersel)</f>
        <v>0</v>
      </c>
      <c r="AZ51" s="523" t="b">
        <f t="array" ref="AZ51">AND(A51=inp_used_usersel,D51:R51=inp_used_nonvessel1,AB51:AV51=inp_used_nonvessel2,IF(B51=1,inp_used_pressure=inp_autosize_pressure,inp_used_gravity=inp_autosize_gravity))</f>
        <v>0</v>
      </c>
      <c r="BA51" s="523" t="b">
        <f t="array" ref="BA51">AND(D51:AV51=inp_used,A51=inp_used_usersel)</f>
        <v>0</v>
      </c>
    </row>
    <row r="52" spans="1:55" s="523" customFormat="1">
      <c r="A52" s="523">
        <v>3</v>
      </c>
      <c r="B52" s="523">
        <v>2</v>
      </c>
      <c r="C52" s="523">
        <v>4</v>
      </c>
      <c r="D52" s="557">
        <v>0.74</v>
      </c>
      <c r="E52" s="523" t="s">
        <v>188</v>
      </c>
      <c r="F52" s="414">
        <v>0.251</v>
      </c>
      <c r="G52" s="523" t="s">
        <v>188</v>
      </c>
      <c r="H52" s="557" t="s">
        <v>3139</v>
      </c>
      <c r="I52" s="523" t="s">
        <v>936</v>
      </c>
      <c r="J52" s="414">
        <v>35000</v>
      </c>
      <c r="M52" s="561"/>
      <c r="N52" s="557" t="s">
        <v>194</v>
      </c>
      <c r="O52" s="523">
        <v>20</v>
      </c>
      <c r="Q52" s="561"/>
      <c r="R52" s="557"/>
      <c r="T52" s="559"/>
      <c r="U52" s="559"/>
      <c r="V52" s="559"/>
      <c r="W52" s="560"/>
      <c r="X52" s="559" t="s">
        <v>3491</v>
      </c>
      <c r="Y52" s="414"/>
      <c r="Z52" s="414"/>
      <c r="AA52" s="414"/>
      <c r="AB52" s="557">
        <v>168</v>
      </c>
      <c r="AC52" s="414" t="s">
        <v>2060</v>
      </c>
      <c r="AD52" s="414" t="s">
        <v>2875</v>
      </c>
      <c r="AE52" s="523" t="s">
        <v>499</v>
      </c>
      <c r="AF52" s="414" t="s">
        <v>500</v>
      </c>
      <c r="AG52" s="557"/>
      <c r="AI52" s="438"/>
      <c r="AJ52" s="414"/>
      <c r="AK52" s="523" t="s">
        <v>1932</v>
      </c>
      <c r="AQ52" s="557"/>
      <c r="AV52" s="561"/>
      <c r="AW52" s="414" t="str">
        <f t="shared" si="0"/>
        <v>Perfluorohexane Sulfonate (PFHxS), Gravity</v>
      </c>
      <c r="AX52" s="414" t="b">
        <f t="shared" si="2"/>
        <v>0</v>
      </c>
      <c r="AY52" s="523" t="b">
        <f t="array" ref="AY52">AND(D52:G52=inp_used_minimal,A52=inp_used_usersel)</f>
        <v>0</v>
      </c>
      <c r="AZ52" s="523" t="b">
        <f t="array" ref="AZ52">AND(A52=inp_used_usersel,D52:R52=inp_used_nonvessel1,AB52:AV52=inp_used_nonvessel2,IF(B52=1,inp_used_pressure=inp_autosize_pressure,inp_used_gravity=inp_autosize_gravity))</f>
        <v>0</v>
      </c>
      <c r="BA52" s="523" t="b">
        <f t="array" ref="BA52">AND(D52:AV52=inp_used,A52=inp_used_usersel)</f>
        <v>0</v>
      </c>
    </row>
    <row r="53" spans="1:55" s="523" customFormat="1">
      <c r="A53" s="523">
        <v>3</v>
      </c>
      <c r="B53" s="523">
        <v>2</v>
      </c>
      <c r="C53" s="414">
        <v>5</v>
      </c>
      <c r="D53" s="529">
        <v>2.1520000000000001</v>
      </c>
      <c r="E53" s="523" t="s">
        <v>188</v>
      </c>
      <c r="F53" s="414">
        <v>0.81899999999999995</v>
      </c>
      <c r="G53" s="523" t="s">
        <v>188</v>
      </c>
      <c r="H53" s="557" t="s">
        <v>3139</v>
      </c>
      <c r="I53" s="523" t="s">
        <v>936</v>
      </c>
      <c r="J53" s="414">
        <v>35000</v>
      </c>
      <c r="M53" s="561"/>
      <c r="N53" s="557" t="s">
        <v>194</v>
      </c>
      <c r="O53" s="523">
        <v>20</v>
      </c>
      <c r="Q53" s="561"/>
      <c r="R53" s="557"/>
      <c r="T53" s="559"/>
      <c r="U53" s="559"/>
      <c r="V53" s="559"/>
      <c r="W53" s="560"/>
      <c r="X53" s="559" t="s">
        <v>3491</v>
      </c>
      <c r="Y53" s="414"/>
      <c r="Z53" s="414"/>
      <c r="AA53" s="414"/>
      <c r="AB53" s="557">
        <v>168</v>
      </c>
      <c r="AC53" s="414" t="s">
        <v>2060</v>
      </c>
      <c r="AD53" s="414" t="s">
        <v>2875</v>
      </c>
      <c r="AE53" s="523" t="s">
        <v>499</v>
      </c>
      <c r="AF53" s="414" t="s">
        <v>500</v>
      </c>
      <c r="AG53" s="557"/>
      <c r="AJ53" s="414"/>
      <c r="AK53" s="523" t="s">
        <v>1932</v>
      </c>
      <c r="AQ53" s="557"/>
      <c r="AV53" s="561"/>
      <c r="AW53" s="414" t="str">
        <f t="shared" si="0"/>
        <v>Perfluorohexane Sulfonate (PFHxS), Gravity</v>
      </c>
      <c r="AX53" s="414" t="b">
        <f t="shared" si="2"/>
        <v>0</v>
      </c>
      <c r="AY53" s="523" t="b">
        <f t="array" ref="AY53">AND(D53:G53=inp_used_minimal,A53=inp_used_usersel)</f>
        <v>0</v>
      </c>
      <c r="AZ53" s="523" t="b">
        <f t="array" ref="AZ53">AND(A53=inp_used_usersel,D53:R53=inp_used_nonvessel1,AB53:AV53=inp_used_nonvessel2,IF(B53=1,inp_used_pressure=inp_autosize_pressure,inp_used_gravity=inp_autosize_gravity))</f>
        <v>0</v>
      </c>
      <c r="BA53" s="523" t="b">
        <f t="array" ref="BA53">AND(D53:AV53=inp_used,A53=inp_used_usersel)</f>
        <v>0</v>
      </c>
    </row>
    <row r="54" spans="1:55" s="523" customFormat="1">
      <c r="A54" s="523">
        <v>3</v>
      </c>
      <c r="B54" s="523">
        <v>2</v>
      </c>
      <c r="C54" s="414">
        <v>6</v>
      </c>
      <c r="D54" s="529">
        <v>7.3650000000000002</v>
      </c>
      <c r="E54" s="523" t="s">
        <v>188</v>
      </c>
      <c r="F54" s="414">
        <v>3.2</v>
      </c>
      <c r="G54" s="523" t="s">
        <v>188</v>
      </c>
      <c r="H54" s="557" t="s">
        <v>3139</v>
      </c>
      <c r="I54" s="523" t="s">
        <v>936</v>
      </c>
      <c r="J54" s="414">
        <v>35000</v>
      </c>
      <c r="M54" s="561"/>
      <c r="N54" s="557" t="s">
        <v>194</v>
      </c>
      <c r="O54" s="523">
        <v>20</v>
      </c>
      <c r="Q54" s="561"/>
      <c r="R54" s="557"/>
      <c r="T54" s="559"/>
      <c r="U54" s="559"/>
      <c r="V54" s="559"/>
      <c r="W54" s="560"/>
      <c r="X54" s="559" t="s">
        <v>3491</v>
      </c>
      <c r="Y54" s="414"/>
      <c r="Z54" s="414"/>
      <c r="AA54" s="414"/>
      <c r="AB54" s="557">
        <v>168</v>
      </c>
      <c r="AC54" s="414" t="s">
        <v>2060</v>
      </c>
      <c r="AD54" s="414" t="s">
        <v>2875</v>
      </c>
      <c r="AE54" s="523" t="s">
        <v>2615</v>
      </c>
      <c r="AF54" s="414" t="s">
        <v>500</v>
      </c>
      <c r="AG54" s="557"/>
      <c r="AJ54" s="414"/>
      <c r="AK54" s="523" t="s">
        <v>1932</v>
      </c>
      <c r="AQ54" s="557"/>
      <c r="AV54" s="561"/>
      <c r="AW54" s="414" t="str">
        <f t="shared" si="0"/>
        <v>Perfluorohexane Sulfonate (PFHxS), Gravity</v>
      </c>
      <c r="AX54" s="414" t="b">
        <f t="shared" si="2"/>
        <v>0</v>
      </c>
      <c r="AY54" s="523" t="b">
        <f t="array" ref="AY54">AND(D54:G54=inp_used_minimal,A54=inp_used_usersel)</f>
        <v>0</v>
      </c>
      <c r="AZ54" s="523" t="b">
        <f t="array" ref="AZ54">AND(A54=inp_used_usersel,D54:R54=inp_used_nonvessel1,AB54:AV54=inp_used_nonvessel2,IF(B54=1,inp_used_pressure=inp_autosize_pressure,inp_used_gravity=inp_autosize_gravity))</f>
        <v>0</v>
      </c>
      <c r="BA54" s="523" t="b">
        <f t="array" ref="BA54">AND(D54:AV54=inp_used,A54=inp_used_usersel)</f>
        <v>0</v>
      </c>
    </row>
    <row r="55" spans="1:55" s="523" customFormat="1">
      <c r="A55" s="523">
        <v>3</v>
      </c>
      <c r="B55" s="523">
        <v>2</v>
      </c>
      <c r="C55" s="414">
        <v>7</v>
      </c>
      <c r="D55" s="529">
        <v>22.614000000000001</v>
      </c>
      <c r="E55" s="523" t="s">
        <v>188</v>
      </c>
      <c r="F55" s="414">
        <v>11.066000000000001</v>
      </c>
      <c r="G55" s="523" t="s">
        <v>188</v>
      </c>
      <c r="H55" s="557" t="s">
        <v>3139</v>
      </c>
      <c r="I55" s="523" t="s">
        <v>936</v>
      </c>
      <c r="J55" s="414">
        <v>35000</v>
      </c>
      <c r="M55" s="561"/>
      <c r="N55" s="557" t="s">
        <v>194</v>
      </c>
      <c r="O55" s="523">
        <v>20</v>
      </c>
      <c r="Q55" s="561"/>
      <c r="R55" s="557"/>
      <c r="T55" s="559"/>
      <c r="U55" s="559"/>
      <c r="V55" s="559"/>
      <c r="W55" s="560"/>
      <c r="X55" s="559" t="s">
        <v>3491</v>
      </c>
      <c r="Y55" s="414"/>
      <c r="Z55" s="414"/>
      <c r="AA55" s="414"/>
      <c r="AB55" s="557">
        <v>168</v>
      </c>
      <c r="AC55" s="414" t="s">
        <v>2060</v>
      </c>
      <c r="AD55" s="414" t="s">
        <v>2875</v>
      </c>
      <c r="AE55" s="523" t="s">
        <v>2615</v>
      </c>
      <c r="AF55" s="414" t="s">
        <v>500</v>
      </c>
      <c r="AG55" s="557"/>
      <c r="AJ55" s="414"/>
      <c r="AK55" s="523" t="s">
        <v>1932</v>
      </c>
      <c r="AQ55" s="557"/>
      <c r="AV55" s="561"/>
      <c r="AW55" s="414" t="str">
        <f t="shared" si="0"/>
        <v>Perfluorohexane Sulfonate (PFHxS), Gravity</v>
      </c>
      <c r="AX55" s="414" t="b">
        <f t="shared" si="2"/>
        <v>0</v>
      </c>
      <c r="AY55" s="523" t="b">
        <f t="array" ref="AY55">AND(D55:G55=inp_used_minimal,A55=inp_used_usersel)</f>
        <v>0</v>
      </c>
      <c r="AZ55" s="523" t="b">
        <f t="array" ref="AZ55">AND(A55=inp_used_usersel,D55:R55=inp_used_nonvessel1,AB55:AV55=inp_used_nonvessel2,IF(B55=1,inp_used_pressure=inp_autosize_pressure,inp_used_gravity=inp_autosize_gravity))</f>
        <v>0</v>
      </c>
      <c r="BA55" s="523" t="b">
        <f t="array" ref="BA55">AND(D55:AV55=inp_used,A55=inp_used_usersel)</f>
        <v>0</v>
      </c>
    </row>
    <row r="56" spans="1:55" s="563" customFormat="1">
      <c r="A56" s="563">
        <v>3</v>
      </c>
      <c r="B56" s="563">
        <v>2</v>
      </c>
      <c r="C56" s="564">
        <v>8</v>
      </c>
      <c r="D56" s="918">
        <v>75.072000000000003</v>
      </c>
      <c r="E56" s="563" t="s">
        <v>188</v>
      </c>
      <c r="F56" s="564">
        <v>37.536000000000001</v>
      </c>
      <c r="G56" s="563" t="s">
        <v>188</v>
      </c>
      <c r="H56" s="919" t="s">
        <v>3139</v>
      </c>
      <c r="I56" s="563" t="s">
        <v>936</v>
      </c>
      <c r="J56" s="564">
        <v>35000</v>
      </c>
      <c r="M56" s="565"/>
      <c r="N56" s="919" t="s">
        <v>194</v>
      </c>
      <c r="O56" s="563">
        <v>20</v>
      </c>
      <c r="Q56" s="565"/>
      <c r="R56" s="919"/>
      <c r="T56" s="566"/>
      <c r="U56" s="566"/>
      <c r="V56" s="566"/>
      <c r="W56" s="567"/>
      <c r="X56" s="566" t="s">
        <v>3491</v>
      </c>
      <c r="Y56" s="564"/>
      <c r="Z56" s="564"/>
      <c r="AA56" s="554"/>
      <c r="AB56" s="919">
        <v>168</v>
      </c>
      <c r="AC56" s="564" t="s">
        <v>2060</v>
      </c>
      <c r="AD56" s="564" t="s">
        <v>2875</v>
      </c>
      <c r="AE56" s="563" t="s">
        <v>2615</v>
      </c>
      <c r="AF56" s="564" t="s">
        <v>500</v>
      </c>
      <c r="AG56" s="919"/>
      <c r="AJ56" s="564"/>
      <c r="AK56" s="563" t="s">
        <v>1932</v>
      </c>
      <c r="AP56" s="565"/>
      <c r="AQ56" s="919"/>
      <c r="AV56" s="565"/>
      <c r="AW56" s="564" t="str">
        <f t="shared" si="0"/>
        <v>Perfluorohexane Sulfonate (PFHxS), Gravity</v>
      </c>
      <c r="AX56" s="564" t="b">
        <f t="shared" si="2"/>
        <v>0</v>
      </c>
      <c r="AY56" s="563" t="b">
        <f t="array" ref="AY56">AND(D56:G56=inp_used_minimal,A56=inp_used_usersel)</f>
        <v>0</v>
      </c>
      <c r="AZ56" s="563" t="b">
        <f t="array" ref="AZ56">AND(A56=inp_used_usersel,D56:R56=inp_used_nonvessel1,AB56:AV56=inp_used_nonvessel2,IF(B56=1,inp_used_pressure=inp_autosize_pressure,inp_used_gravity=inp_autosize_gravity))</f>
        <v>0</v>
      </c>
      <c r="BA56" s="563" t="b">
        <f t="array" ref="BA56">AND(D56:AV56=inp_used,A56=inp_used_usersel)</f>
        <v>0</v>
      </c>
    </row>
    <row r="57" spans="1:55" s="523" customFormat="1">
      <c r="A57" s="523">
        <v>4</v>
      </c>
      <c r="B57" s="523">
        <v>1</v>
      </c>
      <c r="C57" s="523">
        <v>1</v>
      </c>
      <c r="D57" s="917">
        <v>0.03</v>
      </c>
      <c r="E57" s="523" t="s">
        <v>188</v>
      </c>
      <c r="F57" s="414">
        <v>7.0000000000000001E-3</v>
      </c>
      <c r="G57" s="523" t="s">
        <v>188</v>
      </c>
      <c r="H57" s="917" t="s">
        <v>3139</v>
      </c>
      <c r="I57" s="523" t="s">
        <v>936</v>
      </c>
      <c r="J57" s="414">
        <v>35000</v>
      </c>
      <c r="M57" s="561"/>
      <c r="N57" s="917" t="s">
        <v>194</v>
      </c>
      <c r="O57" s="523">
        <v>20</v>
      </c>
      <c r="Q57" s="561"/>
      <c r="R57" s="917">
        <v>2</v>
      </c>
      <c r="S57" s="523" t="s">
        <v>3491</v>
      </c>
      <c r="T57" s="559"/>
      <c r="V57" s="559"/>
      <c r="W57" s="560"/>
      <c r="X57" s="559"/>
      <c r="Y57" s="559"/>
      <c r="Z57" s="559"/>
      <c r="AA57" s="559"/>
      <c r="AB57" s="917">
        <v>168</v>
      </c>
      <c r="AC57" s="414" t="s">
        <v>2060</v>
      </c>
      <c r="AD57" s="438" t="s">
        <v>497</v>
      </c>
      <c r="AE57" s="523" t="s">
        <v>499</v>
      </c>
      <c r="AF57" s="561"/>
      <c r="AG57" s="917"/>
      <c r="AH57" s="523">
        <v>0</v>
      </c>
      <c r="AI57" s="438"/>
      <c r="AJ57" s="414"/>
      <c r="AK57" s="523" t="s">
        <v>1932</v>
      </c>
      <c r="AQ57" s="917"/>
      <c r="AV57" s="561"/>
      <c r="AW57" s="414" t="str">
        <f t="shared" si="0"/>
        <v>Perfluoroheptanoic Acid (PFHpA), Pressure</v>
      </c>
      <c r="AX57" s="414" t="b">
        <f t="shared" si="2"/>
        <v>0</v>
      </c>
      <c r="AY57" s="523" t="b">
        <f t="array" ref="AY57">AND(D57:G57=inp_used_minimal,A57=inp_used_usersel)</f>
        <v>0</v>
      </c>
      <c r="AZ57" s="523" t="b">
        <f t="array" ref="AZ57">AND(A57=inp_used_usersel,D57:R57=inp_used_nonvessel1,AB57:AV57=inp_used_nonvessel2,IF(B57=1,inp_used_pressure=inp_autosize_pressure,inp_used_gravity=inp_autosize_gravity))</f>
        <v>0</v>
      </c>
      <c r="BA57" s="523" t="b">
        <f t="array" ref="BA57">AND(D57:AV57=inp_used,A57=inp_used_usersel)</f>
        <v>0</v>
      </c>
      <c r="BB57" s="523" t="b">
        <f t="shared" ref="BB57:BC64" si="5">CHOOSE(design_type,AX57,AX65)</f>
        <v>0</v>
      </c>
      <c r="BC57" s="523" t="b">
        <f t="shared" si="5"/>
        <v>0</v>
      </c>
    </row>
    <row r="58" spans="1:55" s="523" customFormat="1">
      <c r="A58" s="523">
        <v>4</v>
      </c>
      <c r="B58" s="523">
        <v>1</v>
      </c>
      <c r="C58" s="523">
        <v>2</v>
      </c>
      <c r="D58" s="557">
        <v>0.124</v>
      </c>
      <c r="E58" s="523" t="s">
        <v>188</v>
      </c>
      <c r="F58" s="414">
        <v>3.5000000000000003E-2</v>
      </c>
      <c r="G58" s="523" t="s">
        <v>188</v>
      </c>
      <c r="H58" s="557" t="s">
        <v>3139</v>
      </c>
      <c r="I58" s="523" t="s">
        <v>936</v>
      </c>
      <c r="J58" s="414">
        <v>35000</v>
      </c>
      <c r="M58" s="561"/>
      <c r="N58" s="557" t="s">
        <v>194</v>
      </c>
      <c r="O58" s="523">
        <v>20</v>
      </c>
      <c r="Q58" s="561"/>
      <c r="R58" s="557">
        <v>2</v>
      </c>
      <c r="S58" s="523" t="s">
        <v>3491</v>
      </c>
      <c r="T58" s="559"/>
      <c r="V58" s="559"/>
      <c r="W58" s="560"/>
      <c r="X58" s="559"/>
      <c r="Y58" s="559"/>
      <c r="Z58" s="559"/>
      <c r="AA58" s="559"/>
      <c r="AB58" s="557">
        <v>168</v>
      </c>
      <c r="AC58" s="414" t="s">
        <v>2060</v>
      </c>
      <c r="AD58" s="438" t="s">
        <v>498</v>
      </c>
      <c r="AE58" s="523" t="s">
        <v>499</v>
      </c>
      <c r="AF58" s="562" t="s">
        <v>500</v>
      </c>
      <c r="AG58" s="557"/>
      <c r="AH58" s="523">
        <v>0</v>
      </c>
      <c r="AI58" s="438"/>
      <c r="AJ58" s="414"/>
      <c r="AK58" s="523" t="s">
        <v>1932</v>
      </c>
      <c r="AQ58" s="557"/>
      <c r="AV58" s="561"/>
      <c r="AW58" s="414" t="str">
        <f t="shared" si="0"/>
        <v>Perfluoroheptanoic Acid (PFHpA), Pressure</v>
      </c>
      <c r="AX58" s="414" t="b">
        <f t="shared" si="2"/>
        <v>0</v>
      </c>
      <c r="AY58" s="523" t="b">
        <f t="array" ref="AY58">AND(D58:G58=inp_used_minimal,A58=inp_used_usersel)</f>
        <v>0</v>
      </c>
      <c r="AZ58" s="523" t="b">
        <f t="array" ref="AZ58">AND(A58=inp_used_usersel,D58:R58=inp_used_nonvessel1,AB58:AV58=inp_used_nonvessel2,IF(B58=1,inp_used_pressure=inp_autosize_pressure,inp_used_gravity=inp_autosize_gravity))</f>
        <v>0</v>
      </c>
      <c r="BA58" s="523" t="b">
        <f t="array" ref="BA58">AND(D58:AV58=inp_used,A58=inp_used_usersel)</f>
        <v>0</v>
      </c>
      <c r="BB58" s="523" t="b">
        <f t="shared" si="5"/>
        <v>0</v>
      </c>
      <c r="BC58" s="523" t="b">
        <f t="shared" si="5"/>
        <v>0</v>
      </c>
    </row>
    <row r="59" spans="1:55" s="523" customFormat="1">
      <c r="A59" s="523">
        <v>4</v>
      </c>
      <c r="B59" s="523">
        <v>1</v>
      </c>
      <c r="C59" s="523">
        <v>3</v>
      </c>
      <c r="D59" s="557">
        <v>0.30499999999999999</v>
      </c>
      <c r="E59" s="523" t="s">
        <v>188</v>
      </c>
      <c r="F59" s="414">
        <v>9.4E-2</v>
      </c>
      <c r="G59" s="523" t="s">
        <v>188</v>
      </c>
      <c r="H59" s="557" t="s">
        <v>3139</v>
      </c>
      <c r="I59" s="523" t="s">
        <v>936</v>
      </c>
      <c r="J59" s="414">
        <v>35000</v>
      </c>
      <c r="M59" s="561"/>
      <c r="N59" s="557" t="s">
        <v>194</v>
      </c>
      <c r="O59" s="523">
        <v>20</v>
      </c>
      <c r="Q59" s="561"/>
      <c r="R59" s="557">
        <v>2</v>
      </c>
      <c r="S59" s="523" t="s">
        <v>3491</v>
      </c>
      <c r="T59" s="559"/>
      <c r="V59" s="559"/>
      <c r="W59" s="560"/>
      <c r="X59" s="559"/>
      <c r="Y59" s="559"/>
      <c r="Z59" s="559"/>
      <c r="AA59" s="559"/>
      <c r="AB59" s="557">
        <v>168</v>
      </c>
      <c r="AC59" s="414" t="s">
        <v>2060</v>
      </c>
      <c r="AD59" s="438" t="s">
        <v>498</v>
      </c>
      <c r="AE59" s="523" t="s">
        <v>499</v>
      </c>
      <c r="AF59" s="562" t="s">
        <v>500</v>
      </c>
      <c r="AG59" s="557"/>
      <c r="AH59" s="523">
        <v>0</v>
      </c>
      <c r="AI59" s="438"/>
      <c r="AJ59" s="414"/>
      <c r="AK59" s="523" t="s">
        <v>1932</v>
      </c>
      <c r="AQ59" s="557"/>
      <c r="AV59" s="561"/>
      <c r="AW59" s="414" t="str">
        <f t="shared" si="0"/>
        <v>Perfluoroheptanoic Acid (PFHpA), Pressure</v>
      </c>
      <c r="AX59" s="414" t="b">
        <f t="shared" si="2"/>
        <v>0</v>
      </c>
      <c r="AY59" s="523" t="b">
        <f t="array" ref="AY59">AND(D59:G59=inp_used_minimal,A59=inp_used_usersel)</f>
        <v>0</v>
      </c>
      <c r="AZ59" s="523" t="b">
        <f t="array" ref="AZ59">AND(A59=inp_used_usersel,D59:R59=inp_used_nonvessel1,AB59:AV59=inp_used_nonvessel2,IF(B59=1,inp_used_pressure=inp_autosize_pressure,inp_used_gravity=inp_autosize_gravity))</f>
        <v>0</v>
      </c>
      <c r="BA59" s="523" t="b">
        <f t="array" ref="BA59">AND(D59:AV59=inp_used,A59=inp_used_usersel)</f>
        <v>0</v>
      </c>
      <c r="BB59" s="523" t="b">
        <f t="shared" si="5"/>
        <v>0</v>
      </c>
      <c r="BC59" s="523" t="b">
        <f t="shared" si="5"/>
        <v>0</v>
      </c>
    </row>
    <row r="60" spans="1:55" s="523" customFormat="1">
      <c r="A60" s="523">
        <v>4</v>
      </c>
      <c r="B60" s="523">
        <v>1</v>
      </c>
      <c r="C60" s="523">
        <v>4</v>
      </c>
      <c r="D60" s="557">
        <v>0.74</v>
      </c>
      <c r="E60" s="523" t="s">
        <v>188</v>
      </c>
      <c r="F60" s="414">
        <v>0.251</v>
      </c>
      <c r="G60" s="523" t="s">
        <v>188</v>
      </c>
      <c r="H60" s="557" t="s">
        <v>3139</v>
      </c>
      <c r="I60" s="523" t="s">
        <v>936</v>
      </c>
      <c r="J60" s="414">
        <v>35000</v>
      </c>
      <c r="M60" s="561"/>
      <c r="N60" s="557" t="s">
        <v>194</v>
      </c>
      <c r="O60" s="523">
        <v>20</v>
      </c>
      <c r="Q60" s="561"/>
      <c r="R60" s="557">
        <v>2</v>
      </c>
      <c r="S60" s="523" t="s">
        <v>3491</v>
      </c>
      <c r="T60" s="559"/>
      <c r="V60" s="559"/>
      <c r="W60" s="560"/>
      <c r="X60" s="559"/>
      <c r="Y60" s="559"/>
      <c r="Z60" s="559"/>
      <c r="AA60" s="559"/>
      <c r="AB60" s="557">
        <v>168</v>
      </c>
      <c r="AC60" s="414" t="s">
        <v>2060</v>
      </c>
      <c r="AD60" s="438" t="s">
        <v>498</v>
      </c>
      <c r="AE60" s="523" t="s">
        <v>499</v>
      </c>
      <c r="AF60" s="562" t="s">
        <v>500</v>
      </c>
      <c r="AG60" s="557"/>
      <c r="AH60" s="523">
        <v>0</v>
      </c>
      <c r="AI60" s="438"/>
      <c r="AJ60" s="414"/>
      <c r="AK60" s="523" t="s">
        <v>1932</v>
      </c>
      <c r="AQ60" s="557"/>
      <c r="AV60" s="561"/>
      <c r="AW60" s="414" t="str">
        <f t="shared" si="0"/>
        <v>Perfluoroheptanoic Acid (PFHpA), Pressure</v>
      </c>
      <c r="AX60" s="414" t="b">
        <f t="shared" si="2"/>
        <v>0</v>
      </c>
      <c r="AY60" s="523" t="b">
        <f t="array" ref="AY60">AND(D60:G60=inp_used_minimal,A60=inp_used_usersel)</f>
        <v>0</v>
      </c>
      <c r="AZ60" s="523" t="b">
        <f t="array" ref="AZ60">AND(A60=inp_used_usersel,D60:R60=inp_used_nonvessel1,AB60:AV60=inp_used_nonvessel2,IF(B60=1,inp_used_pressure=inp_autosize_pressure,inp_used_gravity=inp_autosize_gravity))</f>
        <v>0</v>
      </c>
      <c r="BA60" s="523" t="b">
        <f t="array" ref="BA60">AND(D60:AV60=inp_used,A60=inp_used_usersel)</f>
        <v>0</v>
      </c>
      <c r="BB60" s="523" t="b">
        <f t="shared" si="5"/>
        <v>0</v>
      </c>
      <c r="BC60" s="523" t="b">
        <f t="shared" si="5"/>
        <v>0</v>
      </c>
    </row>
    <row r="61" spans="1:55" s="523" customFormat="1">
      <c r="A61" s="523">
        <v>4</v>
      </c>
      <c r="B61" s="523">
        <v>1</v>
      </c>
      <c r="C61" s="414">
        <v>5</v>
      </c>
      <c r="D61" s="529">
        <v>2.1520000000000001</v>
      </c>
      <c r="E61" s="523" t="s">
        <v>188</v>
      </c>
      <c r="F61" s="414">
        <v>0.81899999999999995</v>
      </c>
      <c r="G61" s="523" t="s">
        <v>188</v>
      </c>
      <c r="H61" s="557" t="s">
        <v>3139</v>
      </c>
      <c r="I61" s="523" t="s">
        <v>936</v>
      </c>
      <c r="J61" s="414">
        <v>35000</v>
      </c>
      <c r="M61" s="561"/>
      <c r="N61" s="557" t="s">
        <v>194</v>
      </c>
      <c r="O61" s="523">
        <v>20</v>
      </c>
      <c r="Q61" s="561"/>
      <c r="R61" s="557">
        <v>2</v>
      </c>
      <c r="S61" s="523" t="s">
        <v>3491</v>
      </c>
      <c r="T61" s="559"/>
      <c r="V61" s="559"/>
      <c r="W61" s="560"/>
      <c r="X61" s="559"/>
      <c r="Y61" s="559"/>
      <c r="Z61" s="559"/>
      <c r="AA61" s="559"/>
      <c r="AB61" s="557">
        <v>168</v>
      </c>
      <c r="AC61" s="414" t="s">
        <v>2060</v>
      </c>
      <c r="AD61" s="438" t="s">
        <v>498</v>
      </c>
      <c r="AE61" s="523" t="s">
        <v>499</v>
      </c>
      <c r="AF61" s="562" t="s">
        <v>500</v>
      </c>
      <c r="AG61" s="557"/>
      <c r="AH61" s="523">
        <v>0</v>
      </c>
      <c r="AJ61" s="414"/>
      <c r="AK61" s="523" t="s">
        <v>1932</v>
      </c>
      <c r="AQ61" s="557"/>
      <c r="AV61" s="561"/>
      <c r="AW61" s="414" t="str">
        <f t="shared" si="0"/>
        <v>Perfluoroheptanoic Acid (PFHpA), Pressure</v>
      </c>
      <c r="AX61" s="414" t="b">
        <f t="shared" si="2"/>
        <v>0</v>
      </c>
      <c r="AY61" s="523" t="b">
        <f t="array" ref="AY61">AND(D61:G61=inp_used_minimal,A61=inp_used_usersel)</f>
        <v>0</v>
      </c>
      <c r="AZ61" s="523" t="b">
        <f t="array" ref="AZ61">AND(A61=inp_used_usersel,D61:R61=inp_used_nonvessel1,AB61:AV61=inp_used_nonvessel2,IF(B61=1,inp_used_pressure=inp_autosize_pressure,inp_used_gravity=inp_autosize_gravity))</f>
        <v>0</v>
      </c>
      <c r="BA61" s="523" t="b">
        <f t="array" ref="BA61">AND(D61:AV61=inp_used,A61=inp_used_usersel)</f>
        <v>0</v>
      </c>
      <c r="BB61" s="523" t="b">
        <f t="shared" si="5"/>
        <v>0</v>
      </c>
      <c r="BC61" s="523" t="b">
        <f t="shared" si="5"/>
        <v>0</v>
      </c>
    </row>
    <row r="62" spans="1:55" s="523" customFormat="1">
      <c r="A62" s="523">
        <v>4</v>
      </c>
      <c r="B62" s="523">
        <v>1</v>
      </c>
      <c r="C62" s="414">
        <v>6</v>
      </c>
      <c r="D62" s="529">
        <v>7.3650000000000002</v>
      </c>
      <c r="E62" s="523" t="s">
        <v>188</v>
      </c>
      <c r="F62" s="414">
        <v>3.2</v>
      </c>
      <c r="G62" s="523" t="s">
        <v>188</v>
      </c>
      <c r="H62" s="557" t="s">
        <v>3139</v>
      </c>
      <c r="I62" s="523" t="s">
        <v>936</v>
      </c>
      <c r="J62" s="414">
        <v>35000</v>
      </c>
      <c r="M62" s="561"/>
      <c r="N62" s="557" t="s">
        <v>194</v>
      </c>
      <c r="O62" s="523">
        <v>20</v>
      </c>
      <c r="Q62" s="561"/>
      <c r="R62" s="557">
        <v>2</v>
      </c>
      <c r="S62" s="523" t="s">
        <v>3491</v>
      </c>
      <c r="T62" s="559"/>
      <c r="V62" s="559"/>
      <c r="W62" s="560"/>
      <c r="X62" s="559"/>
      <c r="Y62" s="559"/>
      <c r="Z62" s="559"/>
      <c r="AA62" s="559"/>
      <c r="AB62" s="557">
        <v>168</v>
      </c>
      <c r="AC62" s="414" t="s">
        <v>2060</v>
      </c>
      <c r="AD62" s="438" t="s">
        <v>498</v>
      </c>
      <c r="AE62" s="523" t="s">
        <v>2615</v>
      </c>
      <c r="AF62" s="562" t="s">
        <v>500</v>
      </c>
      <c r="AG62" s="557"/>
      <c r="AH62" s="523">
        <v>0</v>
      </c>
      <c r="AJ62" s="414"/>
      <c r="AK62" s="523" t="s">
        <v>1932</v>
      </c>
      <c r="AQ62" s="557"/>
      <c r="AV62" s="561"/>
      <c r="AW62" s="414" t="str">
        <f t="shared" si="0"/>
        <v>Perfluoroheptanoic Acid (PFHpA), Pressure</v>
      </c>
      <c r="AX62" s="414" t="b">
        <f t="shared" si="2"/>
        <v>0</v>
      </c>
      <c r="AY62" s="523" t="b">
        <f t="array" ref="AY62">AND(D62:G62=inp_used_minimal,A62=inp_used_usersel)</f>
        <v>0</v>
      </c>
      <c r="AZ62" s="523" t="b">
        <f t="array" ref="AZ62">AND(A62=inp_used_usersel,D62:R62=inp_used_nonvessel1,AB62:AV62=inp_used_nonvessel2,IF(B62=1,inp_used_pressure=inp_autosize_pressure,inp_used_gravity=inp_autosize_gravity))</f>
        <v>0</v>
      </c>
      <c r="BA62" s="523" t="b">
        <f t="array" ref="BA62">AND(D62:AV62=inp_used,A62=inp_used_usersel)</f>
        <v>0</v>
      </c>
      <c r="BB62" s="523" t="b">
        <f t="shared" si="5"/>
        <v>0</v>
      </c>
      <c r="BC62" s="523" t="b">
        <f t="shared" si="5"/>
        <v>0</v>
      </c>
    </row>
    <row r="63" spans="1:55" s="523" customFormat="1">
      <c r="A63" s="523">
        <v>4</v>
      </c>
      <c r="B63" s="523">
        <v>1</v>
      </c>
      <c r="C63" s="414">
        <v>7</v>
      </c>
      <c r="D63" s="529">
        <v>22.614000000000001</v>
      </c>
      <c r="E63" s="523" t="s">
        <v>188</v>
      </c>
      <c r="F63" s="414">
        <v>11.066000000000001</v>
      </c>
      <c r="G63" s="523" t="s">
        <v>188</v>
      </c>
      <c r="H63" s="557" t="s">
        <v>3139</v>
      </c>
      <c r="I63" s="523" t="s">
        <v>936</v>
      </c>
      <c r="J63" s="414">
        <v>35000</v>
      </c>
      <c r="M63" s="561"/>
      <c r="N63" s="557" t="s">
        <v>194</v>
      </c>
      <c r="O63" s="523">
        <v>20</v>
      </c>
      <c r="Q63" s="561"/>
      <c r="R63" s="557">
        <v>2</v>
      </c>
      <c r="S63" s="523" t="s">
        <v>3491</v>
      </c>
      <c r="T63" s="559"/>
      <c r="V63" s="559"/>
      <c r="W63" s="560"/>
      <c r="X63" s="559"/>
      <c r="Y63" s="559"/>
      <c r="Z63" s="559"/>
      <c r="AA63" s="559"/>
      <c r="AB63" s="557">
        <v>168</v>
      </c>
      <c r="AC63" s="414" t="s">
        <v>2060</v>
      </c>
      <c r="AD63" s="438" t="s">
        <v>498</v>
      </c>
      <c r="AE63" s="523" t="s">
        <v>2615</v>
      </c>
      <c r="AF63" s="562" t="s">
        <v>500</v>
      </c>
      <c r="AG63" s="557"/>
      <c r="AH63" s="523">
        <v>0</v>
      </c>
      <c r="AJ63" s="414"/>
      <c r="AK63" s="523" t="s">
        <v>1932</v>
      </c>
      <c r="AQ63" s="557"/>
      <c r="AV63" s="561"/>
      <c r="AW63" s="414" t="str">
        <f t="shared" si="0"/>
        <v>Perfluoroheptanoic Acid (PFHpA), Pressure</v>
      </c>
      <c r="AX63" s="414" t="b">
        <f t="shared" si="2"/>
        <v>0</v>
      </c>
      <c r="AY63" s="523" t="b">
        <f t="array" ref="AY63">AND(D63:G63=inp_used_minimal,A63=inp_used_usersel)</f>
        <v>0</v>
      </c>
      <c r="AZ63" s="523" t="b">
        <f t="array" ref="AZ63">AND(A63=inp_used_usersel,D63:R63=inp_used_nonvessel1,AB63:AV63=inp_used_nonvessel2,IF(B63=1,inp_used_pressure=inp_autosize_pressure,inp_used_gravity=inp_autosize_gravity))</f>
        <v>0</v>
      </c>
      <c r="BA63" s="523" t="b">
        <f t="array" ref="BA63">AND(D63:AV63=inp_used,A63=inp_used_usersel)</f>
        <v>0</v>
      </c>
      <c r="BB63" s="523" t="b">
        <f t="shared" si="5"/>
        <v>0</v>
      </c>
      <c r="BC63" s="523" t="b">
        <f t="shared" si="5"/>
        <v>0</v>
      </c>
    </row>
    <row r="64" spans="1:55" s="563" customFormat="1">
      <c r="A64" s="563">
        <v>4</v>
      </c>
      <c r="B64" s="563">
        <v>1</v>
      </c>
      <c r="C64" s="564">
        <v>8</v>
      </c>
      <c r="D64" s="918">
        <v>75.072000000000003</v>
      </c>
      <c r="E64" s="563" t="s">
        <v>188</v>
      </c>
      <c r="F64" s="564">
        <v>37.536000000000001</v>
      </c>
      <c r="G64" s="563" t="s">
        <v>188</v>
      </c>
      <c r="H64" s="919" t="s">
        <v>3139</v>
      </c>
      <c r="I64" s="563" t="s">
        <v>936</v>
      </c>
      <c r="J64" s="564">
        <v>35000</v>
      </c>
      <c r="M64" s="565"/>
      <c r="N64" s="919" t="s">
        <v>194</v>
      </c>
      <c r="O64" s="563">
        <v>20</v>
      </c>
      <c r="Q64" s="565"/>
      <c r="R64" s="919">
        <v>2</v>
      </c>
      <c r="S64" s="563" t="s">
        <v>3491</v>
      </c>
      <c r="T64" s="566"/>
      <c r="V64" s="566"/>
      <c r="W64" s="567"/>
      <c r="X64" s="566"/>
      <c r="Y64" s="566"/>
      <c r="Z64" s="566"/>
      <c r="AA64" s="567"/>
      <c r="AB64" s="919">
        <v>168</v>
      </c>
      <c r="AC64" s="564" t="s">
        <v>2060</v>
      </c>
      <c r="AD64" s="568" t="s">
        <v>498</v>
      </c>
      <c r="AE64" s="563" t="s">
        <v>2615</v>
      </c>
      <c r="AF64" s="554" t="s">
        <v>500</v>
      </c>
      <c r="AG64" s="919"/>
      <c r="AH64" s="563">
        <v>0</v>
      </c>
      <c r="AJ64" s="564"/>
      <c r="AK64" s="563" t="s">
        <v>1932</v>
      </c>
      <c r="AP64" s="565"/>
      <c r="AQ64" s="919"/>
      <c r="AV64" s="565"/>
      <c r="AW64" s="564" t="str">
        <f t="shared" si="0"/>
        <v>Perfluoroheptanoic Acid (PFHpA), Pressure</v>
      </c>
      <c r="AX64" s="564" t="b">
        <f t="shared" si="2"/>
        <v>0</v>
      </c>
      <c r="AY64" s="563" t="b">
        <f t="array" ref="AY64">AND(D64:G64=inp_used_minimal,A64=inp_used_usersel)</f>
        <v>0</v>
      </c>
      <c r="AZ64" s="563" t="b">
        <f t="array" ref="AZ64">AND(A64=inp_used_usersel,D64:R64=inp_used_nonvessel1,AB64:AV64=inp_used_nonvessel2,IF(B64=1,inp_used_pressure=inp_autosize_pressure,inp_used_gravity=inp_autosize_gravity))</f>
        <v>0</v>
      </c>
      <c r="BA64" s="563" t="b">
        <f t="array" ref="BA64">AND(D64:AV64=inp_used,A64=inp_used_usersel)</f>
        <v>0</v>
      </c>
      <c r="BB64" s="563" t="b">
        <f t="shared" si="5"/>
        <v>0</v>
      </c>
      <c r="BC64" s="563" t="b">
        <f t="shared" si="5"/>
        <v>0</v>
      </c>
    </row>
    <row r="65" spans="1:55" s="523" customFormat="1">
      <c r="A65" s="523">
        <v>4</v>
      </c>
      <c r="B65" s="523">
        <v>2</v>
      </c>
      <c r="C65" s="523">
        <v>1</v>
      </c>
      <c r="D65" s="917">
        <v>0.03</v>
      </c>
      <c r="E65" s="523" t="s">
        <v>188</v>
      </c>
      <c r="F65" s="414">
        <v>7.0000000000000001E-3</v>
      </c>
      <c r="G65" s="523" t="s">
        <v>188</v>
      </c>
      <c r="H65" s="917" t="s">
        <v>3139</v>
      </c>
      <c r="I65" s="523" t="s">
        <v>936</v>
      </c>
      <c r="J65" s="414">
        <v>35000</v>
      </c>
      <c r="M65" s="561"/>
      <c r="N65" s="917" t="s">
        <v>194</v>
      </c>
      <c r="O65" s="523">
        <v>20</v>
      </c>
      <c r="Q65" s="561"/>
      <c r="R65" s="917"/>
      <c r="T65" s="559"/>
      <c r="U65" s="559"/>
      <c r="V65" s="559"/>
      <c r="W65" s="560"/>
      <c r="X65" s="559" t="s">
        <v>3491</v>
      </c>
      <c r="Y65" s="414"/>
      <c r="Z65" s="414"/>
      <c r="AA65" s="414"/>
      <c r="AB65" s="917">
        <v>168</v>
      </c>
      <c r="AC65" s="414" t="s">
        <v>2060</v>
      </c>
      <c r="AD65" s="414" t="s">
        <v>2875</v>
      </c>
      <c r="AE65" s="523" t="s">
        <v>499</v>
      </c>
      <c r="AF65" s="414" t="s">
        <v>500</v>
      </c>
      <c r="AG65" s="917"/>
      <c r="AI65" s="438"/>
      <c r="AJ65" s="414"/>
      <c r="AK65" s="523" t="s">
        <v>1932</v>
      </c>
      <c r="AQ65" s="917"/>
      <c r="AV65" s="561"/>
      <c r="AW65" s="414" t="str">
        <f t="shared" si="0"/>
        <v>Perfluoroheptanoic Acid (PFHpA), Gravity</v>
      </c>
      <c r="AX65" s="414" t="b">
        <f t="shared" si="2"/>
        <v>0</v>
      </c>
      <c r="AY65" s="523" t="b">
        <f t="array" ref="AY65">AND(D65:G65=inp_used_minimal,A65=inp_used_usersel)</f>
        <v>0</v>
      </c>
      <c r="AZ65" s="523" t="b">
        <f t="array" ref="AZ65">AND(A65=inp_used_usersel,D65:R65=inp_used_nonvessel1,AB65:AV65=inp_used_nonvessel2,IF(B65=1,inp_used_pressure=inp_autosize_pressure,inp_used_gravity=inp_autosize_gravity))</f>
        <v>0</v>
      </c>
      <c r="BA65" s="523" t="b">
        <f t="array" ref="BA65">AND(D65:AV65=inp_used,A65=inp_used_usersel)</f>
        <v>0</v>
      </c>
    </row>
    <row r="66" spans="1:55" s="523" customFormat="1">
      <c r="A66" s="523">
        <v>4</v>
      </c>
      <c r="B66" s="523">
        <v>2</v>
      </c>
      <c r="C66" s="523">
        <v>2</v>
      </c>
      <c r="D66" s="557">
        <v>0.124</v>
      </c>
      <c r="E66" s="523" t="s">
        <v>188</v>
      </c>
      <c r="F66" s="414">
        <v>3.5000000000000003E-2</v>
      </c>
      <c r="G66" s="523" t="s">
        <v>188</v>
      </c>
      <c r="H66" s="557" t="s">
        <v>3139</v>
      </c>
      <c r="I66" s="523" t="s">
        <v>936</v>
      </c>
      <c r="J66" s="414">
        <v>35000</v>
      </c>
      <c r="M66" s="561"/>
      <c r="N66" s="557" t="s">
        <v>194</v>
      </c>
      <c r="O66" s="523">
        <v>20</v>
      </c>
      <c r="Q66" s="561"/>
      <c r="R66" s="557"/>
      <c r="T66" s="559"/>
      <c r="U66" s="559"/>
      <c r="V66" s="559"/>
      <c r="W66" s="560"/>
      <c r="X66" s="559" t="s">
        <v>3491</v>
      </c>
      <c r="Y66" s="414"/>
      <c r="Z66" s="414"/>
      <c r="AA66" s="414"/>
      <c r="AB66" s="557">
        <v>168</v>
      </c>
      <c r="AC66" s="414" t="s">
        <v>2060</v>
      </c>
      <c r="AD66" s="414" t="s">
        <v>2875</v>
      </c>
      <c r="AE66" s="523" t="s">
        <v>499</v>
      </c>
      <c r="AF66" s="414" t="s">
        <v>500</v>
      </c>
      <c r="AG66" s="557"/>
      <c r="AI66" s="438"/>
      <c r="AJ66" s="414"/>
      <c r="AK66" s="523" t="s">
        <v>1932</v>
      </c>
      <c r="AQ66" s="557"/>
      <c r="AV66" s="561"/>
      <c r="AW66" s="414" t="str">
        <f t="shared" si="0"/>
        <v>Perfluoroheptanoic Acid (PFHpA), Gravity</v>
      </c>
      <c r="AX66" s="414" t="b">
        <f t="shared" si="2"/>
        <v>0</v>
      </c>
      <c r="AY66" s="523" t="b">
        <f t="array" ref="AY66">AND(D66:G66=inp_used_minimal,A66=inp_used_usersel)</f>
        <v>0</v>
      </c>
      <c r="AZ66" s="523" t="b">
        <f t="array" ref="AZ66">AND(A66=inp_used_usersel,D66:R66=inp_used_nonvessel1,AB66:AV66=inp_used_nonvessel2,IF(B66=1,inp_used_pressure=inp_autosize_pressure,inp_used_gravity=inp_autosize_gravity))</f>
        <v>0</v>
      </c>
      <c r="BA66" s="523" t="b">
        <f t="array" ref="BA66">AND(D66:AV66=inp_used,A66=inp_used_usersel)</f>
        <v>0</v>
      </c>
    </row>
    <row r="67" spans="1:55" s="523" customFormat="1">
      <c r="A67" s="523">
        <v>4</v>
      </c>
      <c r="B67" s="523">
        <v>2</v>
      </c>
      <c r="C67" s="523">
        <v>3</v>
      </c>
      <c r="D67" s="557">
        <v>0.30499999999999999</v>
      </c>
      <c r="E67" s="523" t="s">
        <v>188</v>
      </c>
      <c r="F67" s="414">
        <v>9.4E-2</v>
      </c>
      <c r="G67" s="523" t="s">
        <v>188</v>
      </c>
      <c r="H67" s="557" t="s">
        <v>3139</v>
      </c>
      <c r="I67" s="523" t="s">
        <v>936</v>
      </c>
      <c r="J67" s="414">
        <v>35000</v>
      </c>
      <c r="M67" s="561"/>
      <c r="N67" s="557" t="s">
        <v>194</v>
      </c>
      <c r="O67" s="523">
        <v>20</v>
      </c>
      <c r="Q67" s="561"/>
      <c r="R67" s="557"/>
      <c r="T67" s="559"/>
      <c r="U67" s="559"/>
      <c r="V67" s="559"/>
      <c r="W67" s="560"/>
      <c r="X67" s="559" t="s">
        <v>3491</v>
      </c>
      <c r="Y67" s="414"/>
      <c r="Z67" s="414"/>
      <c r="AA67" s="414"/>
      <c r="AB67" s="557">
        <v>168</v>
      </c>
      <c r="AC67" s="414" t="s">
        <v>2060</v>
      </c>
      <c r="AD67" s="414" t="s">
        <v>2875</v>
      </c>
      <c r="AE67" s="523" t="s">
        <v>499</v>
      </c>
      <c r="AF67" s="414" t="s">
        <v>500</v>
      </c>
      <c r="AG67" s="557"/>
      <c r="AI67" s="438"/>
      <c r="AJ67" s="414"/>
      <c r="AK67" s="523" t="s">
        <v>1932</v>
      </c>
      <c r="AQ67" s="557"/>
      <c r="AV67" s="561"/>
      <c r="AW67" s="414" t="str">
        <f t="shared" si="0"/>
        <v>Perfluoroheptanoic Acid (PFHpA), Gravity</v>
      </c>
      <c r="AX67" s="414" t="b">
        <f t="shared" si="2"/>
        <v>0</v>
      </c>
      <c r="AY67" s="523" t="b">
        <f t="array" ref="AY67">AND(D67:G67=inp_used_minimal,A67=inp_used_usersel)</f>
        <v>0</v>
      </c>
      <c r="AZ67" s="523" t="b">
        <f t="array" ref="AZ67">AND(A67=inp_used_usersel,D67:R67=inp_used_nonvessel1,AB67:AV67=inp_used_nonvessel2,IF(B67=1,inp_used_pressure=inp_autosize_pressure,inp_used_gravity=inp_autosize_gravity))</f>
        <v>0</v>
      </c>
      <c r="BA67" s="523" t="b">
        <f t="array" ref="BA67">AND(D67:AV67=inp_used,A67=inp_used_usersel)</f>
        <v>0</v>
      </c>
    </row>
    <row r="68" spans="1:55" s="523" customFormat="1">
      <c r="A68" s="523">
        <v>4</v>
      </c>
      <c r="B68" s="523">
        <v>2</v>
      </c>
      <c r="C68" s="523">
        <v>4</v>
      </c>
      <c r="D68" s="557">
        <v>0.74</v>
      </c>
      <c r="E68" s="523" t="s">
        <v>188</v>
      </c>
      <c r="F68" s="414">
        <v>0.251</v>
      </c>
      <c r="G68" s="523" t="s">
        <v>188</v>
      </c>
      <c r="H68" s="557" t="s">
        <v>3139</v>
      </c>
      <c r="I68" s="523" t="s">
        <v>936</v>
      </c>
      <c r="J68" s="414">
        <v>35000</v>
      </c>
      <c r="M68" s="561"/>
      <c r="N68" s="557" t="s">
        <v>194</v>
      </c>
      <c r="O68" s="523">
        <v>20</v>
      </c>
      <c r="Q68" s="561"/>
      <c r="R68" s="557"/>
      <c r="T68" s="559"/>
      <c r="U68" s="559"/>
      <c r="V68" s="559"/>
      <c r="W68" s="560"/>
      <c r="X68" s="559" t="s">
        <v>3491</v>
      </c>
      <c r="Y68" s="414"/>
      <c r="Z68" s="414"/>
      <c r="AA68" s="414"/>
      <c r="AB68" s="557">
        <v>168</v>
      </c>
      <c r="AC68" s="414" t="s">
        <v>2060</v>
      </c>
      <c r="AD68" s="414" t="s">
        <v>2875</v>
      </c>
      <c r="AE68" s="523" t="s">
        <v>499</v>
      </c>
      <c r="AF68" s="414" t="s">
        <v>500</v>
      </c>
      <c r="AG68" s="557"/>
      <c r="AI68" s="438"/>
      <c r="AJ68" s="414"/>
      <c r="AK68" s="523" t="s">
        <v>1932</v>
      </c>
      <c r="AQ68" s="557"/>
      <c r="AV68" s="561"/>
      <c r="AW68" s="414" t="str">
        <f t="shared" si="0"/>
        <v>Perfluoroheptanoic Acid (PFHpA), Gravity</v>
      </c>
      <c r="AX68" s="414" t="b">
        <f t="shared" si="2"/>
        <v>0</v>
      </c>
      <c r="AY68" s="523" t="b">
        <f t="array" ref="AY68">AND(D68:G68=inp_used_minimal,A68=inp_used_usersel)</f>
        <v>0</v>
      </c>
      <c r="AZ68" s="523" t="b">
        <f t="array" ref="AZ68">AND(A68=inp_used_usersel,D68:R68=inp_used_nonvessel1,AB68:AV68=inp_used_nonvessel2,IF(B68=1,inp_used_pressure=inp_autosize_pressure,inp_used_gravity=inp_autosize_gravity))</f>
        <v>0</v>
      </c>
      <c r="BA68" s="523" t="b">
        <f t="array" ref="BA68">AND(D68:AV68=inp_used,A68=inp_used_usersel)</f>
        <v>0</v>
      </c>
    </row>
    <row r="69" spans="1:55" s="523" customFormat="1">
      <c r="A69" s="523">
        <v>4</v>
      </c>
      <c r="B69" s="523">
        <v>2</v>
      </c>
      <c r="C69" s="414">
        <v>5</v>
      </c>
      <c r="D69" s="529">
        <v>2.1520000000000001</v>
      </c>
      <c r="E69" s="523" t="s">
        <v>188</v>
      </c>
      <c r="F69" s="414">
        <v>0.81899999999999995</v>
      </c>
      <c r="G69" s="523" t="s">
        <v>188</v>
      </c>
      <c r="H69" s="557" t="s">
        <v>3139</v>
      </c>
      <c r="I69" s="523" t="s">
        <v>936</v>
      </c>
      <c r="J69" s="414">
        <v>35000</v>
      </c>
      <c r="M69" s="561"/>
      <c r="N69" s="557" t="s">
        <v>194</v>
      </c>
      <c r="O69" s="523">
        <v>20</v>
      </c>
      <c r="Q69" s="561"/>
      <c r="R69" s="557"/>
      <c r="T69" s="559"/>
      <c r="U69" s="559"/>
      <c r="V69" s="559"/>
      <c r="W69" s="560"/>
      <c r="X69" s="559" t="s">
        <v>3491</v>
      </c>
      <c r="Y69" s="414"/>
      <c r="Z69" s="414"/>
      <c r="AA69" s="414"/>
      <c r="AB69" s="557">
        <v>168</v>
      </c>
      <c r="AC69" s="414" t="s">
        <v>2060</v>
      </c>
      <c r="AD69" s="414" t="s">
        <v>2875</v>
      </c>
      <c r="AE69" s="523" t="s">
        <v>499</v>
      </c>
      <c r="AF69" s="414" t="s">
        <v>500</v>
      </c>
      <c r="AG69" s="557"/>
      <c r="AJ69" s="414"/>
      <c r="AK69" s="523" t="s">
        <v>1932</v>
      </c>
      <c r="AQ69" s="557"/>
      <c r="AV69" s="561"/>
      <c r="AW69" s="414" t="str">
        <f t="shared" si="0"/>
        <v>Perfluoroheptanoic Acid (PFHpA), Gravity</v>
      </c>
      <c r="AX69" s="414" t="b">
        <f t="shared" si="2"/>
        <v>0</v>
      </c>
      <c r="AY69" s="523" t="b">
        <f t="array" ref="AY69">AND(D69:G69=inp_used_minimal,A69=inp_used_usersel)</f>
        <v>0</v>
      </c>
      <c r="AZ69" s="523" t="b">
        <f t="array" ref="AZ69">AND(A69=inp_used_usersel,D69:R69=inp_used_nonvessel1,AB69:AV69=inp_used_nonvessel2,IF(B69=1,inp_used_pressure=inp_autosize_pressure,inp_used_gravity=inp_autosize_gravity))</f>
        <v>0</v>
      </c>
      <c r="BA69" s="523" t="b">
        <f t="array" ref="BA69">AND(D69:AV69=inp_used,A69=inp_used_usersel)</f>
        <v>0</v>
      </c>
    </row>
    <row r="70" spans="1:55" s="523" customFormat="1">
      <c r="A70" s="523">
        <v>4</v>
      </c>
      <c r="B70" s="523">
        <v>2</v>
      </c>
      <c r="C70" s="414">
        <v>6</v>
      </c>
      <c r="D70" s="529">
        <v>7.3650000000000002</v>
      </c>
      <c r="E70" s="523" t="s">
        <v>188</v>
      </c>
      <c r="F70" s="414">
        <v>3.2</v>
      </c>
      <c r="G70" s="523" t="s">
        <v>188</v>
      </c>
      <c r="H70" s="557" t="s">
        <v>3139</v>
      </c>
      <c r="I70" s="523" t="s">
        <v>936</v>
      </c>
      <c r="J70" s="414">
        <v>35000</v>
      </c>
      <c r="M70" s="561"/>
      <c r="N70" s="557" t="s">
        <v>194</v>
      </c>
      <c r="O70" s="523">
        <v>20</v>
      </c>
      <c r="Q70" s="561"/>
      <c r="R70" s="557"/>
      <c r="T70" s="559"/>
      <c r="U70" s="559"/>
      <c r="V70" s="559"/>
      <c r="W70" s="560"/>
      <c r="X70" s="559" t="s">
        <v>3491</v>
      </c>
      <c r="Y70" s="414"/>
      <c r="Z70" s="414"/>
      <c r="AA70" s="414"/>
      <c r="AB70" s="557">
        <v>168</v>
      </c>
      <c r="AC70" s="414" t="s">
        <v>2060</v>
      </c>
      <c r="AD70" s="414" t="s">
        <v>2875</v>
      </c>
      <c r="AE70" s="523" t="s">
        <v>2615</v>
      </c>
      <c r="AF70" s="414" t="s">
        <v>500</v>
      </c>
      <c r="AG70" s="557"/>
      <c r="AJ70" s="414"/>
      <c r="AK70" s="523" t="s">
        <v>1932</v>
      </c>
      <c r="AQ70" s="557"/>
      <c r="AV70" s="561"/>
      <c r="AW70" s="414" t="str">
        <f t="shared" si="0"/>
        <v>Perfluoroheptanoic Acid (PFHpA), Gravity</v>
      </c>
      <c r="AX70" s="414" t="b">
        <f t="shared" si="2"/>
        <v>0</v>
      </c>
      <c r="AY70" s="523" t="b">
        <f t="array" ref="AY70">AND(D70:G70=inp_used_minimal,A70=inp_used_usersel)</f>
        <v>0</v>
      </c>
      <c r="AZ70" s="523" t="b">
        <f t="array" ref="AZ70">AND(A70=inp_used_usersel,D70:R70=inp_used_nonvessel1,AB70:AV70=inp_used_nonvessel2,IF(B70=1,inp_used_pressure=inp_autosize_pressure,inp_used_gravity=inp_autosize_gravity))</f>
        <v>0</v>
      </c>
      <c r="BA70" s="523" t="b">
        <f t="array" ref="BA70">AND(D70:AV70=inp_used,A70=inp_used_usersel)</f>
        <v>0</v>
      </c>
    </row>
    <row r="71" spans="1:55" s="523" customFormat="1">
      <c r="A71" s="523">
        <v>4</v>
      </c>
      <c r="B71" s="523">
        <v>2</v>
      </c>
      <c r="C71" s="414">
        <v>7</v>
      </c>
      <c r="D71" s="529">
        <v>22.614000000000001</v>
      </c>
      <c r="E71" s="523" t="s">
        <v>188</v>
      </c>
      <c r="F71" s="414">
        <v>11.066000000000001</v>
      </c>
      <c r="G71" s="523" t="s">
        <v>188</v>
      </c>
      <c r="H71" s="557" t="s">
        <v>3139</v>
      </c>
      <c r="I71" s="523" t="s">
        <v>936</v>
      </c>
      <c r="J71" s="414">
        <v>35000</v>
      </c>
      <c r="M71" s="561"/>
      <c r="N71" s="557" t="s">
        <v>194</v>
      </c>
      <c r="O71" s="523">
        <v>20</v>
      </c>
      <c r="Q71" s="561"/>
      <c r="R71" s="557"/>
      <c r="T71" s="559"/>
      <c r="U71" s="559"/>
      <c r="V71" s="559"/>
      <c r="W71" s="560"/>
      <c r="X71" s="559" t="s">
        <v>3491</v>
      </c>
      <c r="Y71" s="414"/>
      <c r="Z71" s="414"/>
      <c r="AA71" s="414"/>
      <c r="AB71" s="557">
        <v>168</v>
      </c>
      <c r="AC71" s="414" t="s">
        <v>2060</v>
      </c>
      <c r="AD71" s="414" t="s">
        <v>2875</v>
      </c>
      <c r="AE71" s="523" t="s">
        <v>2615</v>
      </c>
      <c r="AF71" s="414" t="s">
        <v>500</v>
      </c>
      <c r="AG71" s="557"/>
      <c r="AJ71" s="414"/>
      <c r="AK71" s="523" t="s">
        <v>1932</v>
      </c>
      <c r="AQ71" s="557"/>
      <c r="AV71" s="561"/>
      <c r="AW71" s="414" t="str">
        <f t="shared" si="0"/>
        <v>Perfluoroheptanoic Acid (PFHpA), Gravity</v>
      </c>
      <c r="AX71" s="414" t="b">
        <f t="shared" si="2"/>
        <v>0</v>
      </c>
      <c r="AY71" s="523" t="b">
        <f t="array" ref="AY71">AND(D71:G71=inp_used_minimal,A71=inp_used_usersel)</f>
        <v>0</v>
      </c>
      <c r="AZ71" s="523" t="b">
        <f t="array" ref="AZ71">AND(A71=inp_used_usersel,D71:R71=inp_used_nonvessel1,AB71:AV71=inp_used_nonvessel2,IF(B71=1,inp_used_pressure=inp_autosize_pressure,inp_used_gravity=inp_autosize_gravity))</f>
        <v>0</v>
      </c>
      <c r="BA71" s="523" t="b">
        <f t="array" ref="BA71">AND(D71:AV71=inp_used,A71=inp_used_usersel)</f>
        <v>0</v>
      </c>
    </row>
    <row r="72" spans="1:55" s="563" customFormat="1">
      <c r="A72" s="563">
        <v>4</v>
      </c>
      <c r="B72" s="563">
        <v>2</v>
      </c>
      <c r="C72" s="564">
        <v>8</v>
      </c>
      <c r="D72" s="918">
        <v>75.072000000000003</v>
      </c>
      <c r="E72" s="563" t="s">
        <v>188</v>
      </c>
      <c r="F72" s="564">
        <v>37.536000000000001</v>
      </c>
      <c r="G72" s="563" t="s">
        <v>188</v>
      </c>
      <c r="H72" s="919" t="s">
        <v>3139</v>
      </c>
      <c r="I72" s="563" t="s">
        <v>936</v>
      </c>
      <c r="J72" s="564">
        <v>35000</v>
      </c>
      <c r="M72" s="565"/>
      <c r="N72" s="919" t="s">
        <v>194</v>
      </c>
      <c r="O72" s="563">
        <v>20</v>
      </c>
      <c r="Q72" s="565"/>
      <c r="R72" s="919"/>
      <c r="T72" s="566"/>
      <c r="U72" s="566"/>
      <c r="V72" s="566"/>
      <c r="W72" s="567"/>
      <c r="X72" s="566" t="s">
        <v>3491</v>
      </c>
      <c r="Y72" s="564"/>
      <c r="Z72" s="564"/>
      <c r="AA72" s="554"/>
      <c r="AB72" s="919">
        <v>168</v>
      </c>
      <c r="AC72" s="564" t="s">
        <v>2060</v>
      </c>
      <c r="AD72" s="564" t="s">
        <v>2875</v>
      </c>
      <c r="AE72" s="563" t="s">
        <v>2615</v>
      </c>
      <c r="AF72" s="564" t="s">
        <v>500</v>
      </c>
      <c r="AG72" s="919"/>
      <c r="AJ72" s="564"/>
      <c r="AK72" s="563" t="s">
        <v>1932</v>
      </c>
      <c r="AP72" s="565"/>
      <c r="AQ72" s="919"/>
      <c r="AV72" s="565"/>
      <c r="AW72" s="564" t="str">
        <f t="shared" si="0"/>
        <v>Perfluoroheptanoic Acid (PFHpA), Gravity</v>
      </c>
      <c r="AX72" s="564" t="b">
        <f t="shared" si="2"/>
        <v>0</v>
      </c>
      <c r="AY72" s="563" t="b">
        <f t="array" ref="AY72">AND(D72:G72=inp_used_minimal,A72=inp_used_usersel)</f>
        <v>0</v>
      </c>
      <c r="AZ72" s="563" t="b">
        <f t="array" ref="AZ72">AND(A72=inp_used_usersel,D72:R72=inp_used_nonvessel1,AB72:AV72=inp_used_nonvessel2,IF(B72=1,inp_used_pressure=inp_autosize_pressure,inp_used_gravity=inp_autosize_gravity))</f>
        <v>0</v>
      </c>
      <c r="BA72" s="563" t="b">
        <f t="array" ref="BA72">AND(D72:AV72=inp_used,A72=inp_used_usersel)</f>
        <v>0</v>
      </c>
    </row>
    <row r="73" spans="1:55" s="523" customFormat="1">
      <c r="A73" s="523">
        <v>5</v>
      </c>
      <c r="B73" s="523">
        <v>1</v>
      </c>
      <c r="C73" s="523">
        <v>1</v>
      </c>
      <c r="D73" s="917">
        <v>0.03</v>
      </c>
      <c r="E73" s="523" t="s">
        <v>188</v>
      </c>
      <c r="F73" s="414">
        <v>7.0000000000000001E-3</v>
      </c>
      <c r="G73" s="523" t="s">
        <v>188</v>
      </c>
      <c r="H73" s="917" t="s">
        <v>3139</v>
      </c>
      <c r="I73" s="523" t="s">
        <v>936</v>
      </c>
      <c r="J73" s="414">
        <v>35000</v>
      </c>
      <c r="M73" s="561"/>
      <c r="N73" s="917" t="s">
        <v>194</v>
      </c>
      <c r="O73" s="523">
        <v>20</v>
      </c>
      <c r="Q73" s="561"/>
      <c r="R73" s="917">
        <v>2</v>
      </c>
      <c r="S73" s="523" t="s">
        <v>3491</v>
      </c>
      <c r="T73" s="559"/>
      <c r="V73" s="559"/>
      <c r="W73" s="560"/>
      <c r="X73" s="559"/>
      <c r="Y73" s="559"/>
      <c r="Z73" s="559"/>
      <c r="AA73" s="559"/>
      <c r="AB73" s="917">
        <v>168</v>
      </c>
      <c r="AC73" s="414" t="s">
        <v>2060</v>
      </c>
      <c r="AD73" s="438" t="s">
        <v>497</v>
      </c>
      <c r="AE73" s="523" t="s">
        <v>499</v>
      </c>
      <c r="AF73" s="561"/>
      <c r="AG73" s="917"/>
      <c r="AH73" s="523">
        <v>0</v>
      </c>
      <c r="AI73" s="438"/>
      <c r="AJ73" s="414"/>
      <c r="AK73" s="523" t="s">
        <v>1932</v>
      </c>
      <c r="AQ73" s="917"/>
      <c r="AV73" s="561"/>
      <c r="AW73" s="414" t="str">
        <f t="shared" ref="AW73:AW136" si="6">IF(VLOOKUP(A73,contam_lookup,2,FALSE)="","",VLOOKUP(A73,contam_lookup,2,FALSE))&amp;", "&amp;IF(B73=1,"Pressure","Gravity")</f>
        <v>Perfluorobutane Sulfonate (PFBS), Pressure</v>
      </c>
      <c r="AX73" s="414" t="b">
        <f t="shared" si="2"/>
        <v>0</v>
      </c>
      <c r="AY73" s="523" t="b">
        <f t="array" ref="AY73">AND(D73:G73=inp_used_minimal,A73=inp_used_usersel)</f>
        <v>0</v>
      </c>
      <c r="AZ73" s="523" t="b">
        <f t="array" ref="AZ73">AND(A73=inp_used_usersel,D73:R73=inp_used_nonvessel1,AB73:AV73=inp_used_nonvessel2,IF(B73=1,inp_used_pressure=inp_autosize_pressure,inp_used_gravity=inp_autosize_gravity))</f>
        <v>0</v>
      </c>
      <c r="BA73" s="523" t="b">
        <f t="array" ref="BA73">AND(D73:AV73=inp_used,A73=inp_used_usersel)</f>
        <v>0</v>
      </c>
      <c r="BB73" s="523" t="b">
        <f t="shared" ref="BB73:BC80" si="7">CHOOSE(design_type,AX73,AX81)</f>
        <v>0</v>
      </c>
      <c r="BC73" s="523" t="b">
        <f t="shared" si="7"/>
        <v>0</v>
      </c>
    </row>
    <row r="74" spans="1:55" s="523" customFormat="1">
      <c r="A74" s="523">
        <v>5</v>
      </c>
      <c r="B74" s="523">
        <v>1</v>
      </c>
      <c r="C74" s="523">
        <v>2</v>
      </c>
      <c r="D74" s="557">
        <v>0.124</v>
      </c>
      <c r="E74" s="523" t="s">
        <v>188</v>
      </c>
      <c r="F74" s="414">
        <v>3.5000000000000003E-2</v>
      </c>
      <c r="G74" s="523" t="s">
        <v>188</v>
      </c>
      <c r="H74" s="557" t="s">
        <v>3139</v>
      </c>
      <c r="I74" s="523" t="s">
        <v>936</v>
      </c>
      <c r="J74" s="414">
        <v>35000</v>
      </c>
      <c r="M74" s="561"/>
      <c r="N74" s="557" t="s">
        <v>194</v>
      </c>
      <c r="O74" s="523">
        <v>20</v>
      </c>
      <c r="Q74" s="561"/>
      <c r="R74" s="557">
        <v>2</v>
      </c>
      <c r="S74" s="523" t="s">
        <v>3491</v>
      </c>
      <c r="T74" s="559"/>
      <c r="V74" s="559"/>
      <c r="W74" s="560"/>
      <c r="X74" s="559"/>
      <c r="Y74" s="559"/>
      <c r="Z74" s="559"/>
      <c r="AA74" s="559"/>
      <c r="AB74" s="557">
        <v>168</v>
      </c>
      <c r="AC74" s="414" t="s">
        <v>2060</v>
      </c>
      <c r="AD74" s="438" t="s">
        <v>498</v>
      </c>
      <c r="AE74" s="523" t="s">
        <v>499</v>
      </c>
      <c r="AF74" s="562" t="s">
        <v>500</v>
      </c>
      <c r="AG74" s="557"/>
      <c r="AH74" s="523">
        <v>0</v>
      </c>
      <c r="AI74" s="438"/>
      <c r="AJ74" s="414"/>
      <c r="AK74" s="523" t="s">
        <v>1932</v>
      </c>
      <c r="AQ74" s="557"/>
      <c r="AV74" s="561"/>
      <c r="AW74" s="414" t="str">
        <f t="shared" si="6"/>
        <v>Perfluorobutane Sulfonate (PFBS), Pressure</v>
      </c>
      <c r="AX74" s="414" t="b">
        <f t="shared" ref="AX74:AX169" si="8">IF(OR(S74="yes",X74="yes"),AZ74,BA74)</f>
        <v>0</v>
      </c>
      <c r="AY74" s="523" t="b">
        <f t="array" ref="AY74">AND(D74:G74=inp_used_minimal,A74=inp_used_usersel)</f>
        <v>0</v>
      </c>
      <c r="AZ74" s="523" t="b">
        <f t="array" ref="AZ74">AND(A74=inp_used_usersel,D74:R74=inp_used_nonvessel1,AB74:AV74=inp_used_nonvessel2,IF(B74=1,inp_used_pressure=inp_autosize_pressure,inp_used_gravity=inp_autosize_gravity))</f>
        <v>0</v>
      </c>
      <c r="BA74" s="523" t="b">
        <f t="array" ref="BA74">AND(D74:AV74=inp_used,A74=inp_used_usersel)</f>
        <v>0</v>
      </c>
      <c r="BB74" s="523" t="b">
        <f t="shared" si="7"/>
        <v>0</v>
      </c>
      <c r="BC74" s="523" t="b">
        <f t="shared" si="7"/>
        <v>0</v>
      </c>
    </row>
    <row r="75" spans="1:55" s="523" customFormat="1">
      <c r="A75" s="523">
        <v>5</v>
      </c>
      <c r="B75" s="523">
        <v>1</v>
      </c>
      <c r="C75" s="523">
        <v>3</v>
      </c>
      <c r="D75" s="557">
        <v>0.30499999999999999</v>
      </c>
      <c r="E75" s="523" t="s">
        <v>188</v>
      </c>
      <c r="F75" s="414">
        <v>9.4E-2</v>
      </c>
      <c r="G75" s="523" t="s">
        <v>188</v>
      </c>
      <c r="H75" s="557" t="s">
        <v>3139</v>
      </c>
      <c r="I75" s="523" t="s">
        <v>936</v>
      </c>
      <c r="J75" s="414">
        <v>35000</v>
      </c>
      <c r="M75" s="561"/>
      <c r="N75" s="557" t="s">
        <v>194</v>
      </c>
      <c r="O75" s="523">
        <v>20</v>
      </c>
      <c r="Q75" s="561"/>
      <c r="R75" s="557">
        <v>2</v>
      </c>
      <c r="S75" s="523" t="s">
        <v>3491</v>
      </c>
      <c r="T75" s="559"/>
      <c r="V75" s="559"/>
      <c r="W75" s="560"/>
      <c r="X75" s="559"/>
      <c r="Y75" s="559"/>
      <c r="Z75" s="559"/>
      <c r="AA75" s="559"/>
      <c r="AB75" s="557">
        <v>168</v>
      </c>
      <c r="AC75" s="414" t="s">
        <v>2060</v>
      </c>
      <c r="AD75" s="438" t="s">
        <v>498</v>
      </c>
      <c r="AE75" s="523" t="s">
        <v>499</v>
      </c>
      <c r="AF75" s="562" t="s">
        <v>500</v>
      </c>
      <c r="AG75" s="557"/>
      <c r="AH75" s="523">
        <v>0</v>
      </c>
      <c r="AI75" s="438"/>
      <c r="AJ75" s="414"/>
      <c r="AK75" s="523" t="s">
        <v>1932</v>
      </c>
      <c r="AQ75" s="557"/>
      <c r="AV75" s="561"/>
      <c r="AW75" s="414" t="str">
        <f t="shared" si="6"/>
        <v>Perfluorobutane Sulfonate (PFBS), Pressure</v>
      </c>
      <c r="AX75" s="414" t="b">
        <f t="shared" si="8"/>
        <v>0</v>
      </c>
      <c r="AY75" s="523" t="b">
        <f t="array" ref="AY75">AND(D75:G75=inp_used_minimal,A75=inp_used_usersel)</f>
        <v>0</v>
      </c>
      <c r="AZ75" s="523" t="b">
        <f t="array" ref="AZ75">AND(A75=inp_used_usersel,D75:R75=inp_used_nonvessel1,AB75:AV75=inp_used_nonvessel2,IF(B75=1,inp_used_pressure=inp_autosize_pressure,inp_used_gravity=inp_autosize_gravity))</f>
        <v>0</v>
      </c>
      <c r="BA75" s="523" t="b">
        <f t="array" ref="BA75">AND(D75:AV75=inp_used,A75=inp_used_usersel)</f>
        <v>0</v>
      </c>
      <c r="BB75" s="523" t="b">
        <f t="shared" si="7"/>
        <v>0</v>
      </c>
      <c r="BC75" s="523" t="b">
        <f t="shared" si="7"/>
        <v>0</v>
      </c>
    </row>
    <row r="76" spans="1:55" s="523" customFormat="1">
      <c r="A76" s="523">
        <v>5</v>
      </c>
      <c r="B76" s="523">
        <v>1</v>
      </c>
      <c r="C76" s="523">
        <v>4</v>
      </c>
      <c r="D76" s="557">
        <v>0.74</v>
      </c>
      <c r="E76" s="523" t="s">
        <v>188</v>
      </c>
      <c r="F76" s="414">
        <v>0.251</v>
      </c>
      <c r="G76" s="523" t="s">
        <v>188</v>
      </c>
      <c r="H76" s="557" t="s">
        <v>3139</v>
      </c>
      <c r="I76" s="523" t="s">
        <v>936</v>
      </c>
      <c r="J76" s="414">
        <v>35000</v>
      </c>
      <c r="M76" s="561"/>
      <c r="N76" s="557" t="s">
        <v>194</v>
      </c>
      <c r="O76" s="523">
        <v>20</v>
      </c>
      <c r="Q76" s="561"/>
      <c r="R76" s="557">
        <v>2</v>
      </c>
      <c r="S76" s="523" t="s">
        <v>3491</v>
      </c>
      <c r="T76" s="559"/>
      <c r="V76" s="559"/>
      <c r="W76" s="560"/>
      <c r="X76" s="559"/>
      <c r="Y76" s="559"/>
      <c r="Z76" s="559"/>
      <c r="AA76" s="559"/>
      <c r="AB76" s="557">
        <v>168</v>
      </c>
      <c r="AC76" s="414" t="s">
        <v>2060</v>
      </c>
      <c r="AD76" s="438" t="s">
        <v>498</v>
      </c>
      <c r="AE76" s="523" t="s">
        <v>499</v>
      </c>
      <c r="AF76" s="562" t="s">
        <v>500</v>
      </c>
      <c r="AG76" s="557"/>
      <c r="AH76" s="523">
        <v>0</v>
      </c>
      <c r="AI76" s="438"/>
      <c r="AJ76" s="414"/>
      <c r="AK76" s="523" t="s">
        <v>1932</v>
      </c>
      <c r="AQ76" s="557"/>
      <c r="AV76" s="561"/>
      <c r="AW76" s="414" t="str">
        <f t="shared" si="6"/>
        <v>Perfluorobutane Sulfonate (PFBS), Pressure</v>
      </c>
      <c r="AX76" s="414" t="b">
        <f t="shared" si="8"/>
        <v>0</v>
      </c>
      <c r="AY76" s="523" t="b">
        <f t="array" ref="AY76">AND(D76:G76=inp_used_minimal,A76=inp_used_usersel)</f>
        <v>0</v>
      </c>
      <c r="AZ76" s="523" t="b">
        <f t="array" ref="AZ76">AND(A76=inp_used_usersel,D76:R76=inp_used_nonvessel1,AB76:AV76=inp_used_nonvessel2,IF(B76=1,inp_used_pressure=inp_autosize_pressure,inp_used_gravity=inp_autosize_gravity))</f>
        <v>0</v>
      </c>
      <c r="BA76" s="523" t="b">
        <f t="array" ref="BA76">AND(D76:AV76=inp_used,A76=inp_used_usersel)</f>
        <v>0</v>
      </c>
      <c r="BB76" s="523" t="b">
        <f t="shared" si="7"/>
        <v>0</v>
      </c>
      <c r="BC76" s="523" t="b">
        <f t="shared" si="7"/>
        <v>0</v>
      </c>
    </row>
    <row r="77" spans="1:55" s="523" customFormat="1">
      <c r="A77" s="523">
        <v>5</v>
      </c>
      <c r="B77" s="523">
        <v>1</v>
      </c>
      <c r="C77" s="414">
        <v>5</v>
      </c>
      <c r="D77" s="529">
        <v>2.1520000000000001</v>
      </c>
      <c r="E77" s="523" t="s">
        <v>188</v>
      </c>
      <c r="F77" s="414">
        <v>0.81899999999999995</v>
      </c>
      <c r="G77" s="523" t="s">
        <v>188</v>
      </c>
      <c r="H77" s="557" t="s">
        <v>3139</v>
      </c>
      <c r="I77" s="523" t="s">
        <v>936</v>
      </c>
      <c r="J77" s="414">
        <v>35000</v>
      </c>
      <c r="M77" s="561"/>
      <c r="N77" s="557" t="s">
        <v>194</v>
      </c>
      <c r="O77" s="523">
        <v>20</v>
      </c>
      <c r="Q77" s="561"/>
      <c r="R77" s="557">
        <v>2</v>
      </c>
      <c r="S77" s="523" t="s">
        <v>3491</v>
      </c>
      <c r="T77" s="559"/>
      <c r="V77" s="559"/>
      <c r="W77" s="560"/>
      <c r="X77" s="559"/>
      <c r="Y77" s="559"/>
      <c r="Z77" s="559"/>
      <c r="AA77" s="559"/>
      <c r="AB77" s="557">
        <v>168</v>
      </c>
      <c r="AC77" s="414" t="s">
        <v>2060</v>
      </c>
      <c r="AD77" s="438" t="s">
        <v>498</v>
      </c>
      <c r="AE77" s="523" t="s">
        <v>499</v>
      </c>
      <c r="AF77" s="562" t="s">
        <v>500</v>
      </c>
      <c r="AG77" s="557"/>
      <c r="AH77" s="523">
        <v>0</v>
      </c>
      <c r="AJ77" s="414"/>
      <c r="AK77" s="523" t="s">
        <v>1932</v>
      </c>
      <c r="AQ77" s="557"/>
      <c r="AV77" s="561"/>
      <c r="AW77" s="414" t="str">
        <f t="shared" si="6"/>
        <v>Perfluorobutane Sulfonate (PFBS), Pressure</v>
      </c>
      <c r="AX77" s="414" t="b">
        <f t="shared" si="8"/>
        <v>0</v>
      </c>
      <c r="AY77" s="523" t="b">
        <f t="array" ref="AY77">AND(D77:G77=inp_used_minimal,A77=inp_used_usersel)</f>
        <v>0</v>
      </c>
      <c r="AZ77" s="523" t="b">
        <f t="array" ref="AZ77">AND(A77=inp_used_usersel,D77:R77=inp_used_nonvessel1,AB77:AV77=inp_used_nonvessel2,IF(B77=1,inp_used_pressure=inp_autosize_pressure,inp_used_gravity=inp_autosize_gravity))</f>
        <v>0</v>
      </c>
      <c r="BA77" s="523" t="b">
        <f t="array" ref="BA77">AND(D77:AV77=inp_used,A77=inp_used_usersel)</f>
        <v>0</v>
      </c>
      <c r="BB77" s="523" t="b">
        <f t="shared" si="7"/>
        <v>0</v>
      </c>
      <c r="BC77" s="523" t="b">
        <f t="shared" si="7"/>
        <v>0</v>
      </c>
    </row>
    <row r="78" spans="1:55" s="523" customFormat="1">
      <c r="A78" s="523">
        <v>5</v>
      </c>
      <c r="B78" s="523">
        <v>1</v>
      </c>
      <c r="C78" s="414">
        <v>6</v>
      </c>
      <c r="D78" s="529">
        <v>7.3650000000000002</v>
      </c>
      <c r="E78" s="523" t="s">
        <v>188</v>
      </c>
      <c r="F78" s="414">
        <v>3.2</v>
      </c>
      <c r="G78" s="523" t="s">
        <v>188</v>
      </c>
      <c r="H78" s="557" t="s">
        <v>3139</v>
      </c>
      <c r="I78" s="523" t="s">
        <v>936</v>
      </c>
      <c r="J78" s="414">
        <v>35000</v>
      </c>
      <c r="M78" s="561"/>
      <c r="N78" s="557" t="s">
        <v>194</v>
      </c>
      <c r="O78" s="523">
        <v>20</v>
      </c>
      <c r="Q78" s="561"/>
      <c r="R78" s="557">
        <v>2</v>
      </c>
      <c r="S78" s="523" t="s">
        <v>3491</v>
      </c>
      <c r="T78" s="559"/>
      <c r="V78" s="559"/>
      <c r="W78" s="560"/>
      <c r="X78" s="559"/>
      <c r="Y78" s="559"/>
      <c r="Z78" s="559"/>
      <c r="AA78" s="559"/>
      <c r="AB78" s="557">
        <v>168</v>
      </c>
      <c r="AC78" s="414" t="s">
        <v>2060</v>
      </c>
      <c r="AD78" s="438" t="s">
        <v>498</v>
      </c>
      <c r="AE78" s="523" t="s">
        <v>2615</v>
      </c>
      <c r="AF78" s="562" t="s">
        <v>500</v>
      </c>
      <c r="AG78" s="557"/>
      <c r="AH78" s="523">
        <v>0</v>
      </c>
      <c r="AJ78" s="414"/>
      <c r="AK78" s="523" t="s">
        <v>1932</v>
      </c>
      <c r="AQ78" s="557"/>
      <c r="AV78" s="561"/>
      <c r="AW78" s="414" t="str">
        <f t="shared" si="6"/>
        <v>Perfluorobutane Sulfonate (PFBS), Pressure</v>
      </c>
      <c r="AX78" s="414" t="b">
        <f t="shared" si="8"/>
        <v>0</v>
      </c>
      <c r="AY78" s="523" t="b">
        <f t="array" ref="AY78">AND(D78:G78=inp_used_minimal,A78=inp_used_usersel)</f>
        <v>0</v>
      </c>
      <c r="AZ78" s="523" t="b">
        <f t="array" ref="AZ78">AND(A78=inp_used_usersel,D78:R78=inp_used_nonvessel1,AB78:AV78=inp_used_nonvessel2,IF(B78=1,inp_used_pressure=inp_autosize_pressure,inp_used_gravity=inp_autosize_gravity))</f>
        <v>0</v>
      </c>
      <c r="BA78" s="523" t="b">
        <f t="array" ref="BA78">AND(D78:AV78=inp_used,A78=inp_used_usersel)</f>
        <v>0</v>
      </c>
      <c r="BB78" s="523" t="b">
        <f t="shared" si="7"/>
        <v>0</v>
      </c>
      <c r="BC78" s="523" t="b">
        <f t="shared" si="7"/>
        <v>0</v>
      </c>
    </row>
    <row r="79" spans="1:55" s="523" customFormat="1">
      <c r="A79" s="523">
        <v>5</v>
      </c>
      <c r="B79" s="523">
        <v>1</v>
      </c>
      <c r="C79" s="414">
        <v>7</v>
      </c>
      <c r="D79" s="529">
        <v>22.614000000000001</v>
      </c>
      <c r="E79" s="523" t="s">
        <v>188</v>
      </c>
      <c r="F79" s="414">
        <v>11.066000000000001</v>
      </c>
      <c r="G79" s="523" t="s">
        <v>188</v>
      </c>
      <c r="H79" s="557" t="s">
        <v>3139</v>
      </c>
      <c r="I79" s="523" t="s">
        <v>936</v>
      </c>
      <c r="J79" s="414">
        <v>35000</v>
      </c>
      <c r="M79" s="561"/>
      <c r="N79" s="557" t="s">
        <v>194</v>
      </c>
      <c r="O79" s="523">
        <v>20</v>
      </c>
      <c r="Q79" s="561"/>
      <c r="R79" s="557">
        <v>2</v>
      </c>
      <c r="S79" s="523" t="s">
        <v>3491</v>
      </c>
      <c r="T79" s="559"/>
      <c r="V79" s="559"/>
      <c r="W79" s="560"/>
      <c r="X79" s="559"/>
      <c r="Y79" s="559"/>
      <c r="Z79" s="559"/>
      <c r="AA79" s="559"/>
      <c r="AB79" s="557">
        <v>168</v>
      </c>
      <c r="AC79" s="414" t="s">
        <v>2060</v>
      </c>
      <c r="AD79" s="438" t="s">
        <v>498</v>
      </c>
      <c r="AE79" s="523" t="s">
        <v>2615</v>
      </c>
      <c r="AF79" s="562" t="s">
        <v>500</v>
      </c>
      <c r="AG79" s="557"/>
      <c r="AH79" s="523">
        <v>0</v>
      </c>
      <c r="AJ79" s="414"/>
      <c r="AK79" s="523" t="s">
        <v>1932</v>
      </c>
      <c r="AQ79" s="557"/>
      <c r="AV79" s="561"/>
      <c r="AW79" s="414" t="str">
        <f t="shared" si="6"/>
        <v>Perfluorobutane Sulfonate (PFBS), Pressure</v>
      </c>
      <c r="AX79" s="414" t="b">
        <f t="shared" si="8"/>
        <v>0</v>
      </c>
      <c r="AY79" s="523" t="b">
        <f t="array" ref="AY79">AND(D79:G79=inp_used_minimal,A79=inp_used_usersel)</f>
        <v>0</v>
      </c>
      <c r="AZ79" s="523" t="b">
        <f t="array" ref="AZ79">AND(A79=inp_used_usersel,D79:R79=inp_used_nonvessel1,AB79:AV79=inp_used_nonvessel2,IF(B79=1,inp_used_pressure=inp_autosize_pressure,inp_used_gravity=inp_autosize_gravity))</f>
        <v>0</v>
      </c>
      <c r="BA79" s="523" t="b">
        <f t="array" ref="BA79">AND(D79:AV79=inp_used,A79=inp_used_usersel)</f>
        <v>0</v>
      </c>
      <c r="BB79" s="523" t="b">
        <f t="shared" si="7"/>
        <v>0</v>
      </c>
      <c r="BC79" s="523" t="b">
        <f t="shared" si="7"/>
        <v>0</v>
      </c>
    </row>
    <row r="80" spans="1:55" s="563" customFormat="1">
      <c r="A80" s="563">
        <v>5</v>
      </c>
      <c r="B80" s="563">
        <v>1</v>
      </c>
      <c r="C80" s="564">
        <v>8</v>
      </c>
      <c r="D80" s="918">
        <v>75.072000000000003</v>
      </c>
      <c r="E80" s="563" t="s">
        <v>188</v>
      </c>
      <c r="F80" s="564">
        <v>37.536000000000001</v>
      </c>
      <c r="G80" s="563" t="s">
        <v>188</v>
      </c>
      <c r="H80" s="919" t="s">
        <v>3139</v>
      </c>
      <c r="I80" s="563" t="s">
        <v>936</v>
      </c>
      <c r="J80" s="564">
        <v>35000</v>
      </c>
      <c r="M80" s="565"/>
      <c r="N80" s="919" t="s">
        <v>194</v>
      </c>
      <c r="O80" s="563">
        <v>20</v>
      </c>
      <c r="Q80" s="565"/>
      <c r="R80" s="919">
        <v>2</v>
      </c>
      <c r="S80" s="563" t="s">
        <v>3491</v>
      </c>
      <c r="T80" s="566"/>
      <c r="V80" s="566"/>
      <c r="W80" s="567"/>
      <c r="X80" s="566"/>
      <c r="Y80" s="566"/>
      <c r="Z80" s="566"/>
      <c r="AA80" s="567"/>
      <c r="AB80" s="919">
        <v>168</v>
      </c>
      <c r="AC80" s="564" t="s">
        <v>2060</v>
      </c>
      <c r="AD80" s="568" t="s">
        <v>498</v>
      </c>
      <c r="AE80" s="563" t="s">
        <v>2615</v>
      </c>
      <c r="AF80" s="554" t="s">
        <v>500</v>
      </c>
      <c r="AG80" s="919"/>
      <c r="AH80" s="563">
        <v>0</v>
      </c>
      <c r="AJ80" s="564"/>
      <c r="AK80" s="563" t="s">
        <v>1932</v>
      </c>
      <c r="AP80" s="565"/>
      <c r="AQ80" s="919"/>
      <c r="AV80" s="565"/>
      <c r="AW80" s="564" t="str">
        <f t="shared" si="6"/>
        <v>Perfluorobutane Sulfonate (PFBS), Pressure</v>
      </c>
      <c r="AX80" s="564" t="b">
        <f t="shared" si="8"/>
        <v>0</v>
      </c>
      <c r="AY80" s="563" t="b">
        <f t="array" ref="AY80">AND(D80:G80=inp_used_minimal,A80=inp_used_usersel)</f>
        <v>0</v>
      </c>
      <c r="AZ80" s="563" t="b">
        <f t="array" ref="AZ80">AND(A80=inp_used_usersel,D80:R80=inp_used_nonvessel1,AB80:AV80=inp_used_nonvessel2,IF(B80=1,inp_used_pressure=inp_autosize_pressure,inp_used_gravity=inp_autosize_gravity))</f>
        <v>0</v>
      </c>
      <c r="BA80" s="563" t="b">
        <f t="array" ref="BA80">AND(D80:AV80=inp_used,A80=inp_used_usersel)</f>
        <v>0</v>
      </c>
      <c r="BB80" s="563" t="b">
        <f t="shared" si="7"/>
        <v>0</v>
      </c>
      <c r="BC80" s="563" t="b">
        <f t="shared" si="7"/>
        <v>0</v>
      </c>
    </row>
    <row r="81" spans="1:55" s="523" customFormat="1">
      <c r="A81" s="523">
        <v>5</v>
      </c>
      <c r="B81" s="523">
        <v>2</v>
      </c>
      <c r="C81" s="523">
        <v>1</v>
      </c>
      <c r="D81" s="917">
        <v>0.03</v>
      </c>
      <c r="E81" s="523" t="s">
        <v>188</v>
      </c>
      <c r="F81" s="414">
        <v>7.0000000000000001E-3</v>
      </c>
      <c r="G81" s="523" t="s">
        <v>188</v>
      </c>
      <c r="H81" s="917" t="s">
        <v>3139</v>
      </c>
      <c r="I81" s="523" t="s">
        <v>936</v>
      </c>
      <c r="J81" s="414">
        <v>35000</v>
      </c>
      <c r="M81" s="561"/>
      <c r="N81" s="917" t="s">
        <v>194</v>
      </c>
      <c r="O81" s="523">
        <v>20</v>
      </c>
      <c r="Q81" s="561"/>
      <c r="R81" s="917"/>
      <c r="T81" s="559"/>
      <c r="U81" s="559"/>
      <c r="V81" s="559"/>
      <c r="W81" s="560"/>
      <c r="X81" s="559" t="s">
        <v>3491</v>
      </c>
      <c r="Y81" s="414"/>
      <c r="Z81" s="414"/>
      <c r="AA81" s="414"/>
      <c r="AB81" s="917">
        <v>168</v>
      </c>
      <c r="AC81" s="414" t="s">
        <v>2060</v>
      </c>
      <c r="AD81" s="414" t="s">
        <v>2875</v>
      </c>
      <c r="AE81" s="523" t="s">
        <v>499</v>
      </c>
      <c r="AF81" s="414" t="s">
        <v>500</v>
      </c>
      <c r="AG81" s="917"/>
      <c r="AI81" s="438"/>
      <c r="AJ81" s="414"/>
      <c r="AK81" s="523" t="s">
        <v>1932</v>
      </c>
      <c r="AQ81" s="917"/>
      <c r="AV81" s="561"/>
      <c r="AW81" s="414" t="str">
        <f t="shared" si="6"/>
        <v>Perfluorobutane Sulfonate (PFBS), Gravity</v>
      </c>
      <c r="AX81" s="414" t="b">
        <f t="shared" si="8"/>
        <v>0</v>
      </c>
      <c r="AY81" s="523" t="b">
        <f t="array" ref="AY81">AND(D81:G81=inp_used_minimal,A81=inp_used_usersel)</f>
        <v>0</v>
      </c>
      <c r="AZ81" s="523" t="b">
        <f t="array" ref="AZ81">AND(A81=inp_used_usersel,D81:R81=inp_used_nonvessel1,AB81:AV81=inp_used_nonvessel2,IF(B81=1,inp_used_pressure=inp_autosize_pressure,inp_used_gravity=inp_autosize_gravity))</f>
        <v>0</v>
      </c>
      <c r="BA81" s="523" t="b">
        <f t="array" ref="BA81">AND(D81:AV81=inp_used,A81=inp_used_usersel)</f>
        <v>0</v>
      </c>
    </row>
    <row r="82" spans="1:55" s="523" customFormat="1">
      <c r="A82" s="523">
        <v>5</v>
      </c>
      <c r="B82" s="523">
        <v>2</v>
      </c>
      <c r="C82" s="523">
        <v>2</v>
      </c>
      <c r="D82" s="557">
        <v>0.124</v>
      </c>
      <c r="E82" s="523" t="s">
        <v>188</v>
      </c>
      <c r="F82" s="414">
        <v>3.5000000000000003E-2</v>
      </c>
      <c r="G82" s="523" t="s">
        <v>188</v>
      </c>
      <c r="H82" s="557" t="s">
        <v>3139</v>
      </c>
      <c r="I82" s="523" t="s">
        <v>936</v>
      </c>
      <c r="J82" s="414">
        <v>35000</v>
      </c>
      <c r="M82" s="561"/>
      <c r="N82" s="557" t="s">
        <v>194</v>
      </c>
      <c r="O82" s="523">
        <v>20</v>
      </c>
      <c r="Q82" s="561"/>
      <c r="R82" s="557"/>
      <c r="T82" s="559"/>
      <c r="U82" s="559"/>
      <c r="V82" s="559"/>
      <c r="W82" s="560"/>
      <c r="X82" s="559" t="s">
        <v>3491</v>
      </c>
      <c r="Y82" s="414"/>
      <c r="Z82" s="414"/>
      <c r="AA82" s="414"/>
      <c r="AB82" s="557">
        <v>168</v>
      </c>
      <c r="AC82" s="414" t="s">
        <v>2060</v>
      </c>
      <c r="AD82" s="414" t="s">
        <v>2875</v>
      </c>
      <c r="AE82" s="523" t="s">
        <v>499</v>
      </c>
      <c r="AF82" s="414" t="s">
        <v>500</v>
      </c>
      <c r="AG82" s="557"/>
      <c r="AI82" s="438"/>
      <c r="AJ82" s="414"/>
      <c r="AK82" s="523" t="s">
        <v>1932</v>
      </c>
      <c r="AQ82" s="557"/>
      <c r="AV82" s="561"/>
      <c r="AW82" s="414" t="str">
        <f t="shared" si="6"/>
        <v>Perfluorobutane Sulfonate (PFBS), Gravity</v>
      </c>
      <c r="AX82" s="414" t="b">
        <f t="shared" si="8"/>
        <v>0</v>
      </c>
      <c r="AY82" s="523" t="b">
        <f t="array" ref="AY82">AND(D82:G82=inp_used_minimal,A82=inp_used_usersel)</f>
        <v>0</v>
      </c>
      <c r="AZ82" s="523" t="b">
        <f t="array" ref="AZ82">AND(A82=inp_used_usersel,D82:R82=inp_used_nonvessel1,AB82:AV82=inp_used_nonvessel2,IF(B82=1,inp_used_pressure=inp_autosize_pressure,inp_used_gravity=inp_autosize_gravity))</f>
        <v>0</v>
      </c>
      <c r="BA82" s="523" t="b">
        <f t="array" ref="BA82">AND(D82:AV82=inp_used,A82=inp_used_usersel)</f>
        <v>0</v>
      </c>
    </row>
    <row r="83" spans="1:55" s="523" customFormat="1">
      <c r="A83" s="523">
        <v>5</v>
      </c>
      <c r="B83" s="523">
        <v>2</v>
      </c>
      <c r="C83" s="523">
        <v>3</v>
      </c>
      <c r="D83" s="557">
        <v>0.30499999999999999</v>
      </c>
      <c r="E83" s="523" t="s">
        <v>188</v>
      </c>
      <c r="F83" s="414">
        <v>9.4E-2</v>
      </c>
      <c r="G83" s="523" t="s">
        <v>188</v>
      </c>
      <c r="H83" s="557" t="s">
        <v>3139</v>
      </c>
      <c r="I83" s="523" t="s">
        <v>936</v>
      </c>
      <c r="J83" s="414">
        <v>35000</v>
      </c>
      <c r="M83" s="561"/>
      <c r="N83" s="557" t="s">
        <v>194</v>
      </c>
      <c r="O83" s="523">
        <v>20</v>
      </c>
      <c r="Q83" s="561"/>
      <c r="R83" s="557"/>
      <c r="T83" s="559"/>
      <c r="U83" s="559"/>
      <c r="V83" s="559"/>
      <c r="W83" s="560"/>
      <c r="X83" s="559" t="s">
        <v>3491</v>
      </c>
      <c r="Y83" s="414"/>
      <c r="Z83" s="414"/>
      <c r="AA83" s="414"/>
      <c r="AB83" s="557">
        <v>168</v>
      </c>
      <c r="AC83" s="414" t="s">
        <v>2060</v>
      </c>
      <c r="AD83" s="414" t="s">
        <v>2875</v>
      </c>
      <c r="AE83" s="523" t="s">
        <v>499</v>
      </c>
      <c r="AF83" s="414" t="s">
        <v>500</v>
      </c>
      <c r="AG83" s="557"/>
      <c r="AI83" s="438"/>
      <c r="AJ83" s="414"/>
      <c r="AK83" s="523" t="s">
        <v>1932</v>
      </c>
      <c r="AQ83" s="557"/>
      <c r="AV83" s="561"/>
      <c r="AW83" s="414" t="str">
        <f t="shared" si="6"/>
        <v>Perfluorobutane Sulfonate (PFBS), Gravity</v>
      </c>
      <c r="AX83" s="414" t="b">
        <f t="shared" si="8"/>
        <v>0</v>
      </c>
      <c r="AY83" s="523" t="b">
        <f t="array" ref="AY83">AND(D83:G83=inp_used_minimal,A83=inp_used_usersel)</f>
        <v>0</v>
      </c>
      <c r="AZ83" s="523" t="b">
        <f t="array" ref="AZ83">AND(A83=inp_used_usersel,D83:R83=inp_used_nonvessel1,AB83:AV83=inp_used_nonvessel2,IF(B83=1,inp_used_pressure=inp_autosize_pressure,inp_used_gravity=inp_autosize_gravity))</f>
        <v>0</v>
      </c>
      <c r="BA83" s="523" t="b">
        <f t="array" ref="BA83">AND(D83:AV83=inp_used,A83=inp_used_usersel)</f>
        <v>0</v>
      </c>
    </row>
    <row r="84" spans="1:55" s="523" customFormat="1">
      <c r="A84" s="523">
        <v>5</v>
      </c>
      <c r="B84" s="523">
        <v>2</v>
      </c>
      <c r="C84" s="523">
        <v>4</v>
      </c>
      <c r="D84" s="557">
        <v>0.74</v>
      </c>
      <c r="E84" s="523" t="s">
        <v>188</v>
      </c>
      <c r="F84" s="414">
        <v>0.251</v>
      </c>
      <c r="G84" s="523" t="s">
        <v>188</v>
      </c>
      <c r="H84" s="557" t="s">
        <v>3139</v>
      </c>
      <c r="I84" s="523" t="s">
        <v>936</v>
      </c>
      <c r="J84" s="414">
        <v>35000</v>
      </c>
      <c r="M84" s="561"/>
      <c r="N84" s="557" t="s">
        <v>194</v>
      </c>
      <c r="O84" s="523">
        <v>20</v>
      </c>
      <c r="Q84" s="561"/>
      <c r="R84" s="557"/>
      <c r="T84" s="559"/>
      <c r="U84" s="559"/>
      <c r="V84" s="559"/>
      <c r="W84" s="560"/>
      <c r="X84" s="559" t="s">
        <v>3491</v>
      </c>
      <c r="Y84" s="414"/>
      <c r="Z84" s="414"/>
      <c r="AA84" s="414"/>
      <c r="AB84" s="557">
        <v>168</v>
      </c>
      <c r="AC84" s="414" t="s">
        <v>2060</v>
      </c>
      <c r="AD84" s="414" t="s">
        <v>2875</v>
      </c>
      <c r="AE84" s="523" t="s">
        <v>499</v>
      </c>
      <c r="AF84" s="414" t="s">
        <v>500</v>
      </c>
      <c r="AG84" s="557"/>
      <c r="AI84" s="438"/>
      <c r="AJ84" s="414"/>
      <c r="AK84" s="523" t="s">
        <v>1932</v>
      </c>
      <c r="AQ84" s="557"/>
      <c r="AV84" s="561"/>
      <c r="AW84" s="414" t="str">
        <f t="shared" si="6"/>
        <v>Perfluorobutane Sulfonate (PFBS), Gravity</v>
      </c>
      <c r="AX84" s="414" t="b">
        <f t="shared" si="8"/>
        <v>0</v>
      </c>
      <c r="AY84" s="523" t="b">
        <f t="array" ref="AY84">AND(D84:G84=inp_used_minimal,A84=inp_used_usersel)</f>
        <v>0</v>
      </c>
      <c r="AZ84" s="523" t="b">
        <f t="array" ref="AZ84">AND(A84=inp_used_usersel,D84:R84=inp_used_nonvessel1,AB84:AV84=inp_used_nonvessel2,IF(B84=1,inp_used_pressure=inp_autosize_pressure,inp_used_gravity=inp_autosize_gravity))</f>
        <v>0</v>
      </c>
      <c r="BA84" s="523" t="b">
        <f t="array" ref="BA84">AND(D84:AV84=inp_used,A84=inp_used_usersel)</f>
        <v>0</v>
      </c>
    </row>
    <row r="85" spans="1:55" s="523" customFormat="1">
      <c r="A85" s="523">
        <v>5</v>
      </c>
      <c r="B85" s="523">
        <v>2</v>
      </c>
      <c r="C85" s="414">
        <v>5</v>
      </c>
      <c r="D85" s="529">
        <v>2.1520000000000001</v>
      </c>
      <c r="E85" s="523" t="s">
        <v>188</v>
      </c>
      <c r="F85" s="414">
        <v>0.81899999999999995</v>
      </c>
      <c r="G85" s="523" t="s">
        <v>188</v>
      </c>
      <c r="H85" s="557" t="s">
        <v>3139</v>
      </c>
      <c r="I85" s="523" t="s">
        <v>936</v>
      </c>
      <c r="J85" s="414">
        <v>35000</v>
      </c>
      <c r="M85" s="561"/>
      <c r="N85" s="557" t="s">
        <v>194</v>
      </c>
      <c r="O85" s="523">
        <v>20</v>
      </c>
      <c r="Q85" s="561"/>
      <c r="R85" s="557"/>
      <c r="T85" s="559"/>
      <c r="U85" s="559"/>
      <c r="V85" s="559"/>
      <c r="W85" s="560"/>
      <c r="X85" s="559" t="s">
        <v>3491</v>
      </c>
      <c r="Y85" s="414"/>
      <c r="Z85" s="414"/>
      <c r="AA85" s="414"/>
      <c r="AB85" s="557">
        <v>168</v>
      </c>
      <c r="AC85" s="414" t="s">
        <v>2060</v>
      </c>
      <c r="AD85" s="414" t="s">
        <v>2875</v>
      </c>
      <c r="AE85" s="523" t="s">
        <v>499</v>
      </c>
      <c r="AF85" s="414" t="s">
        <v>500</v>
      </c>
      <c r="AG85" s="557"/>
      <c r="AJ85" s="414"/>
      <c r="AK85" s="523" t="s">
        <v>1932</v>
      </c>
      <c r="AQ85" s="557"/>
      <c r="AV85" s="561"/>
      <c r="AW85" s="414" t="str">
        <f t="shared" si="6"/>
        <v>Perfluorobutane Sulfonate (PFBS), Gravity</v>
      </c>
      <c r="AX85" s="414" t="b">
        <f t="shared" si="8"/>
        <v>0</v>
      </c>
      <c r="AY85" s="523" t="b">
        <f t="array" ref="AY85">AND(D85:G85=inp_used_minimal,A85=inp_used_usersel)</f>
        <v>0</v>
      </c>
      <c r="AZ85" s="523" t="b">
        <f t="array" ref="AZ85">AND(A85=inp_used_usersel,D85:R85=inp_used_nonvessel1,AB85:AV85=inp_used_nonvessel2,IF(B85=1,inp_used_pressure=inp_autosize_pressure,inp_used_gravity=inp_autosize_gravity))</f>
        <v>0</v>
      </c>
      <c r="BA85" s="523" t="b">
        <f t="array" ref="BA85">AND(D85:AV85=inp_used,A85=inp_used_usersel)</f>
        <v>0</v>
      </c>
    </row>
    <row r="86" spans="1:55" s="523" customFormat="1">
      <c r="A86" s="523">
        <v>5</v>
      </c>
      <c r="B86" s="523">
        <v>2</v>
      </c>
      <c r="C86" s="414">
        <v>6</v>
      </c>
      <c r="D86" s="529">
        <v>7.3650000000000002</v>
      </c>
      <c r="E86" s="523" t="s">
        <v>188</v>
      </c>
      <c r="F86" s="414">
        <v>3.2</v>
      </c>
      <c r="G86" s="523" t="s">
        <v>188</v>
      </c>
      <c r="H86" s="557" t="s">
        <v>3139</v>
      </c>
      <c r="I86" s="523" t="s">
        <v>936</v>
      </c>
      <c r="J86" s="414">
        <v>35000</v>
      </c>
      <c r="M86" s="561"/>
      <c r="N86" s="557" t="s">
        <v>194</v>
      </c>
      <c r="O86" s="523">
        <v>20</v>
      </c>
      <c r="Q86" s="561"/>
      <c r="R86" s="557"/>
      <c r="T86" s="559"/>
      <c r="U86" s="559"/>
      <c r="V86" s="559"/>
      <c r="W86" s="560"/>
      <c r="X86" s="559" t="s">
        <v>3491</v>
      </c>
      <c r="Y86" s="414"/>
      <c r="Z86" s="414"/>
      <c r="AA86" s="414"/>
      <c r="AB86" s="557">
        <v>168</v>
      </c>
      <c r="AC86" s="414" t="s">
        <v>2060</v>
      </c>
      <c r="AD86" s="414" t="s">
        <v>2875</v>
      </c>
      <c r="AE86" s="523" t="s">
        <v>2615</v>
      </c>
      <c r="AF86" s="414" t="s">
        <v>500</v>
      </c>
      <c r="AG86" s="557"/>
      <c r="AJ86" s="414"/>
      <c r="AK86" s="523" t="s">
        <v>1932</v>
      </c>
      <c r="AQ86" s="557"/>
      <c r="AV86" s="561"/>
      <c r="AW86" s="414" t="str">
        <f t="shared" si="6"/>
        <v>Perfluorobutane Sulfonate (PFBS), Gravity</v>
      </c>
      <c r="AX86" s="414" t="b">
        <f t="shared" si="8"/>
        <v>0</v>
      </c>
      <c r="AY86" s="523" t="b">
        <f t="array" ref="AY86">AND(D86:G86=inp_used_minimal,A86=inp_used_usersel)</f>
        <v>0</v>
      </c>
      <c r="AZ86" s="523" t="b">
        <f t="array" ref="AZ86">AND(A86=inp_used_usersel,D86:R86=inp_used_nonvessel1,AB86:AV86=inp_used_nonvessel2,IF(B86=1,inp_used_pressure=inp_autosize_pressure,inp_used_gravity=inp_autosize_gravity))</f>
        <v>0</v>
      </c>
      <c r="BA86" s="523" t="b">
        <f t="array" ref="BA86">AND(D86:AV86=inp_used,A86=inp_used_usersel)</f>
        <v>0</v>
      </c>
    </row>
    <row r="87" spans="1:55" s="523" customFormat="1">
      <c r="A87" s="523">
        <v>5</v>
      </c>
      <c r="B87" s="523">
        <v>2</v>
      </c>
      <c r="C87" s="414">
        <v>7</v>
      </c>
      <c r="D87" s="529">
        <v>22.614000000000001</v>
      </c>
      <c r="E87" s="523" t="s">
        <v>188</v>
      </c>
      <c r="F87" s="414">
        <v>11.066000000000001</v>
      </c>
      <c r="G87" s="523" t="s">
        <v>188</v>
      </c>
      <c r="H87" s="557" t="s">
        <v>3139</v>
      </c>
      <c r="I87" s="523" t="s">
        <v>936</v>
      </c>
      <c r="J87" s="414">
        <v>35000</v>
      </c>
      <c r="M87" s="561"/>
      <c r="N87" s="557" t="s">
        <v>194</v>
      </c>
      <c r="O87" s="523">
        <v>20</v>
      </c>
      <c r="Q87" s="561"/>
      <c r="R87" s="557"/>
      <c r="T87" s="559"/>
      <c r="U87" s="559"/>
      <c r="V87" s="559"/>
      <c r="W87" s="560"/>
      <c r="X87" s="559" t="s">
        <v>3491</v>
      </c>
      <c r="Y87" s="414"/>
      <c r="Z87" s="414"/>
      <c r="AA87" s="414"/>
      <c r="AB87" s="557">
        <v>168</v>
      </c>
      <c r="AC87" s="414" t="s">
        <v>2060</v>
      </c>
      <c r="AD87" s="414" t="s">
        <v>2875</v>
      </c>
      <c r="AE87" s="523" t="s">
        <v>2615</v>
      </c>
      <c r="AF87" s="414" t="s">
        <v>500</v>
      </c>
      <c r="AG87" s="557"/>
      <c r="AJ87" s="414"/>
      <c r="AK87" s="523" t="s">
        <v>1932</v>
      </c>
      <c r="AQ87" s="557"/>
      <c r="AV87" s="561"/>
      <c r="AW87" s="414" t="str">
        <f t="shared" si="6"/>
        <v>Perfluorobutane Sulfonate (PFBS), Gravity</v>
      </c>
      <c r="AX87" s="414" t="b">
        <f t="shared" si="8"/>
        <v>0</v>
      </c>
      <c r="AY87" s="523" t="b">
        <f t="array" ref="AY87">AND(D87:G87=inp_used_minimal,A87=inp_used_usersel)</f>
        <v>0</v>
      </c>
      <c r="AZ87" s="523" t="b">
        <f t="array" ref="AZ87">AND(A87=inp_used_usersel,D87:R87=inp_used_nonvessel1,AB87:AV87=inp_used_nonvessel2,IF(B87=1,inp_used_pressure=inp_autosize_pressure,inp_used_gravity=inp_autosize_gravity))</f>
        <v>0</v>
      </c>
      <c r="BA87" s="523" t="b">
        <f t="array" ref="BA87">AND(D87:AV87=inp_used,A87=inp_used_usersel)</f>
        <v>0</v>
      </c>
    </row>
    <row r="88" spans="1:55" s="563" customFormat="1">
      <c r="A88" s="563">
        <v>5</v>
      </c>
      <c r="B88" s="563">
        <v>2</v>
      </c>
      <c r="C88" s="564">
        <v>8</v>
      </c>
      <c r="D88" s="918">
        <v>75.072000000000003</v>
      </c>
      <c r="E88" s="563" t="s">
        <v>188</v>
      </c>
      <c r="F88" s="564">
        <v>37.536000000000001</v>
      </c>
      <c r="G88" s="563" t="s">
        <v>188</v>
      </c>
      <c r="H88" s="919" t="s">
        <v>3139</v>
      </c>
      <c r="I88" s="563" t="s">
        <v>936</v>
      </c>
      <c r="J88" s="564">
        <v>35000</v>
      </c>
      <c r="M88" s="565"/>
      <c r="N88" s="919" t="s">
        <v>194</v>
      </c>
      <c r="O88" s="563">
        <v>20</v>
      </c>
      <c r="Q88" s="565"/>
      <c r="R88" s="919"/>
      <c r="T88" s="566"/>
      <c r="U88" s="566"/>
      <c r="V88" s="566"/>
      <c r="W88" s="567"/>
      <c r="X88" s="566" t="s">
        <v>3491</v>
      </c>
      <c r="Y88" s="564"/>
      <c r="Z88" s="564"/>
      <c r="AA88" s="554"/>
      <c r="AB88" s="919">
        <v>168</v>
      </c>
      <c r="AC88" s="564" t="s">
        <v>2060</v>
      </c>
      <c r="AD88" s="564" t="s">
        <v>2875</v>
      </c>
      <c r="AE88" s="563" t="s">
        <v>2615</v>
      </c>
      <c r="AF88" s="564" t="s">
        <v>500</v>
      </c>
      <c r="AG88" s="919"/>
      <c r="AJ88" s="564"/>
      <c r="AK88" s="563" t="s">
        <v>1932</v>
      </c>
      <c r="AP88" s="565"/>
      <c r="AQ88" s="919"/>
      <c r="AV88" s="565"/>
      <c r="AW88" s="564" t="str">
        <f t="shared" si="6"/>
        <v>Perfluorobutane Sulfonate (PFBS), Gravity</v>
      </c>
      <c r="AX88" s="564" t="b">
        <f t="shared" si="8"/>
        <v>0</v>
      </c>
      <c r="AY88" s="563" t="b">
        <f t="array" ref="AY88">AND(D88:G88=inp_used_minimal,A88=inp_used_usersel)</f>
        <v>0</v>
      </c>
      <c r="AZ88" s="563" t="b">
        <f t="array" ref="AZ88">AND(A88=inp_used_usersel,D88:R88=inp_used_nonvessel1,AB88:AV88=inp_used_nonvessel2,IF(B88=1,inp_used_pressure=inp_autosize_pressure,inp_used_gravity=inp_autosize_gravity))</f>
        <v>0</v>
      </c>
      <c r="BA88" s="563" t="b">
        <f t="array" ref="BA88">AND(D88:AV88=inp_used,A88=inp_used_usersel)</f>
        <v>0</v>
      </c>
    </row>
    <row r="89" spans="1:55" s="523" customFormat="1">
      <c r="A89" s="523">
        <v>6</v>
      </c>
      <c r="B89" s="523">
        <v>1</v>
      </c>
      <c r="C89" s="523">
        <v>1</v>
      </c>
      <c r="D89" s="917">
        <v>0.03</v>
      </c>
      <c r="E89" s="523" t="s">
        <v>188</v>
      </c>
      <c r="F89" s="414">
        <v>7.0000000000000001E-3</v>
      </c>
      <c r="G89" s="523" t="s">
        <v>188</v>
      </c>
      <c r="H89" s="917" t="s">
        <v>3139</v>
      </c>
      <c r="I89" s="523" t="s">
        <v>936</v>
      </c>
      <c r="J89" s="414">
        <v>20000</v>
      </c>
      <c r="M89" s="561"/>
      <c r="N89" s="917" t="s">
        <v>194</v>
      </c>
      <c r="O89" s="523">
        <v>20</v>
      </c>
      <c r="Q89" s="561"/>
      <c r="R89" s="917">
        <v>2</v>
      </c>
      <c r="S89" s="523" t="s">
        <v>3491</v>
      </c>
      <c r="T89" s="559"/>
      <c r="V89" s="559"/>
      <c r="W89" s="560"/>
      <c r="X89" s="559"/>
      <c r="Y89" s="559"/>
      <c r="Z89" s="559"/>
      <c r="AA89" s="559"/>
      <c r="AB89" s="917">
        <v>168</v>
      </c>
      <c r="AC89" s="414" t="s">
        <v>2060</v>
      </c>
      <c r="AD89" s="438" t="s">
        <v>497</v>
      </c>
      <c r="AE89" s="523" t="s">
        <v>499</v>
      </c>
      <c r="AF89" s="561"/>
      <c r="AG89" s="917"/>
      <c r="AH89" s="523">
        <v>0</v>
      </c>
      <c r="AI89" s="438"/>
      <c r="AJ89" s="414"/>
      <c r="AK89" s="523" t="s">
        <v>1932</v>
      </c>
      <c r="AQ89" s="917"/>
      <c r="AV89" s="561"/>
      <c r="AW89" s="414" t="str">
        <f t="shared" si="6"/>
        <v>Perfluorohexanoic Acid (PFHxA), Pressure</v>
      </c>
      <c r="AX89" s="414" t="b">
        <f t="shared" si="8"/>
        <v>0</v>
      </c>
      <c r="AY89" s="523" t="b">
        <f t="array" ref="AY89">AND(D89:G89=inp_used_minimal,A89=inp_used_usersel)</f>
        <v>0</v>
      </c>
      <c r="AZ89" s="523" t="b">
        <f t="array" ref="AZ89">AND(A89=inp_used_usersel,D89:R89=inp_used_nonvessel1,AB89:AV89=inp_used_nonvessel2,IF(B89=1,inp_used_pressure=inp_autosize_pressure,inp_used_gravity=inp_autosize_gravity))</f>
        <v>0</v>
      </c>
      <c r="BA89" s="523" t="b">
        <f t="array" ref="BA89">AND(D89:AV89=inp_used,A89=inp_used_usersel)</f>
        <v>0</v>
      </c>
      <c r="BB89" s="523" t="b">
        <f t="shared" ref="BB89:BB96" si="9">CHOOSE(design_type,AX89,AX97)</f>
        <v>0</v>
      </c>
      <c r="BC89" s="523" t="b">
        <f t="shared" ref="BC89:BC96" si="10">CHOOSE(design_type,AY89,AY97)</f>
        <v>0</v>
      </c>
    </row>
    <row r="90" spans="1:55" s="523" customFormat="1">
      <c r="A90" s="523">
        <v>6</v>
      </c>
      <c r="B90" s="523">
        <v>1</v>
      </c>
      <c r="C90" s="523">
        <v>2</v>
      </c>
      <c r="D90" s="557">
        <v>0.124</v>
      </c>
      <c r="E90" s="523" t="s">
        <v>188</v>
      </c>
      <c r="F90" s="414">
        <v>3.5000000000000003E-2</v>
      </c>
      <c r="G90" s="523" t="s">
        <v>188</v>
      </c>
      <c r="H90" s="557" t="s">
        <v>3139</v>
      </c>
      <c r="I90" s="523" t="s">
        <v>936</v>
      </c>
      <c r="J90" s="414">
        <v>20000</v>
      </c>
      <c r="M90" s="561"/>
      <c r="N90" s="557" t="s">
        <v>194</v>
      </c>
      <c r="O90" s="523">
        <v>20</v>
      </c>
      <c r="Q90" s="561"/>
      <c r="R90" s="557">
        <v>2</v>
      </c>
      <c r="S90" s="523" t="s">
        <v>3491</v>
      </c>
      <c r="T90" s="559"/>
      <c r="V90" s="559"/>
      <c r="W90" s="560"/>
      <c r="X90" s="559"/>
      <c r="Y90" s="559"/>
      <c r="Z90" s="559"/>
      <c r="AA90" s="559"/>
      <c r="AB90" s="557">
        <v>168</v>
      </c>
      <c r="AC90" s="414" t="s">
        <v>2060</v>
      </c>
      <c r="AD90" s="438" t="s">
        <v>498</v>
      </c>
      <c r="AE90" s="523" t="s">
        <v>499</v>
      </c>
      <c r="AF90" s="562" t="s">
        <v>500</v>
      </c>
      <c r="AG90" s="557"/>
      <c r="AH90" s="523">
        <v>0</v>
      </c>
      <c r="AI90" s="438"/>
      <c r="AJ90" s="414"/>
      <c r="AK90" s="523" t="s">
        <v>1932</v>
      </c>
      <c r="AQ90" s="557"/>
      <c r="AV90" s="561"/>
      <c r="AW90" s="414" t="str">
        <f t="shared" si="6"/>
        <v>Perfluorohexanoic Acid (PFHxA), Pressure</v>
      </c>
      <c r="AX90" s="414" t="b">
        <f t="shared" si="8"/>
        <v>0</v>
      </c>
      <c r="AY90" s="523" t="b">
        <f t="array" ref="AY90">AND(D90:G90=inp_used_minimal,A90=inp_used_usersel)</f>
        <v>0</v>
      </c>
      <c r="AZ90" s="523" t="b">
        <f t="array" ref="AZ90">AND(A90=inp_used_usersel,D90:R90=inp_used_nonvessel1,AB90:AV90=inp_used_nonvessel2,IF(B90=1,inp_used_pressure=inp_autosize_pressure,inp_used_gravity=inp_autosize_gravity))</f>
        <v>0</v>
      </c>
      <c r="BA90" s="523" t="b">
        <f t="array" ref="BA90">AND(D90:AV90=inp_used,A90=inp_used_usersel)</f>
        <v>0</v>
      </c>
      <c r="BB90" s="523" t="b">
        <f t="shared" si="9"/>
        <v>0</v>
      </c>
      <c r="BC90" s="523" t="b">
        <f t="shared" si="10"/>
        <v>0</v>
      </c>
    </row>
    <row r="91" spans="1:55" s="523" customFormat="1">
      <c r="A91" s="523">
        <v>6</v>
      </c>
      <c r="B91" s="523">
        <v>1</v>
      </c>
      <c r="C91" s="523">
        <v>3</v>
      </c>
      <c r="D91" s="557">
        <v>0.30499999999999999</v>
      </c>
      <c r="E91" s="523" t="s">
        <v>188</v>
      </c>
      <c r="F91" s="414">
        <v>9.4E-2</v>
      </c>
      <c r="G91" s="523" t="s">
        <v>188</v>
      </c>
      <c r="H91" s="557" t="s">
        <v>3139</v>
      </c>
      <c r="I91" s="523" t="s">
        <v>936</v>
      </c>
      <c r="J91" s="414">
        <v>20000</v>
      </c>
      <c r="M91" s="561"/>
      <c r="N91" s="557" t="s">
        <v>194</v>
      </c>
      <c r="O91" s="523">
        <v>20</v>
      </c>
      <c r="Q91" s="561"/>
      <c r="R91" s="557">
        <v>2</v>
      </c>
      <c r="S91" s="523" t="s">
        <v>3491</v>
      </c>
      <c r="T91" s="559"/>
      <c r="V91" s="559"/>
      <c r="W91" s="560"/>
      <c r="X91" s="559"/>
      <c r="Y91" s="559"/>
      <c r="Z91" s="559"/>
      <c r="AA91" s="559"/>
      <c r="AB91" s="557">
        <v>168</v>
      </c>
      <c r="AC91" s="414" t="s">
        <v>2060</v>
      </c>
      <c r="AD91" s="438" t="s">
        <v>498</v>
      </c>
      <c r="AE91" s="523" t="s">
        <v>499</v>
      </c>
      <c r="AF91" s="562" t="s">
        <v>500</v>
      </c>
      <c r="AG91" s="557"/>
      <c r="AH91" s="523">
        <v>0</v>
      </c>
      <c r="AI91" s="438"/>
      <c r="AJ91" s="414"/>
      <c r="AK91" s="523" t="s">
        <v>1932</v>
      </c>
      <c r="AQ91" s="557"/>
      <c r="AV91" s="561"/>
      <c r="AW91" s="414" t="str">
        <f t="shared" si="6"/>
        <v>Perfluorohexanoic Acid (PFHxA), Pressure</v>
      </c>
      <c r="AX91" s="414" t="b">
        <f t="shared" si="8"/>
        <v>0</v>
      </c>
      <c r="AY91" s="523" t="b">
        <f t="array" ref="AY91">AND(D91:G91=inp_used_minimal,A91=inp_used_usersel)</f>
        <v>0</v>
      </c>
      <c r="AZ91" s="523" t="b">
        <f t="array" ref="AZ91">AND(A91=inp_used_usersel,D91:R91=inp_used_nonvessel1,AB91:AV91=inp_used_nonvessel2,IF(B91=1,inp_used_pressure=inp_autosize_pressure,inp_used_gravity=inp_autosize_gravity))</f>
        <v>0</v>
      </c>
      <c r="BA91" s="523" t="b">
        <f t="array" ref="BA91">AND(D91:AV91=inp_used,A91=inp_used_usersel)</f>
        <v>0</v>
      </c>
      <c r="BB91" s="523" t="b">
        <f t="shared" si="9"/>
        <v>0</v>
      </c>
      <c r="BC91" s="523" t="b">
        <f t="shared" si="10"/>
        <v>0</v>
      </c>
    </row>
    <row r="92" spans="1:55" s="523" customFormat="1">
      <c r="A92" s="523">
        <v>6</v>
      </c>
      <c r="B92" s="523">
        <v>1</v>
      </c>
      <c r="C92" s="523">
        <v>4</v>
      </c>
      <c r="D92" s="557">
        <v>0.74</v>
      </c>
      <c r="E92" s="523" t="s">
        <v>188</v>
      </c>
      <c r="F92" s="414">
        <v>0.251</v>
      </c>
      <c r="G92" s="523" t="s">
        <v>188</v>
      </c>
      <c r="H92" s="557" t="s">
        <v>3139</v>
      </c>
      <c r="I92" s="523" t="s">
        <v>936</v>
      </c>
      <c r="J92" s="414">
        <v>20000</v>
      </c>
      <c r="M92" s="561"/>
      <c r="N92" s="557" t="s">
        <v>194</v>
      </c>
      <c r="O92" s="523">
        <v>20</v>
      </c>
      <c r="Q92" s="561"/>
      <c r="R92" s="557">
        <v>2</v>
      </c>
      <c r="S92" s="523" t="s">
        <v>3491</v>
      </c>
      <c r="T92" s="559"/>
      <c r="V92" s="559"/>
      <c r="W92" s="560"/>
      <c r="X92" s="559"/>
      <c r="Y92" s="559"/>
      <c r="Z92" s="559"/>
      <c r="AA92" s="559"/>
      <c r="AB92" s="557">
        <v>168</v>
      </c>
      <c r="AC92" s="414" t="s">
        <v>2060</v>
      </c>
      <c r="AD92" s="438" t="s">
        <v>498</v>
      </c>
      <c r="AE92" s="523" t="s">
        <v>499</v>
      </c>
      <c r="AF92" s="562" t="s">
        <v>500</v>
      </c>
      <c r="AG92" s="557"/>
      <c r="AH92" s="523">
        <v>0</v>
      </c>
      <c r="AI92" s="438"/>
      <c r="AJ92" s="414"/>
      <c r="AK92" s="523" t="s">
        <v>1932</v>
      </c>
      <c r="AQ92" s="557"/>
      <c r="AV92" s="561"/>
      <c r="AW92" s="414" t="str">
        <f t="shared" si="6"/>
        <v>Perfluorohexanoic Acid (PFHxA), Pressure</v>
      </c>
      <c r="AX92" s="414" t="b">
        <f t="shared" si="8"/>
        <v>0</v>
      </c>
      <c r="AY92" s="523" t="b">
        <f t="array" ref="AY92">AND(D92:G92=inp_used_minimal,A92=inp_used_usersel)</f>
        <v>0</v>
      </c>
      <c r="AZ92" s="523" t="b">
        <f t="array" ref="AZ92">AND(A92=inp_used_usersel,D92:R92=inp_used_nonvessel1,AB92:AV92=inp_used_nonvessel2,IF(B92=1,inp_used_pressure=inp_autosize_pressure,inp_used_gravity=inp_autosize_gravity))</f>
        <v>0</v>
      </c>
      <c r="BA92" s="523" t="b">
        <f t="array" ref="BA92">AND(D92:AV92=inp_used,A92=inp_used_usersel)</f>
        <v>0</v>
      </c>
      <c r="BB92" s="523" t="b">
        <f t="shared" si="9"/>
        <v>0</v>
      </c>
      <c r="BC92" s="523" t="b">
        <f t="shared" si="10"/>
        <v>0</v>
      </c>
    </row>
    <row r="93" spans="1:55" s="523" customFormat="1">
      <c r="A93" s="523">
        <v>6</v>
      </c>
      <c r="B93" s="523">
        <v>1</v>
      </c>
      <c r="C93" s="414">
        <v>5</v>
      </c>
      <c r="D93" s="529">
        <v>2.1520000000000001</v>
      </c>
      <c r="E93" s="523" t="s">
        <v>188</v>
      </c>
      <c r="F93" s="414">
        <v>0.81899999999999995</v>
      </c>
      <c r="G93" s="523" t="s">
        <v>188</v>
      </c>
      <c r="H93" s="557" t="s">
        <v>3139</v>
      </c>
      <c r="I93" s="523" t="s">
        <v>936</v>
      </c>
      <c r="J93" s="414">
        <v>20000</v>
      </c>
      <c r="M93" s="561"/>
      <c r="N93" s="557" t="s">
        <v>194</v>
      </c>
      <c r="O93" s="523">
        <v>20</v>
      </c>
      <c r="Q93" s="561"/>
      <c r="R93" s="557">
        <v>2</v>
      </c>
      <c r="S93" s="523" t="s">
        <v>3491</v>
      </c>
      <c r="T93" s="559"/>
      <c r="V93" s="559"/>
      <c r="W93" s="560"/>
      <c r="X93" s="559"/>
      <c r="Y93" s="559"/>
      <c r="Z93" s="559"/>
      <c r="AA93" s="559"/>
      <c r="AB93" s="557">
        <v>168</v>
      </c>
      <c r="AC93" s="414" t="s">
        <v>2060</v>
      </c>
      <c r="AD93" s="438" t="s">
        <v>498</v>
      </c>
      <c r="AE93" s="523" t="s">
        <v>499</v>
      </c>
      <c r="AF93" s="562" t="s">
        <v>500</v>
      </c>
      <c r="AG93" s="557"/>
      <c r="AH93" s="523">
        <v>0</v>
      </c>
      <c r="AJ93" s="414"/>
      <c r="AK93" s="523" t="s">
        <v>1932</v>
      </c>
      <c r="AQ93" s="557"/>
      <c r="AV93" s="561"/>
      <c r="AW93" s="414" t="str">
        <f t="shared" si="6"/>
        <v>Perfluorohexanoic Acid (PFHxA), Pressure</v>
      </c>
      <c r="AX93" s="414" t="b">
        <f t="shared" si="8"/>
        <v>0</v>
      </c>
      <c r="AY93" s="523" t="b">
        <f t="array" ref="AY93">AND(D93:G93=inp_used_minimal,A93=inp_used_usersel)</f>
        <v>0</v>
      </c>
      <c r="AZ93" s="523" t="b">
        <f t="array" ref="AZ93">AND(A93=inp_used_usersel,D93:R93=inp_used_nonvessel1,AB93:AV93=inp_used_nonvessel2,IF(B93=1,inp_used_pressure=inp_autosize_pressure,inp_used_gravity=inp_autosize_gravity))</f>
        <v>0</v>
      </c>
      <c r="BA93" s="523" t="b">
        <f t="array" ref="BA93">AND(D93:AV93=inp_used,A93=inp_used_usersel)</f>
        <v>0</v>
      </c>
      <c r="BB93" s="523" t="b">
        <f t="shared" si="9"/>
        <v>0</v>
      </c>
      <c r="BC93" s="523" t="b">
        <f t="shared" si="10"/>
        <v>0</v>
      </c>
    </row>
    <row r="94" spans="1:55" s="523" customFormat="1">
      <c r="A94" s="523">
        <v>6</v>
      </c>
      <c r="B94" s="523">
        <v>1</v>
      </c>
      <c r="C94" s="414">
        <v>6</v>
      </c>
      <c r="D94" s="529">
        <v>7.3650000000000002</v>
      </c>
      <c r="E94" s="523" t="s">
        <v>188</v>
      </c>
      <c r="F94" s="414">
        <v>3.2</v>
      </c>
      <c r="G94" s="523" t="s">
        <v>188</v>
      </c>
      <c r="H94" s="557" t="s">
        <v>3139</v>
      </c>
      <c r="I94" s="523" t="s">
        <v>936</v>
      </c>
      <c r="J94" s="414">
        <v>20000</v>
      </c>
      <c r="M94" s="561"/>
      <c r="N94" s="557" t="s">
        <v>194</v>
      </c>
      <c r="O94" s="523">
        <v>20</v>
      </c>
      <c r="Q94" s="561"/>
      <c r="R94" s="557">
        <v>2</v>
      </c>
      <c r="S94" s="523" t="s">
        <v>3491</v>
      </c>
      <c r="T94" s="559"/>
      <c r="V94" s="559"/>
      <c r="W94" s="560"/>
      <c r="X94" s="559"/>
      <c r="Y94" s="559"/>
      <c r="Z94" s="559"/>
      <c r="AA94" s="559"/>
      <c r="AB94" s="557">
        <v>168</v>
      </c>
      <c r="AC94" s="414" t="s">
        <v>2060</v>
      </c>
      <c r="AD94" s="438" t="s">
        <v>498</v>
      </c>
      <c r="AE94" s="523" t="s">
        <v>2615</v>
      </c>
      <c r="AF94" s="562" t="s">
        <v>500</v>
      </c>
      <c r="AG94" s="557"/>
      <c r="AH94" s="523">
        <v>0</v>
      </c>
      <c r="AJ94" s="414"/>
      <c r="AK94" s="523" t="s">
        <v>1932</v>
      </c>
      <c r="AQ94" s="557"/>
      <c r="AV94" s="561"/>
      <c r="AW94" s="414" t="str">
        <f t="shared" si="6"/>
        <v>Perfluorohexanoic Acid (PFHxA), Pressure</v>
      </c>
      <c r="AX94" s="414" t="b">
        <f t="shared" si="8"/>
        <v>0</v>
      </c>
      <c r="AY94" s="523" t="b">
        <f t="array" ref="AY94">AND(D94:G94=inp_used_minimal,A94=inp_used_usersel)</f>
        <v>0</v>
      </c>
      <c r="AZ94" s="523" t="b">
        <f t="array" ref="AZ94">AND(A94=inp_used_usersel,D94:R94=inp_used_nonvessel1,AB94:AV94=inp_used_nonvessel2,IF(B94=1,inp_used_pressure=inp_autosize_pressure,inp_used_gravity=inp_autosize_gravity))</f>
        <v>0</v>
      </c>
      <c r="BA94" s="523" t="b">
        <f t="array" ref="BA94">AND(D94:AV94=inp_used,A94=inp_used_usersel)</f>
        <v>0</v>
      </c>
      <c r="BB94" s="523" t="b">
        <f t="shared" si="9"/>
        <v>0</v>
      </c>
      <c r="BC94" s="523" t="b">
        <f t="shared" si="10"/>
        <v>0</v>
      </c>
    </row>
    <row r="95" spans="1:55" s="523" customFormat="1">
      <c r="A95" s="523">
        <v>6</v>
      </c>
      <c r="B95" s="523">
        <v>1</v>
      </c>
      <c r="C95" s="414">
        <v>7</v>
      </c>
      <c r="D95" s="529">
        <v>22.614000000000001</v>
      </c>
      <c r="E95" s="523" t="s">
        <v>188</v>
      </c>
      <c r="F95" s="414">
        <v>11.066000000000001</v>
      </c>
      <c r="G95" s="523" t="s">
        <v>188</v>
      </c>
      <c r="H95" s="557" t="s">
        <v>3139</v>
      </c>
      <c r="I95" s="523" t="s">
        <v>936</v>
      </c>
      <c r="J95" s="414">
        <v>20000</v>
      </c>
      <c r="M95" s="561"/>
      <c r="N95" s="557" t="s">
        <v>194</v>
      </c>
      <c r="O95" s="523">
        <v>20</v>
      </c>
      <c r="Q95" s="561"/>
      <c r="R95" s="557">
        <v>2</v>
      </c>
      <c r="S95" s="523" t="s">
        <v>3491</v>
      </c>
      <c r="T95" s="559"/>
      <c r="V95" s="559"/>
      <c r="W95" s="560"/>
      <c r="X95" s="559"/>
      <c r="Y95" s="559"/>
      <c r="Z95" s="559"/>
      <c r="AA95" s="559"/>
      <c r="AB95" s="557">
        <v>168</v>
      </c>
      <c r="AC95" s="414" t="s">
        <v>2060</v>
      </c>
      <c r="AD95" s="438" t="s">
        <v>498</v>
      </c>
      <c r="AE95" s="523" t="s">
        <v>2615</v>
      </c>
      <c r="AF95" s="562" t="s">
        <v>500</v>
      </c>
      <c r="AG95" s="557"/>
      <c r="AH95" s="523">
        <v>0</v>
      </c>
      <c r="AJ95" s="414"/>
      <c r="AK95" s="523" t="s">
        <v>1932</v>
      </c>
      <c r="AQ95" s="557"/>
      <c r="AV95" s="561"/>
      <c r="AW95" s="414" t="str">
        <f t="shared" si="6"/>
        <v>Perfluorohexanoic Acid (PFHxA), Pressure</v>
      </c>
      <c r="AX95" s="414" t="b">
        <f t="shared" si="8"/>
        <v>0</v>
      </c>
      <c r="AY95" s="523" t="b">
        <f t="array" ref="AY95">AND(D95:G95=inp_used_minimal,A95=inp_used_usersel)</f>
        <v>0</v>
      </c>
      <c r="AZ95" s="523" t="b">
        <f t="array" ref="AZ95">AND(A95=inp_used_usersel,D95:R95=inp_used_nonvessel1,AB95:AV95=inp_used_nonvessel2,IF(B95=1,inp_used_pressure=inp_autosize_pressure,inp_used_gravity=inp_autosize_gravity))</f>
        <v>0</v>
      </c>
      <c r="BA95" s="523" t="b">
        <f t="array" ref="BA95">AND(D95:AV95=inp_used,A95=inp_used_usersel)</f>
        <v>0</v>
      </c>
      <c r="BB95" s="523" t="b">
        <f t="shared" si="9"/>
        <v>0</v>
      </c>
      <c r="BC95" s="523" t="b">
        <f t="shared" si="10"/>
        <v>0</v>
      </c>
    </row>
    <row r="96" spans="1:55" s="523" customFormat="1">
      <c r="A96" s="563">
        <v>6</v>
      </c>
      <c r="B96" s="563">
        <v>1</v>
      </c>
      <c r="C96" s="564">
        <v>8</v>
      </c>
      <c r="D96" s="918">
        <v>75.072000000000003</v>
      </c>
      <c r="E96" s="563" t="s">
        <v>188</v>
      </c>
      <c r="F96" s="564">
        <v>37.536000000000001</v>
      </c>
      <c r="G96" s="563" t="s">
        <v>188</v>
      </c>
      <c r="H96" s="919" t="s">
        <v>3139</v>
      </c>
      <c r="I96" s="563" t="s">
        <v>936</v>
      </c>
      <c r="J96" s="564">
        <v>20000</v>
      </c>
      <c r="K96" s="563"/>
      <c r="L96" s="563"/>
      <c r="M96" s="565"/>
      <c r="N96" s="919" t="s">
        <v>194</v>
      </c>
      <c r="O96" s="563">
        <v>20</v>
      </c>
      <c r="P96" s="563"/>
      <c r="Q96" s="565"/>
      <c r="R96" s="919">
        <v>2</v>
      </c>
      <c r="S96" s="563" t="s">
        <v>3491</v>
      </c>
      <c r="T96" s="566"/>
      <c r="U96" s="563"/>
      <c r="V96" s="566"/>
      <c r="W96" s="567"/>
      <c r="X96" s="566"/>
      <c r="Y96" s="566"/>
      <c r="Z96" s="566"/>
      <c r="AA96" s="567"/>
      <c r="AB96" s="919">
        <v>168</v>
      </c>
      <c r="AC96" s="564" t="s">
        <v>2060</v>
      </c>
      <c r="AD96" s="568" t="s">
        <v>498</v>
      </c>
      <c r="AE96" s="563" t="s">
        <v>2615</v>
      </c>
      <c r="AF96" s="554" t="s">
        <v>500</v>
      </c>
      <c r="AG96" s="919"/>
      <c r="AH96" s="563">
        <v>0</v>
      </c>
      <c r="AI96" s="563"/>
      <c r="AJ96" s="564"/>
      <c r="AK96" s="563" t="s">
        <v>1932</v>
      </c>
      <c r="AL96" s="563"/>
      <c r="AM96" s="563"/>
      <c r="AN96" s="563"/>
      <c r="AO96" s="563"/>
      <c r="AP96" s="565"/>
      <c r="AQ96" s="919"/>
      <c r="AR96" s="563"/>
      <c r="AS96" s="563"/>
      <c r="AT96" s="563"/>
      <c r="AU96" s="563"/>
      <c r="AV96" s="565"/>
      <c r="AW96" s="564" t="str">
        <f t="shared" si="6"/>
        <v>Perfluorohexanoic Acid (PFHxA), Pressure</v>
      </c>
      <c r="AX96" s="564" t="b">
        <f t="shared" si="8"/>
        <v>0</v>
      </c>
      <c r="AY96" s="563" t="b">
        <f t="array" ref="AY96">AND(D96:G96=inp_used_minimal,A96=inp_used_usersel)</f>
        <v>0</v>
      </c>
      <c r="AZ96" s="563" t="b">
        <f t="array" ref="AZ96">AND(A96=inp_used_usersel,D96:R96=inp_used_nonvessel1,AB96:AV96=inp_used_nonvessel2,IF(B96=1,inp_used_pressure=inp_autosize_pressure,inp_used_gravity=inp_autosize_gravity))</f>
        <v>0</v>
      </c>
      <c r="BA96" s="563" t="b">
        <f t="array" ref="BA96">AND(D96:AV96=inp_used,A96=inp_used_usersel)</f>
        <v>0</v>
      </c>
      <c r="BB96" s="563" t="b">
        <f t="shared" si="9"/>
        <v>0</v>
      </c>
      <c r="BC96" s="563" t="b">
        <f t="shared" si="10"/>
        <v>0</v>
      </c>
    </row>
    <row r="97" spans="1:55" s="523" customFormat="1">
      <c r="A97" s="523">
        <v>6</v>
      </c>
      <c r="B97" s="523">
        <v>2</v>
      </c>
      <c r="C97" s="523">
        <v>1</v>
      </c>
      <c r="D97" s="917">
        <v>0.03</v>
      </c>
      <c r="E97" s="523" t="s">
        <v>188</v>
      </c>
      <c r="F97" s="414">
        <v>7.0000000000000001E-3</v>
      </c>
      <c r="G97" s="523" t="s">
        <v>188</v>
      </c>
      <c r="H97" s="917" t="s">
        <v>3139</v>
      </c>
      <c r="I97" s="523" t="s">
        <v>936</v>
      </c>
      <c r="J97" s="414">
        <v>20000</v>
      </c>
      <c r="M97" s="561"/>
      <c r="N97" s="917" t="s">
        <v>194</v>
      </c>
      <c r="O97" s="523">
        <v>20</v>
      </c>
      <c r="Q97" s="561"/>
      <c r="R97" s="917"/>
      <c r="T97" s="559"/>
      <c r="U97" s="559"/>
      <c r="V97" s="559"/>
      <c r="W97" s="560"/>
      <c r="X97" s="559" t="s">
        <v>3491</v>
      </c>
      <c r="Y97" s="414"/>
      <c r="Z97" s="414"/>
      <c r="AA97" s="414"/>
      <c r="AB97" s="917">
        <v>168</v>
      </c>
      <c r="AC97" s="414" t="s">
        <v>2060</v>
      </c>
      <c r="AD97" s="414" t="s">
        <v>2875</v>
      </c>
      <c r="AE97" s="523" t="s">
        <v>499</v>
      </c>
      <c r="AF97" s="414" t="s">
        <v>500</v>
      </c>
      <c r="AG97" s="917"/>
      <c r="AI97" s="438"/>
      <c r="AJ97" s="414"/>
      <c r="AK97" s="523" t="s">
        <v>1932</v>
      </c>
      <c r="AQ97" s="917"/>
      <c r="AV97" s="561"/>
      <c r="AW97" s="414" t="str">
        <f t="shared" si="6"/>
        <v>Perfluorohexanoic Acid (PFHxA), Gravity</v>
      </c>
      <c r="AX97" s="414" t="b">
        <f t="shared" si="8"/>
        <v>0</v>
      </c>
      <c r="AY97" s="523" t="b">
        <f t="array" ref="AY97">AND(D97:G97=inp_used_minimal,A97=inp_used_usersel)</f>
        <v>0</v>
      </c>
      <c r="AZ97" s="523" t="b">
        <f t="array" ref="AZ97">AND(A97=inp_used_usersel,D97:R97=inp_used_nonvessel1,AB97:AV97=inp_used_nonvessel2,IF(B97=1,inp_used_pressure=inp_autosize_pressure,inp_used_gravity=inp_autosize_gravity))</f>
        <v>0</v>
      </c>
      <c r="BA97" s="523" t="b">
        <f t="array" ref="BA97">AND(D97:AV97=inp_used,A97=inp_used_usersel)</f>
        <v>0</v>
      </c>
    </row>
    <row r="98" spans="1:55" s="523" customFormat="1">
      <c r="A98" s="523">
        <v>6</v>
      </c>
      <c r="B98" s="523">
        <v>2</v>
      </c>
      <c r="C98" s="523">
        <v>2</v>
      </c>
      <c r="D98" s="557">
        <v>0.124</v>
      </c>
      <c r="E98" s="523" t="s">
        <v>188</v>
      </c>
      <c r="F98" s="414">
        <v>3.5000000000000003E-2</v>
      </c>
      <c r="G98" s="523" t="s">
        <v>188</v>
      </c>
      <c r="H98" s="557" t="s">
        <v>3139</v>
      </c>
      <c r="I98" s="523" t="s">
        <v>936</v>
      </c>
      <c r="J98" s="414">
        <v>20000</v>
      </c>
      <c r="M98" s="561"/>
      <c r="N98" s="557" t="s">
        <v>194</v>
      </c>
      <c r="O98" s="523">
        <v>20</v>
      </c>
      <c r="Q98" s="561"/>
      <c r="R98" s="557"/>
      <c r="T98" s="559"/>
      <c r="U98" s="559"/>
      <c r="V98" s="559"/>
      <c r="W98" s="560"/>
      <c r="X98" s="559" t="s">
        <v>3491</v>
      </c>
      <c r="Y98" s="414"/>
      <c r="Z98" s="414"/>
      <c r="AA98" s="414"/>
      <c r="AB98" s="557">
        <v>168</v>
      </c>
      <c r="AC98" s="414" t="s">
        <v>2060</v>
      </c>
      <c r="AD98" s="414" t="s">
        <v>2875</v>
      </c>
      <c r="AE98" s="523" t="s">
        <v>499</v>
      </c>
      <c r="AF98" s="414" t="s">
        <v>500</v>
      </c>
      <c r="AG98" s="557"/>
      <c r="AI98" s="438"/>
      <c r="AJ98" s="414"/>
      <c r="AK98" s="523" t="s">
        <v>1932</v>
      </c>
      <c r="AQ98" s="557"/>
      <c r="AV98" s="561"/>
      <c r="AW98" s="414" t="str">
        <f t="shared" si="6"/>
        <v>Perfluorohexanoic Acid (PFHxA), Gravity</v>
      </c>
      <c r="AX98" s="414" t="b">
        <f t="shared" si="8"/>
        <v>0</v>
      </c>
      <c r="AY98" s="523" t="b">
        <f t="array" ref="AY98">AND(D98:G98=inp_used_minimal,A98=inp_used_usersel)</f>
        <v>0</v>
      </c>
      <c r="AZ98" s="523" t="b">
        <f t="array" ref="AZ98">AND(A98=inp_used_usersel,D98:R98=inp_used_nonvessel1,AB98:AV98=inp_used_nonvessel2,IF(B98=1,inp_used_pressure=inp_autosize_pressure,inp_used_gravity=inp_autosize_gravity))</f>
        <v>0</v>
      </c>
      <c r="BA98" s="523" t="b">
        <f t="array" ref="BA98">AND(D98:AV98=inp_used,A98=inp_used_usersel)</f>
        <v>0</v>
      </c>
    </row>
    <row r="99" spans="1:55" s="523" customFormat="1">
      <c r="A99" s="523">
        <v>6</v>
      </c>
      <c r="B99" s="523">
        <v>2</v>
      </c>
      <c r="C99" s="523">
        <v>3</v>
      </c>
      <c r="D99" s="557">
        <v>0.30499999999999999</v>
      </c>
      <c r="E99" s="523" t="s">
        <v>188</v>
      </c>
      <c r="F99" s="414">
        <v>9.4E-2</v>
      </c>
      <c r="G99" s="523" t="s">
        <v>188</v>
      </c>
      <c r="H99" s="557" t="s">
        <v>3139</v>
      </c>
      <c r="I99" s="523" t="s">
        <v>936</v>
      </c>
      <c r="J99" s="414">
        <v>20000</v>
      </c>
      <c r="M99" s="561"/>
      <c r="N99" s="557" t="s">
        <v>194</v>
      </c>
      <c r="O99" s="523">
        <v>20</v>
      </c>
      <c r="Q99" s="561"/>
      <c r="R99" s="557"/>
      <c r="T99" s="559"/>
      <c r="U99" s="559"/>
      <c r="V99" s="559"/>
      <c r="W99" s="560"/>
      <c r="X99" s="559" t="s">
        <v>3491</v>
      </c>
      <c r="Y99" s="414"/>
      <c r="Z99" s="414"/>
      <c r="AA99" s="414"/>
      <c r="AB99" s="557">
        <v>168</v>
      </c>
      <c r="AC99" s="414" t="s">
        <v>2060</v>
      </c>
      <c r="AD99" s="414" t="s">
        <v>2875</v>
      </c>
      <c r="AE99" s="523" t="s">
        <v>499</v>
      </c>
      <c r="AF99" s="414" t="s">
        <v>500</v>
      </c>
      <c r="AG99" s="557"/>
      <c r="AI99" s="438"/>
      <c r="AJ99" s="414"/>
      <c r="AK99" s="523" t="s">
        <v>1932</v>
      </c>
      <c r="AQ99" s="557"/>
      <c r="AV99" s="561"/>
      <c r="AW99" s="414" t="str">
        <f t="shared" si="6"/>
        <v>Perfluorohexanoic Acid (PFHxA), Gravity</v>
      </c>
      <c r="AX99" s="414" t="b">
        <f t="shared" si="8"/>
        <v>0</v>
      </c>
      <c r="AY99" s="523" t="b">
        <f t="array" ref="AY99">AND(D99:G99=inp_used_minimal,A99=inp_used_usersel)</f>
        <v>0</v>
      </c>
      <c r="AZ99" s="523" t="b">
        <f t="array" ref="AZ99">AND(A99=inp_used_usersel,D99:R99=inp_used_nonvessel1,AB99:AV99=inp_used_nonvessel2,IF(B99=1,inp_used_pressure=inp_autosize_pressure,inp_used_gravity=inp_autosize_gravity))</f>
        <v>0</v>
      </c>
      <c r="BA99" s="523" t="b">
        <f t="array" ref="BA99">AND(D99:AV99=inp_used,A99=inp_used_usersel)</f>
        <v>0</v>
      </c>
    </row>
    <row r="100" spans="1:55" s="523" customFormat="1">
      <c r="A100" s="523">
        <v>6</v>
      </c>
      <c r="B100" s="523">
        <v>2</v>
      </c>
      <c r="C100" s="523">
        <v>4</v>
      </c>
      <c r="D100" s="557">
        <v>0.74</v>
      </c>
      <c r="E100" s="523" t="s">
        <v>188</v>
      </c>
      <c r="F100" s="414">
        <v>0.251</v>
      </c>
      <c r="G100" s="523" t="s">
        <v>188</v>
      </c>
      <c r="H100" s="557" t="s">
        <v>3139</v>
      </c>
      <c r="I100" s="523" t="s">
        <v>936</v>
      </c>
      <c r="J100" s="414">
        <v>20000</v>
      </c>
      <c r="M100" s="561"/>
      <c r="N100" s="557" t="s">
        <v>194</v>
      </c>
      <c r="O100" s="523">
        <v>20</v>
      </c>
      <c r="Q100" s="561"/>
      <c r="R100" s="557"/>
      <c r="T100" s="559"/>
      <c r="U100" s="559"/>
      <c r="V100" s="559"/>
      <c r="W100" s="560"/>
      <c r="X100" s="559" t="s">
        <v>3491</v>
      </c>
      <c r="Y100" s="414"/>
      <c r="Z100" s="414"/>
      <c r="AA100" s="414"/>
      <c r="AB100" s="557">
        <v>168</v>
      </c>
      <c r="AC100" s="414" t="s">
        <v>2060</v>
      </c>
      <c r="AD100" s="414" t="s">
        <v>2875</v>
      </c>
      <c r="AE100" s="523" t="s">
        <v>499</v>
      </c>
      <c r="AF100" s="414" t="s">
        <v>500</v>
      </c>
      <c r="AG100" s="557"/>
      <c r="AI100" s="438"/>
      <c r="AJ100" s="414"/>
      <c r="AK100" s="523" t="s">
        <v>1932</v>
      </c>
      <c r="AQ100" s="557"/>
      <c r="AV100" s="561"/>
      <c r="AW100" s="414" t="str">
        <f t="shared" si="6"/>
        <v>Perfluorohexanoic Acid (PFHxA), Gravity</v>
      </c>
      <c r="AX100" s="414" t="b">
        <f t="shared" si="8"/>
        <v>0</v>
      </c>
      <c r="AY100" s="523" t="b">
        <f t="array" ref="AY100">AND(D100:G100=inp_used_minimal,A100=inp_used_usersel)</f>
        <v>0</v>
      </c>
      <c r="AZ100" s="523" t="b">
        <f t="array" ref="AZ100">AND(A100=inp_used_usersel,D100:R100=inp_used_nonvessel1,AB100:AV100=inp_used_nonvessel2,IF(B100=1,inp_used_pressure=inp_autosize_pressure,inp_used_gravity=inp_autosize_gravity))</f>
        <v>0</v>
      </c>
      <c r="BA100" s="523" t="b">
        <f t="array" ref="BA100">AND(D100:AV100=inp_used,A100=inp_used_usersel)</f>
        <v>0</v>
      </c>
    </row>
    <row r="101" spans="1:55" s="523" customFormat="1">
      <c r="A101" s="523">
        <v>6</v>
      </c>
      <c r="B101" s="523">
        <v>2</v>
      </c>
      <c r="C101" s="414">
        <v>5</v>
      </c>
      <c r="D101" s="529">
        <v>2.1520000000000001</v>
      </c>
      <c r="E101" s="523" t="s">
        <v>188</v>
      </c>
      <c r="F101" s="414">
        <v>0.81899999999999995</v>
      </c>
      <c r="G101" s="523" t="s">
        <v>188</v>
      </c>
      <c r="H101" s="557" t="s">
        <v>3139</v>
      </c>
      <c r="I101" s="523" t="s">
        <v>936</v>
      </c>
      <c r="J101" s="414">
        <v>20000</v>
      </c>
      <c r="M101" s="561"/>
      <c r="N101" s="557" t="s">
        <v>194</v>
      </c>
      <c r="O101" s="523">
        <v>20</v>
      </c>
      <c r="Q101" s="561"/>
      <c r="R101" s="557"/>
      <c r="T101" s="559"/>
      <c r="U101" s="559"/>
      <c r="V101" s="559"/>
      <c r="W101" s="560"/>
      <c r="X101" s="559" t="s">
        <v>3491</v>
      </c>
      <c r="Y101" s="414"/>
      <c r="Z101" s="414"/>
      <c r="AA101" s="414"/>
      <c r="AB101" s="557">
        <v>168</v>
      </c>
      <c r="AC101" s="414" t="s">
        <v>2060</v>
      </c>
      <c r="AD101" s="414" t="s">
        <v>2875</v>
      </c>
      <c r="AE101" s="523" t="s">
        <v>499</v>
      </c>
      <c r="AF101" s="414" t="s">
        <v>500</v>
      </c>
      <c r="AG101" s="557"/>
      <c r="AJ101" s="414"/>
      <c r="AK101" s="523" t="s">
        <v>1932</v>
      </c>
      <c r="AQ101" s="557"/>
      <c r="AV101" s="561"/>
      <c r="AW101" s="414" t="str">
        <f t="shared" si="6"/>
        <v>Perfluorohexanoic Acid (PFHxA), Gravity</v>
      </c>
      <c r="AX101" s="414" t="b">
        <f t="shared" si="8"/>
        <v>0</v>
      </c>
      <c r="AY101" s="523" t="b">
        <f t="array" ref="AY101">AND(D101:G101=inp_used_minimal,A101=inp_used_usersel)</f>
        <v>0</v>
      </c>
      <c r="AZ101" s="523" t="b">
        <f t="array" ref="AZ101">AND(A101=inp_used_usersel,D101:R101=inp_used_nonvessel1,AB101:AV101=inp_used_nonvessel2,IF(B101=1,inp_used_pressure=inp_autosize_pressure,inp_used_gravity=inp_autosize_gravity))</f>
        <v>0</v>
      </c>
      <c r="BA101" s="523" t="b">
        <f t="array" ref="BA101">AND(D101:AV101=inp_used,A101=inp_used_usersel)</f>
        <v>0</v>
      </c>
    </row>
    <row r="102" spans="1:55" s="523" customFormat="1">
      <c r="A102" s="523">
        <v>6</v>
      </c>
      <c r="B102" s="523">
        <v>2</v>
      </c>
      <c r="C102" s="414">
        <v>6</v>
      </c>
      <c r="D102" s="529">
        <v>7.3650000000000002</v>
      </c>
      <c r="E102" s="523" t="s">
        <v>188</v>
      </c>
      <c r="F102" s="414">
        <v>3.2</v>
      </c>
      <c r="G102" s="523" t="s">
        <v>188</v>
      </c>
      <c r="H102" s="557" t="s">
        <v>3139</v>
      </c>
      <c r="I102" s="523" t="s">
        <v>936</v>
      </c>
      <c r="J102" s="414">
        <v>20000</v>
      </c>
      <c r="M102" s="561"/>
      <c r="N102" s="557" t="s">
        <v>194</v>
      </c>
      <c r="O102" s="523">
        <v>20</v>
      </c>
      <c r="Q102" s="561"/>
      <c r="R102" s="557"/>
      <c r="T102" s="559"/>
      <c r="U102" s="559"/>
      <c r="V102" s="559"/>
      <c r="W102" s="560"/>
      <c r="X102" s="559" t="s">
        <v>3491</v>
      </c>
      <c r="Y102" s="414"/>
      <c r="Z102" s="414"/>
      <c r="AA102" s="414"/>
      <c r="AB102" s="557">
        <v>168</v>
      </c>
      <c r="AC102" s="414" t="s">
        <v>2060</v>
      </c>
      <c r="AD102" s="414" t="s">
        <v>2875</v>
      </c>
      <c r="AE102" s="523" t="s">
        <v>2615</v>
      </c>
      <c r="AF102" s="414" t="s">
        <v>500</v>
      </c>
      <c r="AG102" s="557"/>
      <c r="AJ102" s="414"/>
      <c r="AK102" s="523" t="s">
        <v>1932</v>
      </c>
      <c r="AQ102" s="557"/>
      <c r="AV102" s="561"/>
      <c r="AW102" s="414" t="str">
        <f t="shared" si="6"/>
        <v>Perfluorohexanoic Acid (PFHxA), Gravity</v>
      </c>
      <c r="AX102" s="414" t="b">
        <f t="shared" si="8"/>
        <v>0</v>
      </c>
      <c r="AY102" s="523" t="b">
        <f t="array" ref="AY102">AND(D102:G102=inp_used_minimal,A102=inp_used_usersel)</f>
        <v>0</v>
      </c>
      <c r="AZ102" s="523" t="b">
        <f t="array" ref="AZ102">AND(A102=inp_used_usersel,D102:R102=inp_used_nonvessel1,AB102:AV102=inp_used_nonvessel2,IF(B102=1,inp_used_pressure=inp_autosize_pressure,inp_used_gravity=inp_autosize_gravity))</f>
        <v>0</v>
      </c>
      <c r="BA102" s="523" t="b">
        <f t="array" ref="BA102">AND(D102:AV102=inp_used,A102=inp_used_usersel)</f>
        <v>0</v>
      </c>
    </row>
    <row r="103" spans="1:55" s="523" customFormat="1">
      <c r="A103" s="523">
        <v>6</v>
      </c>
      <c r="B103" s="523">
        <v>2</v>
      </c>
      <c r="C103" s="414">
        <v>7</v>
      </c>
      <c r="D103" s="529">
        <v>22.614000000000001</v>
      </c>
      <c r="E103" s="523" t="s">
        <v>188</v>
      </c>
      <c r="F103" s="414">
        <v>11.066000000000001</v>
      </c>
      <c r="G103" s="523" t="s">
        <v>188</v>
      </c>
      <c r="H103" s="557" t="s">
        <v>3139</v>
      </c>
      <c r="I103" s="523" t="s">
        <v>936</v>
      </c>
      <c r="J103" s="414">
        <v>20000</v>
      </c>
      <c r="M103" s="561"/>
      <c r="N103" s="557" t="s">
        <v>194</v>
      </c>
      <c r="O103" s="523">
        <v>20</v>
      </c>
      <c r="Q103" s="561"/>
      <c r="R103" s="557"/>
      <c r="T103" s="559"/>
      <c r="U103" s="559"/>
      <c r="V103" s="559"/>
      <c r="W103" s="560"/>
      <c r="X103" s="559" t="s">
        <v>3491</v>
      </c>
      <c r="Y103" s="414"/>
      <c r="Z103" s="414"/>
      <c r="AA103" s="414"/>
      <c r="AB103" s="557">
        <v>168</v>
      </c>
      <c r="AC103" s="414" t="s">
        <v>2060</v>
      </c>
      <c r="AD103" s="414" t="s">
        <v>2875</v>
      </c>
      <c r="AE103" s="523" t="s">
        <v>2615</v>
      </c>
      <c r="AF103" s="414" t="s">
        <v>500</v>
      </c>
      <c r="AG103" s="557"/>
      <c r="AJ103" s="414"/>
      <c r="AK103" s="523" t="s">
        <v>1932</v>
      </c>
      <c r="AQ103" s="557"/>
      <c r="AV103" s="561"/>
      <c r="AW103" s="414" t="str">
        <f t="shared" si="6"/>
        <v>Perfluorohexanoic Acid (PFHxA), Gravity</v>
      </c>
      <c r="AX103" s="414" t="b">
        <f t="shared" si="8"/>
        <v>0</v>
      </c>
      <c r="AY103" s="523" t="b">
        <f t="array" ref="AY103">AND(D103:G103=inp_used_minimal,A103=inp_used_usersel)</f>
        <v>0</v>
      </c>
      <c r="AZ103" s="523" t="b">
        <f t="array" ref="AZ103">AND(A103=inp_used_usersel,D103:R103=inp_used_nonvessel1,AB103:AV103=inp_used_nonvessel2,IF(B103=1,inp_used_pressure=inp_autosize_pressure,inp_used_gravity=inp_autosize_gravity))</f>
        <v>0</v>
      </c>
      <c r="BA103" s="523" t="b">
        <f t="array" ref="BA103">AND(D103:AV103=inp_used,A103=inp_used_usersel)</f>
        <v>0</v>
      </c>
    </row>
    <row r="104" spans="1:55" s="523" customFormat="1">
      <c r="A104" s="563">
        <v>6</v>
      </c>
      <c r="B104" s="563">
        <v>2</v>
      </c>
      <c r="C104" s="564">
        <v>8</v>
      </c>
      <c r="D104" s="918">
        <v>75.072000000000003</v>
      </c>
      <c r="E104" s="563" t="s">
        <v>188</v>
      </c>
      <c r="F104" s="564">
        <v>37.536000000000001</v>
      </c>
      <c r="G104" s="563" t="s">
        <v>188</v>
      </c>
      <c r="H104" s="919" t="s">
        <v>3139</v>
      </c>
      <c r="I104" s="563" t="s">
        <v>936</v>
      </c>
      <c r="J104" s="564">
        <v>20000</v>
      </c>
      <c r="K104" s="563"/>
      <c r="L104" s="563"/>
      <c r="M104" s="565"/>
      <c r="N104" s="919" t="s">
        <v>194</v>
      </c>
      <c r="O104" s="563">
        <v>20</v>
      </c>
      <c r="P104" s="563"/>
      <c r="Q104" s="565"/>
      <c r="R104" s="919"/>
      <c r="S104" s="563"/>
      <c r="T104" s="566"/>
      <c r="U104" s="566"/>
      <c r="V104" s="566"/>
      <c r="W104" s="567"/>
      <c r="X104" s="566" t="s">
        <v>3491</v>
      </c>
      <c r="Y104" s="564"/>
      <c r="Z104" s="564"/>
      <c r="AA104" s="554"/>
      <c r="AB104" s="919">
        <v>168</v>
      </c>
      <c r="AC104" s="564" t="s">
        <v>2060</v>
      </c>
      <c r="AD104" s="564" t="s">
        <v>2875</v>
      </c>
      <c r="AE104" s="563" t="s">
        <v>2615</v>
      </c>
      <c r="AF104" s="564" t="s">
        <v>500</v>
      </c>
      <c r="AG104" s="919"/>
      <c r="AH104" s="563"/>
      <c r="AI104" s="563"/>
      <c r="AJ104" s="564"/>
      <c r="AK104" s="563" t="s">
        <v>1932</v>
      </c>
      <c r="AL104" s="563"/>
      <c r="AM104" s="563"/>
      <c r="AN104" s="563"/>
      <c r="AO104" s="563"/>
      <c r="AP104" s="565"/>
      <c r="AQ104" s="919"/>
      <c r="AR104" s="563"/>
      <c r="AS104" s="563"/>
      <c r="AT104" s="563"/>
      <c r="AU104" s="563"/>
      <c r="AV104" s="565"/>
      <c r="AW104" s="564" t="str">
        <f t="shared" si="6"/>
        <v>Perfluorohexanoic Acid (PFHxA), Gravity</v>
      </c>
      <c r="AX104" s="564" t="b">
        <f t="shared" si="8"/>
        <v>0</v>
      </c>
      <c r="AY104" s="563" t="b">
        <f t="array" ref="AY104">AND(D104:G104=inp_used_minimal,A104=inp_used_usersel)</f>
        <v>0</v>
      </c>
      <c r="AZ104" s="563" t="b">
        <f t="array" ref="AZ104">AND(A104=inp_used_usersel,D104:R104=inp_used_nonvessel1,AB104:AV104=inp_used_nonvessel2,IF(B104=1,inp_used_pressure=inp_autosize_pressure,inp_used_gravity=inp_autosize_gravity))</f>
        <v>0</v>
      </c>
      <c r="BA104" s="563" t="b">
        <f t="array" ref="BA104">AND(D104:AV104=inp_used,A104=inp_used_usersel)</f>
        <v>0</v>
      </c>
      <c r="BB104" s="563"/>
      <c r="BC104" s="563"/>
    </row>
    <row r="105" spans="1:55" s="523" customFormat="1">
      <c r="A105" s="523">
        <v>7</v>
      </c>
      <c r="B105" s="523">
        <v>1</v>
      </c>
      <c r="C105" s="523">
        <v>1</v>
      </c>
      <c r="D105" s="917">
        <v>0.03</v>
      </c>
      <c r="E105" s="523" t="s">
        <v>188</v>
      </c>
      <c r="F105" s="414">
        <v>7.0000000000000001E-3</v>
      </c>
      <c r="G105" s="523" t="s">
        <v>188</v>
      </c>
      <c r="H105" s="917" t="s">
        <v>3139</v>
      </c>
      <c r="I105" s="523" t="s">
        <v>936</v>
      </c>
      <c r="J105" s="414">
        <v>20000</v>
      </c>
      <c r="M105" s="561"/>
      <c r="N105" s="917" t="s">
        <v>194</v>
      </c>
      <c r="O105" s="523">
        <v>20</v>
      </c>
      <c r="Q105" s="561"/>
      <c r="R105" s="917">
        <v>2</v>
      </c>
      <c r="S105" s="523" t="s">
        <v>3491</v>
      </c>
      <c r="T105" s="559"/>
      <c r="V105" s="559"/>
      <c r="W105" s="560"/>
      <c r="X105" s="559"/>
      <c r="Y105" s="559"/>
      <c r="Z105" s="559"/>
      <c r="AA105" s="559"/>
      <c r="AB105" s="917">
        <v>168</v>
      </c>
      <c r="AC105" s="414" t="s">
        <v>2060</v>
      </c>
      <c r="AD105" s="438" t="s">
        <v>497</v>
      </c>
      <c r="AE105" s="523" t="s">
        <v>499</v>
      </c>
      <c r="AF105" s="561"/>
      <c r="AG105" s="917"/>
      <c r="AH105" s="523">
        <v>0</v>
      </c>
      <c r="AI105" s="438"/>
      <c r="AJ105" s="414"/>
      <c r="AK105" s="523" t="s">
        <v>1932</v>
      </c>
      <c r="AQ105" s="917"/>
      <c r="AV105" s="561"/>
      <c r="AW105" s="414" t="str">
        <f t="shared" si="6"/>
        <v>Gen X, Pressure</v>
      </c>
      <c r="AX105" s="414" t="b">
        <f t="shared" si="8"/>
        <v>0</v>
      </c>
      <c r="AY105" s="523" t="b">
        <f t="array" ref="AY105">AND(D105:G105=inp_used_minimal,A105=inp_used_usersel)</f>
        <v>0</v>
      </c>
      <c r="AZ105" s="523" t="b">
        <f t="array" ref="AZ105">AND(A105=inp_used_usersel,D105:R105=inp_used_nonvessel1,AB105:AV105=inp_used_nonvessel2,IF(B105=1,inp_used_pressure=inp_autosize_pressure,inp_used_gravity=inp_autosize_gravity))</f>
        <v>0</v>
      </c>
      <c r="BA105" s="523" t="b">
        <f t="array" ref="BA105">AND(D105:AV105=inp_used,A105=inp_used_usersel)</f>
        <v>0</v>
      </c>
      <c r="BB105" s="523" t="b">
        <f t="shared" ref="BB105:BB112" si="11">CHOOSE(design_type,AX105,AX113)</f>
        <v>0</v>
      </c>
      <c r="BC105" s="523" t="b">
        <f t="shared" ref="BC105:BC112" si="12">CHOOSE(design_type,AY105,AY113)</f>
        <v>0</v>
      </c>
    </row>
    <row r="106" spans="1:55" s="523" customFormat="1">
      <c r="A106" s="523">
        <v>7</v>
      </c>
      <c r="B106" s="523">
        <v>1</v>
      </c>
      <c r="C106" s="523">
        <v>2</v>
      </c>
      <c r="D106" s="557">
        <v>0.124</v>
      </c>
      <c r="E106" s="523" t="s">
        <v>188</v>
      </c>
      <c r="F106" s="414">
        <v>3.5000000000000003E-2</v>
      </c>
      <c r="G106" s="523" t="s">
        <v>188</v>
      </c>
      <c r="H106" s="557" t="s">
        <v>3139</v>
      </c>
      <c r="I106" s="523" t="s">
        <v>936</v>
      </c>
      <c r="J106" s="414">
        <v>20000</v>
      </c>
      <c r="M106" s="561"/>
      <c r="N106" s="557" t="s">
        <v>194</v>
      </c>
      <c r="O106" s="523">
        <v>20</v>
      </c>
      <c r="Q106" s="561"/>
      <c r="R106" s="557">
        <v>2</v>
      </c>
      <c r="S106" s="523" t="s">
        <v>3491</v>
      </c>
      <c r="T106" s="559"/>
      <c r="V106" s="559"/>
      <c r="W106" s="560"/>
      <c r="X106" s="559"/>
      <c r="Y106" s="559"/>
      <c r="Z106" s="559"/>
      <c r="AA106" s="559"/>
      <c r="AB106" s="557">
        <v>168</v>
      </c>
      <c r="AC106" s="414" t="s">
        <v>2060</v>
      </c>
      <c r="AD106" s="438" t="s">
        <v>498</v>
      </c>
      <c r="AE106" s="523" t="s">
        <v>499</v>
      </c>
      <c r="AF106" s="562" t="s">
        <v>500</v>
      </c>
      <c r="AG106" s="557"/>
      <c r="AH106" s="523">
        <v>0</v>
      </c>
      <c r="AI106" s="438"/>
      <c r="AJ106" s="414"/>
      <c r="AK106" s="523" t="s">
        <v>1932</v>
      </c>
      <c r="AQ106" s="557"/>
      <c r="AV106" s="561"/>
      <c r="AW106" s="414" t="str">
        <f t="shared" si="6"/>
        <v>Gen X, Pressure</v>
      </c>
      <c r="AX106" s="414" t="b">
        <f t="shared" ref="AX106:AX120" si="13">IF(OR(S106="yes",X106="yes"),AZ106,BA106)</f>
        <v>0</v>
      </c>
      <c r="AY106" s="523" t="b">
        <f t="array" ref="AY106">AND(D106:G106=inp_used_minimal,A106=inp_used_usersel)</f>
        <v>0</v>
      </c>
      <c r="AZ106" s="523" t="b">
        <f t="array" ref="AZ106">AND(A106=inp_used_usersel,D106:R106=inp_used_nonvessel1,AB106:AV106=inp_used_nonvessel2,IF(B106=1,inp_used_pressure=inp_autosize_pressure,inp_used_gravity=inp_autosize_gravity))</f>
        <v>0</v>
      </c>
      <c r="BA106" s="523" t="b">
        <f t="array" ref="BA106">AND(D106:AV106=inp_used,A106=inp_used_usersel)</f>
        <v>0</v>
      </c>
      <c r="BB106" s="523" t="b">
        <f t="shared" si="11"/>
        <v>0</v>
      </c>
      <c r="BC106" s="523" t="b">
        <f t="shared" si="12"/>
        <v>0</v>
      </c>
    </row>
    <row r="107" spans="1:55" s="523" customFormat="1">
      <c r="A107" s="523">
        <v>7</v>
      </c>
      <c r="B107" s="523">
        <v>1</v>
      </c>
      <c r="C107" s="523">
        <v>3</v>
      </c>
      <c r="D107" s="557">
        <v>0.30499999999999999</v>
      </c>
      <c r="E107" s="523" t="s">
        <v>188</v>
      </c>
      <c r="F107" s="414">
        <v>9.4E-2</v>
      </c>
      <c r="G107" s="523" t="s">
        <v>188</v>
      </c>
      <c r="H107" s="557" t="s">
        <v>3139</v>
      </c>
      <c r="I107" s="523" t="s">
        <v>936</v>
      </c>
      <c r="J107" s="414">
        <v>20000</v>
      </c>
      <c r="M107" s="561"/>
      <c r="N107" s="557" t="s">
        <v>194</v>
      </c>
      <c r="O107" s="523">
        <v>20</v>
      </c>
      <c r="Q107" s="561"/>
      <c r="R107" s="557">
        <v>2</v>
      </c>
      <c r="S107" s="523" t="s">
        <v>3491</v>
      </c>
      <c r="T107" s="559"/>
      <c r="V107" s="559"/>
      <c r="W107" s="560"/>
      <c r="X107" s="559"/>
      <c r="Y107" s="559"/>
      <c r="Z107" s="559"/>
      <c r="AA107" s="559"/>
      <c r="AB107" s="557">
        <v>168</v>
      </c>
      <c r="AC107" s="414" t="s">
        <v>2060</v>
      </c>
      <c r="AD107" s="438" t="s">
        <v>498</v>
      </c>
      <c r="AE107" s="523" t="s">
        <v>499</v>
      </c>
      <c r="AF107" s="562" t="s">
        <v>500</v>
      </c>
      <c r="AG107" s="557"/>
      <c r="AH107" s="523">
        <v>0</v>
      </c>
      <c r="AI107" s="438"/>
      <c r="AJ107" s="414"/>
      <c r="AK107" s="523" t="s">
        <v>1932</v>
      </c>
      <c r="AQ107" s="557"/>
      <c r="AV107" s="561"/>
      <c r="AW107" s="414" t="str">
        <f t="shared" si="6"/>
        <v>Gen X, Pressure</v>
      </c>
      <c r="AX107" s="414" t="b">
        <f t="shared" si="13"/>
        <v>0</v>
      </c>
      <c r="AY107" s="523" t="b">
        <f t="array" ref="AY107">AND(D107:G107=inp_used_minimal,A107=inp_used_usersel)</f>
        <v>0</v>
      </c>
      <c r="AZ107" s="523" t="b">
        <f t="array" ref="AZ107">AND(A107=inp_used_usersel,D107:R107=inp_used_nonvessel1,AB107:AV107=inp_used_nonvessel2,IF(B107=1,inp_used_pressure=inp_autosize_pressure,inp_used_gravity=inp_autosize_gravity))</f>
        <v>0</v>
      </c>
      <c r="BA107" s="523" t="b">
        <f t="array" ref="BA107">AND(D107:AV107=inp_used,A107=inp_used_usersel)</f>
        <v>0</v>
      </c>
      <c r="BB107" s="523" t="b">
        <f t="shared" si="11"/>
        <v>0</v>
      </c>
      <c r="BC107" s="523" t="b">
        <f t="shared" si="12"/>
        <v>0</v>
      </c>
    </row>
    <row r="108" spans="1:55" s="523" customFormat="1">
      <c r="A108" s="523">
        <v>7</v>
      </c>
      <c r="B108" s="523">
        <v>1</v>
      </c>
      <c r="C108" s="523">
        <v>4</v>
      </c>
      <c r="D108" s="557">
        <v>0.74</v>
      </c>
      <c r="E108" s="523" t="s">
        <v>188</v>
      </c>
      <c r="F108" s="414">
        <v>0.251</v>
      </c>
      <c r="G108" s="523" t="s">
        <v>188</v>
      </c>
      <c r="H108" s="557" t="s">
        <v>3139</v>
      </c>
      <c r="I108" s="523" t="s">
        <v>936</v>
      </c>
      <c r="J108" s="414">
        <v>20000</v>
      </c>
      <c r="M108" s="561"/>
      <c r="N108" s="557" t="s">
        <v>194</v>
      </c>
      <c r="O108" s="523">
        <v>20</v>
      </c>
      <c r="Q108" s="561"/>
      <c r="R108" s="557">
        <v>2</v>
      </c>
      <c r="S108" s="523" t="s">
        <v>3491</v>
      </c>
      <c r="T108" s="559"/>
      <c r="V108" s="559"/>
      <c r="W108" s="560"/>
      <c r="X108" s="559"/>
      <c r="Y108" s="559"/>
      <c r="Z108" s="559"/>
      <c r="AA108" s="559"/>
      <c r="AB108" s="557">
        <v>168</v>
      </c>
      <c r="AC108" s="414" t="s">
        <v>2060</v>
      </c>
      <c r="AD108" s="438" t="s">
        <v>498</v>
      </c>
      <c r="AE108" s="523" t="s">
        <v>499</v>
      </c>
      <c r="AF108" s="562" t="s">
        <v>500</v>
      </c>
      <c r="AG108" s="557"/>
      <c r="AH108" s="523">
        <v>0</v>
      </c>
      <c r="AI108" s="438"/>
      <c r="AJ108" s="414"/>
      <c r="AK108" s="523" t="s">
        <v>1932</v>
      </c>
      <c r="AQ108" s="557"/>
      <c r="AV108" s="561"/>
      <c r="AW108" s="414" t="str">
        <f t="shared" si="6"/>
        <v>Gen X, Pressure</v>
      </c>
      <c r="AX108" s="414" t="b">
        <f t="shared" si="13"/>
        <v>0</v>
      </c>
      <c r="AY108" s="523" t="b">
        <f t="array" ref="AY108">AND(D108:G108=inp_used_minimal,A108=inp_used_usersel)</f>
        <v>0</v>
      </c>
      <c r="AZ108" s="523" t="b">
        <f t="array" ref="AZ108">AND(A108=inp_used_usersel,D108:R108=inp_used_nonvessel1,AB108:AV108=inp_used_nonvessel2,IF(B108=1,inp_used_pressure=inp_autosize_pressure,inp_used_gravity=inp_autosize_gravity))</f>
        <v>0</v>
      </c>
      <c r="BA108" s="523" t="b">
        <f t="array" ref="BA108">AND(D108:AV108=inp_used,A108=inp_used_usersel)</f>
        <v>0</v>
      </c>
      <c r="BB108" s="523" t="b">
        <f t="shared" si="11"/>
        <v>0</v>
      </c>
      <c r="BC108" s="523" t="b">
        <f t="shared" si="12"/>
        <v>0</v>
      </c>
    </row>
    <row r="109" spans="1:55" s="523" customFormat="1">
      <c r="A109" s="523">
        <v>7</v>
      </c>
      <c r="B109" s="523">
        <v>1</v>
      </c>
      <c r="C109" s="414">
        <v>5</v>
      </c>
      <c r="D109" s="529">
        <v>2.1520000000000001</v>
      </c>
      <c r="E109" s="523" t="s">
        <v>188</v>
      </c>
      <c r="F109" s="414">
        <v>0.81899999999999995</v>
      </c>
      <c r="G109" s="523" t="s">
        <v>188</v>
      </c>
      <c r="H109" s="557" t="s">
        <v>3139</v>
      </c>
      <c r="I109" s="523" t="s">
        <v>936</v>
      </c>
      <c r="J109" s="414">
        <v>20000</v>
      </c>
      <c r="M109" s="561"/>
      <c r="N109" s="557" t="s">
        <v>194</v>
      </c>
      <c r="O109" s="523">
        <v>20</v>
      </c>
      <c r="Q109" s="561"/>
      <c r="R109" s="557">
        <v>2</v>
      </c>
      <c r="S109" s="523" t="s">
        <v>3491</v>
      </c>
      <c r="T109" s="559"/>
      <c r="V109" s="559"/>
      <c r="W109" s="560"/>
      <c r="X109" s="559"/>
      <c r="Y109" s="559"/>
      <c r="Z109" s="559"/>
      <c r="AA109" s="559"/>
      <c r="AB109" s="557">
        <v>168</v>
      </c>
      <c r="AC109" s="414" t="s">
        <v>2060</v>
      </c>
      <c r="AD109" s="438" t="s">
        <v>498</v>
      </c>
      <c r="AE109" s="523" t="s">
        <v>499</v>
      </c>
      <c r="AF109" s="562" t="s">
        <v>500</v>
      </c>
      <c r="AG109" s="557"/>
      <c r="AH109" s="523">
        <v>0</v>
      </c>
      <c r="AJ109" s="414"/>
      <c r="AK109" s="523" t="s">
        <v>1932</v>
      </c>
      <c r="AQ109" s="557"/>
      <c r="AV109" s="561"/>
      <c r="AW109" s="414" t="str">
        <f t="shared" si="6"/>
        <v>Gen X, Pressure</v>
      </c>
      <c r="AX109" s="414" t="b">
        <f t="shared" si="13"/>
        <v>0</v>
      </c>
      <c r="AY109" s="523" t="b">
        <f t="array" ref="AY109">AND(D109:G109=inp_used_minimal,A109=inp_used_usersel)</f>
        <v>0</v>
      </c>
      <c r="AZ109" s="523" t="b">
        <f t="array" ref="AZ109">AND(A109=inp_used_usersel,D109:R109=inp_used_nonvessel1,AB109:AV109=inp_used_nonvessel2,IF(B109=1,inp_used_pressure=inp_autosize_pressure,inp_used_gravity=inp_autosize_gravity))</f>
        <v>0</v>
      </c>
      <c r="BA109" s="523" t="b">
        <f t="array" ref="BA109">AND(D109:AV109=inp_used,A109=inp_used_usersel)</f>
        <v>0</v>
      </c>
      <c r="BB109" s="523" t="b">
        <f t="shared" si="11"/>
        <v>0</v>
      </c>
      <c r="BC109" s="523" t="b">
        <f t="shared" si="12"/>
        <v>0</v>
      </c>
    </row>
    <row r="110" spans="1:55" s="523" customFormat="1">
      <c r="A110" s="523">
        <v>7</v>
      </c>
      <c r="B110" s="523">
        <v>1</v>
      </c>
      <c r="C110" s="414">
        <v>6</v>
      </c>
      <c r="D110" s="529">
        <v>7.3650000000000002</v>
      </c>
      <c r="E110" s="523" t="s">
        <v>188</v>
      </c>
      <c r="F110" s="414">
        <v>3.2</v>
      </c>
      <c r="G110" s="523" t="s">
        <v>188</v>
      </c>
      <c r="H110" s="557" t="s">
        <v>3139</v>
      </c>
      <c r="I110" s="523" t="s">
        <v>936</v>
      </c>
      <c r="J110" s="414">
        <v>20000</v>
      </c>
      <c r="M110" s="561"/>
      <c r="N110" s="557" t="s">
        <v>194</v>
      </c>
      <c r="O110" s="523">
        <v>20</v>
      </c>
      <c r="Q110" s="561"/>
      <c r="R110" s="557">
        <v>2</v>
      </c>
      <c r="S110" s="523" t="s">
        <v>3491</v>
      </c>
      <c r="T110" s="559"/>
      <c r="V110" s="559"/>
      <c r="W110" s="560"/>
      <c r="X110" s="559"/>
      <c r="Y110" s="559"/>
      <c r="Z110" s="559"/>
      <c r="AA110" s="559"/>
      <c r="AB110" s="557">
        <v>168</v>
      </c>
      <c r="AC110" s="414" t="s">
        <v>2060</v>
      </c>
      <c r="AD110" s="438" t="s">
        <v>498</v>
      </c>
      <c r="AE110" s="523" t="s">
        <v>2615</v>
      </c>
      <c r="AF110" s="562" t="s">
        <v>500</v>
      </c>
      <c r="AG110" s="557"/>
      <c r="AH110" s="523">
        <v>0</v>
      </c>
      <c r="AJ110" s="414"/>
      <c r="AK110" s="523" t="s">
        <v>1932</v>
      </c>
      <c r="AQ110" s="557"/>
      <c r="AV110" s="561"/>
      <c r="AW110" s="414" t="str">
        <f t="shared" si="6"/>
        <v>Gen X, Pressure</v>
      </c>
      <c r="AX110" s="414" t="b">
        <f t="shared" si="13"/>
        <v>0</v>
      </c>
      <c r="AY110" s="523" t="b">
        <f t="array" ref="AY110">AND(D110:G110=inp_used_minimal,A110=inp_used_usersel)</f>
        <v>0</v>
      </c>
      <c r="AZ110" s="523" t="b">
        <f t="array" ref="AZ110">AND(A110=inp_used_usersel,D110:R110=inp_used_nonvessel1,AB110:AV110=inp_used_nonvessel2,IF(B110=1,inp_used_pressure=inp_autosize_pressure,inp_used_gravity=inp_autosize_gravity))</f>
        <v>0</v>
      </c>
      <c r="BA110" s="523" t="b">
        <f t="array" ref="BA110">AND(D110:AV110=inp_used,A110=inp_used_usersel)</f>
        <v>0</v>
      </c>
      <c r="BB110" s="523" t="b">
        <f t="shared" si="11"/>
        <v>0</v>
      </c>
      <c r="BC110" s="523" t="b">
        <f t="shared" si="12"/>
        <v>0</v>
      </c>
    </row>
    <row r="111" spans="1:55" s="523" customFormat="1">
      <c r="A111" s="523">
        <v>7</v>
      </c>
      <c r="B111" s="523">
        <v>1</v>
      </c>
      <c r="C111" s="414">
        <v>7</v>
      </c>
      <c r="D111" s="529">
        <v>22.614000000000001</v>
      </c>
      <c r="E111" s="523" t="s">
        <v>188</v>
      </c>
      <c r="F111" s="414">
        <v>11.066000000000001</v>
      </c>
      <c r="G111" s="523" t="s">
        <v>188</v>
      </c>
      <c r="H111" s="557" t="s">
        <v>3139</v>
      </c>
      <c r="I111" s="523" t="s">
        <v>936</v>
      </c>
      <c r="J111" s="414">
        <v>20000</v>
      </c>
      <c r="M111" s="561"/>
      <c r="N111" s="557" t="s">
        <v>194</v>
      </c>
      <c r="O111" s="523">
        <v>20</v>
      </c>
      <c r="Q111" s="561"/>
      <c r="R111" s="557">
        <v>2</v>
      </c>
      <c r="S111" s="523" t="s">
        <v>3491</v>
      </c>
      <c r="T111" s="559"/>
      <c r="V111" s="559"/>
      <c r="W111" s="560"/>
      <c r="X111" s="559"/>
      <c r="Y111" s="559"/>
      <c r="Z111" s="559"/>
      <c r="AA111" s="559"/>
      <c r="AB111" s="557">
        <v>168</v>
      </c>
      <c r="AC111" s="414" t="s">
        <v>2060</v>
      </c>
      <c r="AD111" s="438" t="s">
        <v>498</v>
      </c>
      <c r="AE111" s="523" t="s">
        <v>2615</v>
      </c>
      <c r="AF111" s="562" t="s">
        <v>500</v>
      </c>
      <c r="AG111" s="557"/>
      <c r="AH111" s="523">
        <v>0</v>
      </c>
      <c r="AJ111" s="414"/>
      <c r="AK111" s="523" t="s">
        <v>1932</v>
      </c>
      <c r="AQ111" s="557"/>
      <c r="AV111" s="561"/>
      <c r="AW111" s="414" t="str">
        <f t="shared" si="6"/>
        <v>Gen X, Pressure</v>
      </c>
      <c r="AX111" s="414" t="b">
        <f t="shared" si="13"/>
        <v>0</v>
      </c>
      <c r="AY111" s="523" t="b">
        <f t="array" ref="AY111">AND(D111:G111=inp_used_minimal,A111=inp_used_usersel)</f>
        <v>0</v>
      </c>
      <c r="AZ111" s="523" t="b">
        <f t="array" ref="AZ111">AND(A111=inp_used_usersel,D111:R111=inp_used_nonvessel1,AB111:AV111=inp_used_nonvessel2,IF(B111=1,inp_used_pressure=inp_autosize_pressure,inp_used_gravity=inp_autosize_gravity))</f>
        <v>0</v>
      </c>
      <c r="BA111" s="523" t="b">
        <f t="array" ref="BA111">AND(D111:AV111=inp_used,A111=inp_used_usersel)</f>
        <v>0</v>
      </c>
      <c r="BB111" s="523" t="b">
        <f t="shared" si="11"/>
        <v>0</v>
      </c>
      <c r="BC111" s="523" t="b">
        <f t="shared" si="12"/>
        <v>0</v>
      </c>
    </row>
    <row r="112" spans="1:55" s="523" customFormat="1">
      <c r="A112" s="563">
        <v>7</v>
      </c>
      <c r="B112" s="563">
        <v>1</v>
      </c>
      <c r="C112" s="564">
        <v>8</v>
      </c>
      <c r="D112" s="918">
        <v>75.072000000000003</v>
      </c>
      <c r="E112" s="563" t="s">
        <v>188</v>
      </c>
      <c r="F112" s="564">
        <v>37.536000000000001</v>
      </c>
      <c r="G112" s="563" t="s">
        <v>188</v>
      </c>
      <c r="H112" s="919" t="s">
        <v>3139</v>
      </c>
      <c r="I112" s="563" t="s">
        <v>936</v>
      </c>
      <c r="J112" s="564">
        <v>20000</v>
      </c>
      <c r="K112" s="563"/>
      <c r="L112" s="563"/>
      <c r="M112" s="565"/>
      <c r="N112" s="919" t="s">
        <v>194</v>
      </c>
      <c r="O112" s="563">
        <v>20</v>
      </c>
      <c r="P112" s="563"/>
      <c r="Q112" s="565"/>
      <c r="R112" s="919">
        <v>2</v>
      </c>
      <c r="S112" s="563" t="s">
        <v>3491</v>
      </c>
      <c r="T112" s="566"/>
      <c r="U112" s="563"/>
      <c r="V112" s="566"/>
      <c r="W112" s="567"/>
      <c r="X112" s="566"/>
      <c r="Y112" s="566"/>
      <c r="Z112" s="566"/>
      <c r="AA112" s="567"/>
      <c r="AB112" s="919">
        <v>168</v>
      </c>
      <c r="AC112" s="564" t="s">
        <v>2060</v>
      </c>
      <c r="AD112" s="568" t="s">
        <v>498</v>
      </c>
      <c r="AE112" s="563" t="s">
        <v>2615</v>
      </c>
      <c r="AF112" s="554" t="s">
        <v>500</v>
      </c>
      <c r="AG112" s="919"/>
      <c r="AH112" s="563">
        <v>0</v>
      </c>
      <c r="AI112" s="563"/>
      <c r="AJ112" s="564"/>
      <c r="AK112" s="563" t="s">
        <v>1932</v>
      </c>
      <c r="AL112" s="563"/>
      <c r="AM112" s="563"/>
      <c r="AN112" s="563"/>
      <c r="AO112" s="563"/>
      <c r="AP112" s="565"/>
      <c r="AQ112" s="919"/>
      <c r="AR112" s="563"/>
      <c r="AS112" s="563"/>
      <c r="AT112" s="563"/>
      <c r="AU112" s="563"/>
      <c r="AV112" s="565"/>
      <c r="AW112" s="564" t="str">
        <f t="shared" si="6"/>
        <v>Gen X, Pressure</v>
      </c>
      <c r="AX112" s="564" t="b">
        <f t="shared" si="13"/>
        <v>0</v>
      </c>
      <c r="AY112" s="563" t="b">
        <f t="array" ref="AY112">AND(D112:G112=inp_used_minimal,A112=inp_used_usersel)</f>
        <v>0</v>
      </c>
      <c r="AZ112" s="563" t="b">
        <f t="array" ref="AZ112">AND(A112=inp_used_usersel,D112:R112=inp_used_nonvessel1,AB112:AV112=inp_used_nonvessel2,IF(B112=1,inp_used_pressure=inp_autosize_pressure,inp_used_gravity=inp_autosize_gravity))</f>
        <v>0</v>
      </c>
      <c r="BA112" s="563" t="b">
        <f t="array" ref="BA112">AND(D112:AV112=inp_used,A112=inp_used_usersel)</f>
        <v>0</v>
      </c>
      <c r="BB112" s="563" t="b">
        <f t="shared" si="11"/>
        <v>0</v>
      </c>
      <c r="BC112" s="563" t="b">
        <f t="shared" si="12"/>
        <v>0</v>
      </c>
    </row>
    <row r="113" spans="1:55" s="523" customFormat="1">
      <c r="A113" s="523">
        <v>7</v>
      </c>
      <c r="B113" s="523">
        <v>2</v>
      </c>
      <c r="C113" s="523">
        <v>1</v>
      </c>
      <c r="D113" s="917">
        <v>0.03</v>
      </c>
      <c r="E113" s="523" t="s">
        <v>188</v>
      </c>
      <c r="F113" s="414">
        <v>7.0000000000000001E-3</v>
      </c>
      <c r="G113" s="523" t="s">
        <v>188</v>
      </c>
      <c r="H113" s="917" t="s">
        <v>3139</v>
      </c>
      <c r="I113" s="523" t="s">
        <v>936</v>
      </c>
      <c r="J113" s="414">
        <v>20000</v>
      </c>
      <c r="M113" s="561"/>
      <c r="N113" s="917" t="s">
        <v>194</v>
      </c>
      <c r="O113" s="523">
        <v>20</v>
      </c>
      <c r="Q113" s="561"/>
      <c r="R113" s="917"/>
      <c r="T113" s="559"/>
      <c r="U113" s="559"/>
      <c r="V113" s="559"/>
      <c r="W113" s="560"/>
      <c r="X113" s="559" t="s">
        <v>3491</v>
      </c>
      <c r="Y113" s="414"/>
      <c r="Z113" s="414"/>
      <c r="AA113" s="414"/>
      <c r="AB113" s="917">
        <v>168</v>
      </c>
      <c r="AC113" s="414" t="s">
        <v>2060</v>
      </c>
      <c r="AD113" s="414" t="s">
        <v>2875</v>
      </c>
      <c r="AE113" s="523" t="s">
        <v>499</v>
      </c>
      <c r="AF113" s="414" t="s">
        <v>500</v>
      </c>
      <c r="AG113" s="917"/>
      <c r="AI113" s="438"/>
      <c r="AJ113" s="414"/>
      <c r="AK113" s="523" t="s">
        <v>1932</v>
      </c>
      <c r="AQ113" s="917"/>
      <c r="AV113" s="561"/>
      <c r="AW113" s="414" t="str">
        <f t="shared" si="6"/>
        <v>Gen X, Gravity</v>
      </c>
      <c r="AX113" s="414" t="b">
        <f t="shared" si="13"/>
        <v>0</v>
      </c>
      <c r="AY113" s="523" t="b">
        <f t="array" ref="AY113">AND(D113:G113=inp_used_minimal,A113=inp_used_usersel)</f>
        <v>0</v>
      </c>
      <c r="AZ113" s="523" t="b">
        <f t="array" ref="AZ113">AND(A113=inp_used_usersel,D113:R113=inp_used_nonvessel1,AB113:AV113=inp_used_nonvessel2,IF(B113=1,inp_used_pressure=inp_autosize_pressure,inp_used_gravity=inp_autosize_gravity))</f>
        <v>0</v>
      </c>
      <c r="BA113" s="523" t="b">
        <f t="array" ref="BA113">AND(D113:AV113=inp_used,A113=inp_used_usersel)</f>
        <v>0</v>
      </c>
    </row>
    <row r="114" spans="1:55" s="523" customFormat="1">
      <c r="A114" s="523">
        <v>7</v>
      </c>
      <c r="B114" s="523">
        <v>2</v>
      </c>
      <c r="C114" s="523">
        <v>2</v>
      </c>
      <c r="D114" s="557">
        <v>0.124</v>
      </c>
      <c r="E114" s="523" t="s">
        <v>188</v>
      </c>
      <c r="F114" s="414">
        <v>3.5000000000000003E-2</v>
      </c>
      <c r="G114" s="523" t="s">
        <v>188</v>
      </c>
      <c r="H114" s="557" t="s">
        <v>3139</v>
      </c>
      <c r="I114" s="523" t="s">
        <v>936</v>
      </c>
      <c r="J114" s="414">
        <v>20000</v>
      </c>
      <c r="M114" s="561"/>
      <c r="N114" s="557" t="s">
        <v>194</v>
      </c>
      <c r="O114" s="523">
        <v>20</v>
      </c>
      <c r="Q114" s="561"/>
      <c r="R114" s="557"/>
      <c r="T114" s="559"/>
      <c r="U114" s="559"/>
      <c r="V114" s="559"/>
      <c r="W114" s="560"/>
      <c r="X114" s="559" t="s">
        <v>3491</v>
      </c>
      <c r="Y114" s="414"/>
      <c r="Z114" s="414"/>
      <c r="AA114" s="414"/>
      <c r="AB114" s="557">
        <v>168</v>
      </c>
      <c r="AC114" s="414" t="s">
        <v>2060</v>
      </c>
      <c r="AD114" s="414" t="s">
        <v>2875</v>
      </c>
      <c r="AE114" s="523" t="s">
        <v>499</v>
      </c>
      <c r="AF114" s="414" t="s">
        <v>500</v>
      </c>
      <c r="AG114" s="557"/>
      <c r="AI114" s="438"/>
      <c r="AJ114" s="414"/>
      <c r="AK114" s="523" t="s">
        <v>1932</v>
      </c>
      <c r="AQ114" s="557"/>
      <c r="AV114" s="561"/>
      <c r="AW114" s="414" t="str">
        <f t="shared" si="6"/>
        <v>Gen X, Gravity</v>
      </c>
      <c r="AX114" s="414" t="b">
        <f t="shared" si="13"/>
        <v>0</v>
      </c>
      <c r="AY114" s="523" t="b">
        <f t="array" ref="AY114">AND(D114:G114=inp_used_minimal,A114=inp_used_usersel)</f>
        <v>0</v>
      </c>
      <c r="AZ114" s="523" t="b">
        <f t="array" ref="AZ114">AND(A114=inp_used_usersel,D114:R114=inp_used_nonvessel1,AB114:AV114=inp_used_nonvessel2,IF(B114=1,inp_used_pressure=inp_autosize_pressure,inp_used_gravity=inp_autosize_gravity))</f>
        <v>0</v>
      </c>
      <c r="BA114" s="523" t="b">
        <f t="array" ref="BA114">AND(D114:AV114=inp_used,A114=inp_used_usersel)</f>
        <v>0</v>
      </c>
    </row>
    <row r="115" spans="1:55" s="523" customFormat="1">
      <c r="A115" s="523">
        <v>7</v>
      </c>
      <c r="B115" s="523">
        <v>2</v>
      </c>
      <c r="C115" s="523">
        <v>3</v>
      </c>
      <c r="D115" s="557">
        <v>0.30499999999999999</v>
      </c>
      <c r="E115" s="523" t="s">
        <v>188</v>
      </c>
      <c r="F115" s="414">
        <v>9.4E-2</v>
      </c>
      <c r="G115" s="523" t="s">
        <v>188</v>
      </c>
      <c r="H115" s="557" t="s">
        <v>3139</v>
      </c>
      <c r="I115" s="523" t="s">
        <v>936</v>
      </c>
      <c r="J115" s="414">
        <v>20000</v>
      </c>
      <c r="M115" s="561"/>
      <c r="N115" s="557" t="s">
        <v>194</v>
      </c>
      <c r="O115" s="523">
        <v>20</v>
      </c>
      <c r="Q115" s="561"/>
      <c r="R115" s="557"/>
      <c r="T115" s="559"/>
      <c r="U115" s="559"/>
      <c r="V115" s="559"/>
      <c r="W115" s="560"/>
      <c r="X115" s="559" t="s">
        <v>3491</v>
      </c>
      <c r="Y115" s="414"/>
      <c r="Z115" s="414"/>
      <c r="AA115" s="414"/>
      <c r="AB115" s="557">
        <v>168</v>
      </c>
      <c r="AC115" s="414" t="s">
        <v>2060</v>
      </c>
      <c r="AD115" s="414" t="s">
        <v>2875</v>
      </c>
      <c r="AE115" s="523" t="s">
        <v>499</v>
      </c>
      <c r="AF115" s="414" t="s">
        <v>500</v>
      </c>
      <c r="AG115" s="557"/>
      <c r="AI115" s="438"/>
      <c r="AJ115" s="414"/>
      <c r="AK115" s="523" t="s">
        <v>1932</v>
      </c>
      <c r="AQ115" s="557"/>
      <c r="AV115" s="561"/>
      <c r="AW115" s="414" t="str">
        <f t="shared" si="6"/>
        <v>Gen X, Gravity</v>
      </c>
      <c r="AX115" s="414" t="b">
        <f t="shared" si="13"/>
        <v>0</v>
      </c>
      <c r="AY115" s="523" t="b">
        <f t="array" ref="AY115">AND(D115:G115=inp_used_minimal,A115=inp_used_usersel)</f>
        <v>0</v>
      </c>
      <c r="AZ115" s="523" t="b">
        <f t="array" ref="AZ115">AND(A115=inp_used_usersel,D115:R115=inp_used_nonvessel1,AB115:AV115=inp_used_nonvessel2,IF(B115=1,inp_used_pressure=inp_autosize_pressure,inp_used_gravity=inp_autosize_gravity))</f>
        <v>0</v>
      </c>
      <c r="BA115" s="523" t="b">
        <f t="array" ref="BA115">AND(D115:AV115=inp_used,A115=inp_used_usersel)</f>
        <v>0</v>
      </c>
    </row>
    <row r="116" spans="1:55" s="523" customFormat="1">
      <c r="A116" s="523">
        <v>7</v>
      </c>
      <c r="B116" s="523">
        <v>2</v>
      </c>
      <c r="C116" s="523">
        <v>4</v>
      </c>
      <c r="D116" s="557">
        <v>0.74</v>
      </c>
      <c r="E116" s="523" t="s">
        <v>188</v>
      </c>
      <c r="F116" s="414">
        <v>0.251</v>
      </c>
      <c r="G116" s="523" t="s">
        <v>188</v>
      </c>
      <c r="H116" s="557" t="s">
        <v>3139</v>
      </c>
      <c r="I116" s="523" t="s">
        <v>936</v>
      </c>
      <c r="J116" s="414">
        <v>20000</v>
      </c>
      <c r="M116" s="561"/>
      <c r="N116" s="557" t="s">
        <v>194</v>
      </c>
      <c r="O116" s="523">
        <v>20</v>
      </c>
      <c r="Q116" s="561"/>
      <c r="R116" s="557"/>
      <c r="T116" s="559"/>
      <c r="U116" s="559"/>
      <c r="V116" s="559"/>
      <c r="W116" s="560"/>
      <c r="X116" s="559" t="s">
        <v>3491</v>
      </c>
      <c r="Y116" s="414"/>
      <c r="Z116" s="414"/>
      <c r="AA116" s="414"/>
      <c r="AB116" s="557">
        <v>168</v>
      </c>
      <c r="AC116" s="414" t="s">
        <v>2060</v>
      </c>
      <c r="AD116" s="414" t="s">
        <v>2875</v>
      </c>
      <c r="AE116" s="523" t="s">
        <v>499</v>
      </c>
      <c r="AF116" s="414" t="s">
        <v>500</v>
      </c>
      <c r="AG116" s="557"/>
      <c r="AI116" s="438"/>
      <c r="AJ116" s="414"/>
      <c r="AK116" s="523" t="s">
        <v>1932</v>
      </c>
      <c r="AQ116" s="557"/>
      <c r="AV116" s="561"/>
      <c r="AW116" s="414" t="str">
        <f t="shared" si="6"/>
        <v>Gen X, Gravity</v>
      </c>
      <c r="AX116" s="414" t="b">
        <f t="shared" si="13"/>
        <v>0</v>
      </c>
      <c r="AY116" s="523" t="b">
        <f t="array" ref="AY116">AND(D116:G116=inp_used_minimal,A116=inp_used_usersel)</f>
        <v>0</v>
      </c>
      <c r="AZ116" s="523" t="b">
        <f t="array" ref="AZ116">AND(A116=inp_used_usersel,D116:R116=inp_used_nonvessel1,AB116:AV116=inp_used_nonvessel2,IF(B116=1,inp_used_pressure=inp_autosize_pressure,inp_used_gravity=inp_autosize_gravity))</f>
        <v>0</v>
      </c>
      <c r="BA116" s="523" t="b">
        <f t="array" ref="BA116">AND(D116:AV116=inp_used,A116=inp_used_usersel)</f>
        <v>0</v>
      </c>
    </row>
    <row r="117" spans="1:55" s="523" customFormat="1">
      <c r="A117" s="523">
        <v>7</v>
      </c>
      <c r="B117" s="523">
        <v>2</v>
      </c>
      <c r="C117" s="414">
        <v>5</v>
      </c>
      <c r="D117" s="529">
        <v>2.1520000000000001</v>
      </c>
      <c r="E117" s="523" t="s">
        <v>188</v>
      </c>
      <c r="F117" s="414">
        <v>0.81899999999999995</v>
      </c>
      <c r="G117" s="523" t="s">
        <v>188</v>
      </c>
      <c r="H117" s="557" t="s">
        <v>3139</v>
      </c>
      <c r="I117" s="523" t="s">
        <v>936</v>
      </c>
      <c r="J117" s="414">
        <v>20000</v>
      </c>
      <c r="M117" s="561"/>
      <c r="N117" s="557" t="s">
        <v>194</v>
      </c>
      <c r="O117" s="523">
        <v>20</v>
      </c>
      <c r="Q117" s="561"/>
      <c r="R117" s="557"/>
      <c r="T117" s="559"/>
      <c r="U117" s="559"/>
      <c r="V117" s="559"/>
      <c r="W117" s="560"/>
      <c r="X117" s="559" t="s">
        <v>3491</v>
      </c>
      <c r="Y117" s="414"/>
      <c r="Z117" s="414"/>
      <c r="AA117" s="414"/>
      <c r="AB117" s="557">
        <v>168</v>
      </c>
      <c r="AC117" s="414" t="s">
        <v>2060</v>
      </c>
      <c r="AD117" s="414" t="s">
        <v>2875</v>
      </c>
      <c r="AE117" s="523" t="s">
        <v>499</v>
      </c>
      <c r="AF117" s="414" t="s">
        <v>500</v>
      </c>
      <c r="AG117" s="557"/>
      <c r="AJ117" s="414"/>
      <c r="AK117" s="523" t="s">
        <v>1932</v>
      </c>
      <c r="AQ117" s="557"/>
      <c r="AV117" s="561"/>
      <c r="AW117" s="414" t="str">
        <f t="shared" si="6"/>
        <v>Gen X, Gravity</v>
      </c>
      <c r="AX117" s="414" t="b">
        <f t="shared" si="13"/>
        <v>0</v>
      </c>
      <c r="AY117" s="523" t="b">
        <f t="array" ref="AY117">AND(D117:G117=inp_used_minimal,A117=inp_used_usersel)</f>
        <v>0</v>
      </c>
      <c r="AZ117" s="523" t="b">
        <f t="array" ref="AZ117">AND(A117=inp_used_usersel,D117:R117=inp_used_nonvessel1,AB117:AV117=inp_used_nonvessel2,IF(B117=1,inp_used_pressure=inp_autosize_pressure,inp_used_gravity=inp_autosize_gravity))</f>
        <v>0</v>
      </c>
      <c r="BA117" s="523" t="b">
        <f t="array" ref="BA117">AND(D117:AV117=inp_used,A117=inp_used_usersel)</f>
        <v>0</v>
      </c>
    </row>
    <row r="118" spans="1:55" s="523" customFormat="1">
      <c r="A118" s="523">
        <v>7</v>
      </c>
      <c r="B118" s="523">
        <v>2</v>
      </c>
      <c r="C118" s="414">
        <v>6</v>
      </c>
      <c r="D118" s="529">
        <v>7.3650000000000002</v>
      </c>
      <c r="E118" s="523" t="s">
        <v>188</v>
      </c>
      <c r="F118" s="414">
        <v>3.2</v>
      </c>
      <c r="G118" s="523" t="s">
        <v>188</v>
      </c>
      <c r="H118" s="557" t="s">
        <v>3139</v>
      </c>
      <c r="I118" s="523" t="s">
        <v>936</v>
      </c>
      <c r="J118" s="414">
        <v>20000</v>
      </c>
      <c r="M118" s="561"/>
      <c r="N118" s="557" t="s">
        <v>194</v>
      </c>
      <c r="O118" s="523">
        <v>20</v>
      </c>
      <c r="Q118" s="561"/>
      <c r="R118" s="557"/>
      <c r="T118" s="559"/>
      <c r="U118" s="559"/>
      <c r="V118" s="559"/>
      <c r="W118" s="560"/>
      <c r="X118" s="559" t="s">
        <v>3491</v>
      </c>
      <c r="Y118" s="414"/>
      <c r="Z118" s="414"/>
      <c r="AA118" s="414"/>
      <c r="AB118" s="557">
        <v>168</v>
      </c>
      <c r="AC118" s="414" t="s">
        <v>2060</v>
      </c>
      <c r="AD118" s="414" t="s">
        <v>2875</v>
      </c>
      <c r="AE118" s="523" t="s">
        <v>2615</v>
      </c>
      <c r="AF118" s="414" t="s">
        <v>500</v>
      </c>
      <c r="AG118" s="557"/>
      <c r="AJ118" s="414"/>
      <c r="AK118" s="523" t="s">
        <v>1932</v>
      </c>
      <c r="AQ118" s="557"/>
      <c r="AV118" s="561"/>
      <c r="AW118" s="414" t="str">
        <f t="shared" si="6"/>
        <v>Gen X, Gravity</v>
      </c>
      <c r="AX118" s="414" t="b">
        <f t="shared" si="13"/>
        <v>0</v>
      </c>
      <c r="AY118" s="523" t="b">
        <f t="array" ref="AY118">AND(D118:G118=inp_used_minimal,A118=inp_used_usersel)</f>
        <v>0</v>
      </c>
      <c r="AZ118" s="523" t="b">
        <f t="array" ref="AZ118">AND(A118=inp_used_usersel,D118:R118=inp_used_nonvessel1,AB118:AV118=inp_used_nonvessel2,IF(B118=1,inp_used_pressure=inp_autosize_pressure,inp_used_gravity=inp_autosize_gravity))</f>
        <v>0</v>
      </c>
      <c r="BA118" s="523" t="b">
        <f t="array" ref="BA118">AND(D118:AV118=inp_used,A118=inp_used_usersel)</f>
        <v>0</v>
      </c>
    </row>
    <row r="119" spans="1:55" s="523" customFormat="1">
      <c r="A119" s="523">
        <v>7</v>
      </c>
      <c r="B119" s="523">
        <v>2</v>
      </c>
      <c r="C119" s="414">
        <v>7</v>
      </c>
      <c r="D119" s="529">
        <v>22.614000000000001</v>
      </c>
      <c r="E119" s="523" t="s">
        <v>188</v>
      </c>
      <c r="F119" s="414">
        <v>11.066000000000001</v>
      </c>
      <c r="G119" s="523" t="s">
        <v>188</v>
      </c>
      <c r="H119" s="557" t="s">
        <v>3139</v>
      </c>
      <c r="I119" s="523" t="s">
        <v>936</v>
      </c>
      <c r="J119" s="414">
        <v>20000</v>
      </c>
      <c r="M119" s="561"/>
      <c r="N119" s="557" t="s">
        <v>194</v>
      </c>
      <c r="O119" s="523">
        <v>20</v>
      </c>
      <c r="Q119" s="561"/>
      <c r="R119" s="557"/>
      <c r="T119" s="559"/>
      <c r="U119" s="559"/>
      <c r="V119" s="559"/>
      <c r="W119" s="560"/>
      <c r="X119" s="559" t="s">
        <v>3491</v>
      </c>
      <c r="Y119" s="414"/>
      <c r="Z119" s="414"/>
      <c r="AA119" s="414"/>
      <c r="AB119" s="557">
        <v>168</v>
      </c>
      <c r="AC119" s="414" t="s">
        <v>2060</v>
      </c>
      <c r="AD119" s="414" t="s">
        <v>2875</v>
      </c>
      <c r="AE119" s="523" t="s">
        <v>2615</v>
      </c>
      <c r="AF119" s="414" t="s">
        <v>500</v>
      </c>
      <c r="AG119" s="557"/>
      <c r="AJ119" s="414"/>
      <c r="AK119" s="523" t="s">
        <v>1932</v>
      </c>
      <c r="AQ119" s="557"/>
      <c r="AV119" s="561"/>
      <c r="AW119" s="414" t="str">
        <f t="shared" si="6"/>
        <v>Gen X, Gravity</v>
      </c>
      <c r="AX119" s="414" t="b">
        <f t="shared" si="13"/>
        <v>0</v>
      </c>
      <c r="AY119" s="523" t="b">
        <f t="array" ref="AY119">AND(D119:G119=inp_used_minimal,A119=inp_used_usersel)</f>
        <v>0</v>
      </c>
      <c r="AZ119" s="523" t="b">
        <f t="array" ref="AZ119">AND(A119=inp_used_usersel,D119:R119=inp_used_nonvessel1,AB119:AV119=inp_used_nonvessel2,IF(B119=1,inp_used_pressure=inp_autosize_pressure,inp_used_gravity=inp_autosize_gravity))</f>
        <v>0</v>
      </c>
      <c r="BA119" s="523" t="b">
        <f t="array" ref="BA119">AND(D119:AV119=inp_used,A119=inp_used_usersel)</f>
        <v>0</v>
      </c>
    </row>
    <row r="120" spans="1:55" s="523" customFormat="1">
      <c r="A120" s="563">
        <v>7</v>
      </c>
      <c r="B120" s="563">
        <v>2</v>
      </c>
      <c r="C120" s="564">
        <v>8</v>
      </c>
      <c r="D120" s="918">
        <v>75.072000000000003</v>
      </c>
      <c r="E120" s="563" t="s">
        <v>188</v>
      </c>
      <c r="F120" s="564">
        <v>37.536000000000001</v>
      </c>
      <c r="G120" s="563" t="s">
        <v>188</v>
      </c>
      <c r="H120" s="919" t="s">
        <v>3139</v>
      </c>
      <c r="I120" s="563" t="s">
        <v>936</v>
      </c>
      <c r="J120" s="564">
        <v>20000</v>
      </c>
      <c r="K120" s="563"/>
      <c r="L120" s="563"/>
      <c r="M120" s="565"/>
      <c r="N120" s="919" t="s">
        <v>194</v>
      </c>
      <c r="O120" s="563">
        <v>20</v>
      </c>
      <c r="P120" s="563"/>
      <c r="Q120" s="565"/>
      <c r="R120" s="919"/>
      <c r="S120" s="563"/>
      <c r="T120" s="566"/>
      <c r="U120" s="566"/>
      <c r="V120" s="566"/>
      <c r="W120" s="567"/>
      <c r="X120" s="566" t="s">
        <v>3491</v>
      </c>
      <c r="Y120" s="564"/>
      <c r="Z120" s="564"/>
      <c r="AA120" s="554"/>
      <c r="AB120" s="919">
        <v>168</v>
      </c>
      <c r="AC120" s="564" t="s">
        <v>2060</v>
      </c>
      <c r="AD120" s="564" t="s">
        <v>2875</v>
      </c>
      <c r="AE120" s="563" t="s">
        <v>2615</v>
      </c>
      <c r="AF120" s="564" t="s">
        <v>500</v>
      </c>
      <c r="AG120" s="919"/>
      <c r="AH120" s="563"/>
      <c r="AI120" s="563"/>
      <c r="AJ120" s="564"/>
      <c r="AK120" s="563" t="s">
        <v>1932</v>
      </c>
      <c r="AL120" s="563"/>
      <c r="AM120" s="563"/>
      <c r="AN120" s="563"/>
      <c r="AO120" s="563"/>
      <c r="AP120" s="565"/>
      <c r="AQ120" s="919"/>
      <c r="AR120" s="563"/>
      <c r="AS120" s="563"/>
      <c r="AT120" s="563"/>
      <c r="AU120" s="563"/>
      <c r="AV120" s="565"/>
      <c r="AW120" s="564" t="str">
        <f t="shared" si="6"/>
        <v>Gen X, Gravity</v>
      </c>
      <c r="AX120" s="564" t="b">
        <f t="shared" si="13"/>
        <v>0</v>
      </c>
      <c r="AY120" s="563" t="b">
        <f t="array" ref="AY120">AND(D120:G120=inp_used_minimal,A120=inp_used_usersel)</f>
        <v>0</v>
      </c>
      <c r="AZ120" s="563" t="b">
        <f t="array" ref="AZ120">AND(A120=inp_used_usersel,D120:R120=inp_used_nonvessel1,AB120:AV120=inp_used_nonvessel2,IF(B120=1,inp_used_pressure=inp_autosize_pressure,inp_used_gravity=inp_autosize_gravity))</f>
        <v>0</v>
      </c>
      <c r="BA120" s="563" t="b">
        <f t="array" ref="BA120">AND(D120:AV120=inp_used,A120=inp_used_usersel)</f>
        <v>0</v>
      </c>
      <c r="BB120" s="563"/>
      <c r="BC120" s="563"/>
    </row>
    <row r="121" spans="1:55" s="523" customFormat="1">
      <c r="A121" s="523">
        <v>8</v>
      </c>
      <c r="B121" s="523">
        <v>1</v>
      </c>
      <c r="C121" s="523">
        <v>1</v>
      </c>
      <c r="D121" s="917">
        <v>0.03</v>
      </c>
      <c r="E121" s="523" t="s">
        <v>188</v>
      </c>
      <c r="F121" s="414">
        <v>7.0000000000000001E-3</v>
      </c>
      <c r="G121" s="523" t="s">
        <v>188</v>
      </c>
      <c r="H121" s="917" t="s">
        <v>3139</v>
      </c>
      <c r="I121" s="523" t="s">
        <v>936</v>
      </c>
      <c r="J121" s="414">
        <v>66600</v>
      </c>
      <c r="M121" s="561"/>
      <c r="N121" s="917" t="s">
        <v>194</v>
      </c>
      <c r="O121" s="523">
        <v>7.5</v>
      </c>
      <c r="Q121" s="561"/>
      <c r="R121" s="917">
        <v>1</v>
      </c>
      <c r="S121" s="523" t="s">
        <v>3491</v>
      </c>
      <c r="T121" s="559"/>
      <c r="V121" s="559"/>
      <c r="W121" s="560"/>
      <c r="X121" s="559"/>
      <c r="Y121" s="559"/>
      <c r="Z121" s="559"/>
      <c r="AA121" s="559"/>
      <c r="AB121" s="917">
        <v>168</v>
      </c>
      <c r="AC121" s="414" t="s">
        <v>2060</v>
      </c>
      <c r="AD121" s="438" t="s">
        <v>497</v>
      </c>
      <c r="AE121" s="523" t="s">
        <v>499</v>
      </c>
      <c r="AF121" s="561"/>
      <c r="AG121" s="917"/>
      <c r="AH121" s="523">
        <v>0</v>
      </c>
      <c r="AI121" s="438"/>
      <c r="AJ121" s="414"/>
      <c r="AK121" s="523" t="s">
        <v>1932</v>
      </c>
      <c r="AQ121" s="917"/>
      <c r="AV121" s="561"/>
      <c r="AW121" s="414" t="str">
        <f t="shared" si="6"/>
        <v>TCE, Pressure</v>
      </c>
      <c r="AX121" s="414" t="b">
        <f t="shared" si="8"/>
        <v>0</v>
      </c>
      <c r="AY121" s="523" t="b">
        <f t="array" ref="AY121">AND(D121:G121=inp_used_minimal,A121=inp_used_usersel)</f>
        <v>0</v>
      </c>
      <c r="AZ121" s="523" t="b">
        <f t="array" ref="AZ121">AND(A121=inp_used_usersel,D121:R121=inp_used_nonvessel1,AB121:AV121=inp_used_nonvessel2,IF(B121=1,inp_used_pressure=inp_autosize_pressure,inp_used_gravity=inp_autosize_gravity))</f>
        <v>0</v>
      </c>
      <c r="BA121" s="523" t="b">
        <f t="array" ref="BA121">AND(D121:AV121=inp_used,A121=inp_used_usersel)</f>
        <v>0</v>
      </c>
      <c r="BB121" s="523" t="b">
        <f t="shared" ref="BB121:BC128" si="14">CHOOSE(design_type,AX121,AX129)</f>
        <v>0</v>
      </c>
      <c r="BC121" s="523" t="b">
        <f t="shared" si="14"/>
        <v>0</v>
      </c>
    </row>
    <row r="122" spans="1:55" s="523" customFormat="1">
      <c r="A122" s="523">
        <v>8</v>
      </c>
      <c r="B122" s="523">
        <v>1</v>
      </c>
      <c r="C122" s="523">
        <v>2</v>
      </c>
      <c r="D122" s="557">
        <v>0.124</v>
      </c>
      <c r="E122" s="523" t="s">
        <v>188</v>
      </c>
      <c r="F122" s="414">
        <v>3.5000000000000003E-2</v>
      </c>
      <c r="G122" s="523" t="s">
        <v>188</v>
      </c>
      <c r="H122" s="557" t="s">
        <v>3139</v>
      </c>
      <c r="I122" s="523" t="s">
        <v>936</v>
      </c>
      <c r="J122" s="414">
        <v>66600</v>
      </c>
      <c r="M122" s="561"/>
      <c r="N122" s="557" t="s">
        <v>194</v>
      </c>
      <c r="O122" s="523">
        <v>7.5</v>
      </c>
      <c r="Q122" s="561"/>
      <c r="R122" s="557">
        <v>1</v>
      </c>
      <c r="S122" s="523" t="s">
        <v>3491</v>
      </c>
      <c r="T122" s="559"/>
      <c r="V122" s="559"/>
      <c r="W122" s="560"/>
      <c r="X122" s="559"/>
      <c r="Y122" s="559"/>
      <c r="Z122" s="559"/>
      <c r="AA122" s="559"/>
      <c r="AB122" s="557">
        <v>168</v>
      </c>
      <c r="AC122" s="414" t="s">
        <v>2060</v>
      </c>
      <c r="AD122" s="438" t="s">
        <v>498</v>
      </c>
      <c r="AE122" s="523" t="s">
        <v>499</v>
      </c>
      <c r="AF122" s="562" t="s">
        <v>500</v>
      </c>
      <c r="AG122" s="557"/>
      <c r="AH122" s="523">
        <v>0</v>
      </c>
      <c r="AI122" s="438"/>
      <c r="AJ122" s="414"/>
      <c r="AK122" s="523" t="s">
        <v>1932</v>
      </c>
      <c r="AQ122" s="557"/>
      <c r="AV122" s="561"/>
      <c r="AW122" s="414" t="str">
        <f t="shared" si="6"/>
        <v>TCE, Pressure</v>
      </c>
      <c r="AX122" s="414" t="b">
        <f t="shared" si="8"/>
        <v>0</v>
      </c>
      <c r="AY122" s="523" t="b">
        <f t="array" ref="AY122">AND(D122:G122=inp_used_minimal,A122=inp_used_usersel)</f>
        <v>0</v>
      </c>
      <c r="AZ122" s="523" t="b">
        <f t="array" ref="AZ122">AND(A122=inp_used_usersel,D122:R122=inp_used_nonvessel1,AB122:AV122=inp_used_nonvessel2,IF(B122=1,inp_used_pressure=inp_autosize_pressure,inp_used_gravity=inp_autosize_gravity))</f>
        <v>0</v>
      </c>
      <c r="BA122" s="523" t="b">
        <f t="array" ref="BA122">AND(D122:AV122=inp_used,A122=inp_used_usersel)</f>
        <v>0</v>
      </c>
      <c r="BB122" s="523" t="b">
        <f t="shared" si="14"/>
        <v>0</v>
      </c>
      <c r="BC122" s="523" t="b">
        <f t="shared" si="14"/>
        <v>0</v>
      </c>
    </row>
    <row r="123" spans="1:55" s="523" customFormat="1">
      <c r="A123" s="523">
        <v>8</v>
      </c>
      <c r="B123" s="523">
        <v>1</v>
      </c>
      <c r="C123" s="523">
        <v>3</v>
      </c>
      <c r="D123" s="557">
        <v>0.30499999999999999</v>
      </c>
      <c r="E123" s="523" t="s">
        <v>188</v>
      </c>
      <c r="F123" s="414">
        <v>9.4E-2</v>
      </c>
      <c r="G123" s="523" t="s">
        <v>188</v>
      </c>
      <c r="H123" s="557" t="s">
        <v>3139</v>
      </c>
      <c r="I123" s="523" t="s">
        <v>936</v>
      </c>
      <c r="J123" s="414">
        <v>66600</v>
      </c>
      <c r="M123" s="561"/>
      <c r="N123" s="557" t="s">
        <v>194</v>
      </c>
      <c r="O123" s="523">
        <v>7.5</v>
      </c>
      <c r="Q123" s="561"/>
      <c r="R123" s="557">
        <v>1</v>
      </c>
      <c r="S123" s="523" t="s">
        <v>3491</v>
      </c>
      <c r="T123" s="559"/>
      <c r="V123" s="559"/>
      <c r="W123" s="560"/>
      <c r="X123" s="559"/>
      <c r="Y123" s="559"/>
      <c r="Z123" s="559"/>
      <c r="AA123" s="559"/>
      <c r="AB123" s="557">
        <v>168</v>
      </c>
      <c r="AC123" s="414" t="s">
        <v>2060</v>
      </c>
      <c r="AD123" s="438" t="s">
        <v>498</v>
      </c>
      <c r="AE123" s="523" t="s">
        <v>499</v>
      </c>
      <c r="AF123" s="562" t="s">
        <v>500</v>
      </c>
      <c r="AG123" s="557"/>
      <c r="AH123" s="523">
        <v>0</v>
      </c>
      <c r="AI123" s="438"/>
      <c r="AJ123" s="414"/>
      <c r="AK123" s="523" t="s">
        <v>1932</v>
      </c>
      <c r="AQ123" s="557"/>
      <c r="AV123" s="561"/>
      <c r="AW123" s="414" t="str">
        <f t="shared" si="6"/>
        <v>TCE, Pressure</v>
      </c>
      <c r="AX123" s="414" t="b">
        <f t="shared" si="8"/>
        <v>0</v>
      </c>
      <c r="AY123" s="523" t="b">
        <f t="array" ref="AY123">AND(D123:G123=inp_used_minimal,A123=inp_used_usersel)</f>
        <v>0</v>
      </c>
      <c r="AZ123" s="523" t="b">
        <f t="array" ref="AZ123">AND(A123=inp_used_usersel,D123:R123=inp_used_nonvessel1,AB123:AV123=inp_used_nonvessel2,IF(B123=1,inp_used_pressure=inp_autosize_pressure,inp_used_gravity=inp_autosize_gravity))</f>
        <v>0</v>
      </c>
      <c r="BA123" s="523" t="b">
        <f t="array" ref="BA123">AND(D123:AV123=inp_used,A123=inp_used_usersel)</f>
        <v>0</v>
      </c>
      <c r="BB123" s="523" t="b">
        <f t="shared" si="14"/>
        <v>0</v>
      </c>
      <c r="BC123" s="523" t="b">
        <f t="shared" si="14"/>
        <v>0</v>
      </c>
    </row>
    <row r="124" spans="1:55" s="523" customFormat="1">
      <c r="A124" s="523">
        <v>8</v>
      </c>
      <c r="B124" s="523">
        <v>1</v>
      </c>
      <c r="C124" s="523">
        <v>4</v>
      </c>
      <c r="D124" s="557">
        <v>0.74</v>
      </c>
      <c r="E124" s="523" t="s">
        <v>188</v>
      </c>
      <c r="F124" s="414">
        <v>0.251</v>
      </c>
      <c r="G124" s="523" t="s">
        <v>188</v>
      </c>
      <c r="H124" s="557" t="s">
        <v>3139</v>
      </c>
      <c r="I124" s="523" t="s">
        <v>936</v>
      </c>
      <c r="J124" s="414">
        <v>66600</v>
      </c>
      <c r="M124" s="561"/>
      <c r="N124" s="557" t="s">
        <v>194</v>
      </c>
      <c r="O124" s="523">
        <v>7.5</v>
      </c>
      <c r="Q124" s="561"/>
      <c r="R124" s="557">
        <v>1</v>
      </c>
      <c r="S124" s="523" t="s">
        <v>3491</v>
      </c>
      <c r="T124" s="559"/>
      <c r="V124" s="559"/>
      <c r="W124" s="560"/>
      <c r="X124" s="559"/>
      <c r="Y124" s="559"/>
      <c r="Z124" s="559"/>
      <c r="AA124" s="559"/>
      <c r="AB124" s="557">
        <v>168</v>
      </c>
      <c r="AC124" s="414" t="s">
        <v>2060</v>
      </c>
      <c r="AD124" s="438" t="s">
        <v>498</v>
      </c>
      <c r="AE124" s="523" t="s">
        <v>499</v>
      </c>
      <c r="AF124" s="562" t="s">
        <v>500</v>
      </c>
      <c r="AG124" s="557"/>
      <c r="AH124" s="523">
        <v>0</v>
      </c>
      <c r="AI124" s="438"/>
      <c r="AJ124" s="414"/>
      <c r="AK124" s="523" t="s">
        <v>1932</v>
      </c>
      <c r="AQ124" s="557"/>
      <c r="AV124" s="561"/>
      <c r="AW124" s="414" t="str">
        <f t="shared" si="6"/>
        <v>TCE, Pressure</v>
      </c>
      <c r="AX124" s="414" t="b">
        <f t="shared" si="8"/>
        <v>0</v>
      </c>
      <c r="AY124" s="523" t="b">
        <f t="array" ref="AY124">AND(D124:G124=inp_used_minimal,A124=inp_used_usersel)</f>
        <v>0</v>
      </c>
      <c r="AZ124" s="523" t="b">
        <f t="array" ref="AZ124">AND(A124=inp_used_usersel,D124:R124=inp_used_nonvessel1,AB124:AV124=inp_used_nonvessel2,IF(B124=1,inp_used_pressure=inp_autosize_pressure,inp_used_gravity=inp_autosize_gravity))</f>
        <v>0</v>
      </c>
      <c r="BA124" s="523" t="b">
        <f t="array" ref="BA124">AND(D124:AV124=inp_used,A124=inp_used_usersel)</f>
        <v>0</v>
      </c>
      <c r="BB124" s="523" t="b">
        <f t="shared" si="14"/>
        <v>0</v>
      </c>
      <c r="BC124" s="523" t="b">
        <f t="shared" si="14"/>
        <v>0</v>
      </c>
    </row>
    <row r="125" spans="1:55" s="523" customFormat="1">
      <c r="A125" s="523">
        <v>8</v>
      </c>
      <c r="B125" s="523">
        <v>1</v>
      </c>
      <c r="C125" s="414">
        <v>5</v>
      </c>
      <c r="D125" s="529">
        <v>2.1520000000000001</v>
      </c>
      <c r="E125" s="523" t="s">
        <v>188</v>
      </c>
      <c r="F125" s="414">
        <v>0.81899999999999995</v>
      </c>
      <c r="G125" s="523" t="s">
        <v>188</v>
      </c>
      <c r="H125" s="557" t="s">
        <v>3139</v>
      </c>
      <c r="I125" s="523" t="s">
        <v>936</v>
      </c>
      <c r="J125" s="414">
        <v>66600</v>
      </c>
      <c r="M125" s="561"/>
      <c r="N125" s="557" t="s">
        <v>194</v>
      </c>
      <c r="O125" s="523">
        <v>7.5</v>
      </c>
      <c r="Q125" s="561"/>
      <c r="R125" s="557">
        <v>1</v>
      </c>
      <c r="S125" s="523" t="s">
        <v>3491</v>
      </c>
      <c r="T125" s="559"/>
      <c r="V125" s="559"/>
      <c r="W125" s="560"/>
      <c r="X125" s="559"/>
      <c r="Y125" s="559"/>
      <c r="Z125" s="559"/>
      <c r="AA125" s="559"/>
      <c r="AB125" s="557">
        <v>168</v>
      </c>
      <c r="AC125" s="414" t="s">
        <v>2060</v>
      </c>
      <c r="AD125" s="438" t="s">
        <v>498</v>
      </c>
      <c r="AE125" s="523" t="s">
        <v>499</v>
      </c>
      <c r="AF125" s="562" t="s">
        <v>500</v>
      </c>
      <c r="AG125" s="557"/>
      <c r="AH125" s="523">
        <v>0</v>
      </c>
      <c r="AJ125" s="414"/>
      <c r="AK125" s="523" t="s">
        <v>1932</v>
      </c>
      <c r="AQ125" s="557"/>
      <c r="AV125" s="561"/>
      <c r="AW125" s="414" t="str">
        <f t="shared" si="6"/>
        <v>TCE, Pressure</v>
      </c>
      <c r="AX125" s="414" t="b">
        <f t="shared" si="8"/>
        <v>0</v>
      </c>
      <c r="AY125" s="523" t="b">
        <f t="array" ref="AY125">AND(D125:G125=inp_used_minimal,A125=inp_used_usersel)</f>
        <v>0</v>
      </c>
      <c r="AZ125" s="523" t="b">
        <f t="array" ref="AZ125">AND(A125=inp_used_usersel,D125:R125=inp_used_nonvessel1,AB125:AV125=inp_used_nonvessel2,IF(B125=1,inp_used_pressure=inp_autosize_pressure,inp_used_gravity=inp_autosize_gravity))</f>
        <v>0</v>
      </c>
      <c r="BA125" s="523" t="b">
        <f t="array" ref="BA125">AND(D125:AV125=inp_used,A125=inp_used_usersel)</f>
        <v>0</v>
      </c>
      <c r="BB125" s="523" t="b">
        <f t="shared" si="14"/>
        <v>0</v>
      </c>
      <c r="BC125" s="523" t="b">
        <f t="shared" si="14"/>
        <v>0</v>
      </c>
    </row>
    <row r="126" spans="1:55" s="523" customFormat="1">
      <c r="A126" s="523">
        <v>8</v>
      </c>
      <c r="B126" s="523">
        <v>1</v>
      </c>
      <c r="C126" s="414">
        <v>6</v>
      </c>
      <c r="D126" s="529">
        <v>7.3650000000000002</v>
      </c>
      <c r="E126" s="523" t="s">
        <v>188</v>
      </c>
      <c r="F126" s="414">
        <v>3.2</v>
      </c>
      <c r="G126" s="523" t="s">
        <v>188</v>
      </c>
      <c r="H126" s="557" t="s">
        <v>3139</v>
      </c>
      <c r="I126" s="523" t="s">
        <v>936</v>
      </c>
      <c r="J126" s="414">
        <v>66600</v>
      </c>
      <c r="M126" s="561"/>
      <c r="N126" s="557" t="s">
        <v>194</v>
      </c>
      <c r="O126" s="523">
        <v>7.5</v>
      </c>
      <c r="Q126" s="561"/>
      <c r="R126" s="557">
        <v>1</v>
      </c>
      <c r="S126" s="523" t="s">
        <v>3491</v>
      </c>
      <c r="T126" s="559"/>
      <c r="V126" s="559"/>
      <c r="W126" s="560"/>
      <c r="X126" s="559"/>
      <c r="Y126" s="559"/>
      <c r="Z126" s="559"/>
      <c r="AA126" s="559"/>
      <c r="AB126" s="557">
        <v>168</v>
      </c>
      <c r="AC126" s="414" t="s">
        <v>2060</v>
      </c>
      <c r="AD126" s="438" t="s">
        <v>498</v>
      </c>
      <c r="AE126" s="523" t="s">
        <v>2615</v>
      </c>
      <c r="AF126" s="562" t="s">
        <v>500</v>
      </c>
      <c r="AG126" s="557"/>
      <c r="AH126" s="523">
        <v>0</v>
      </c>
      <c r="AJ126" s="414"/>
      <c r="AK126" s="523" t="s">
        <v>1932</v>
      </c>
      <c r="AQ126" s="557"/>
      <c r="AV126" s="561"/>
      <c r="AW126" s="414" t="str">
        <f t="shared" si="6"/>
        <v>TCE, Pressure</v>
      </c>
      <c r="AX126" s="414" t="b">
        <f t="shared" si="8"/>
        <v>0</v>
      </c>
      <c r="AY126" s="523" t="b">
        <f t="array" ref="AY126">AND(D126:G126=inp_used_minimal,A126=inp_used_usersel)</f>
        <v>0</v>
      </c>
      <c r="AZ126" s="523" t="b">
        <f t="array" ref="AZ126">AND(A126=inp_used_usersel,D126:R126=inp_used_nonvessel1,AB126:AV126=inp_used_nonvessel2,IF(B126=1,inp_used_pressure=inp_autosize_pressure,inp_used_gravity=inp_autosize_gravity))</f>
        <v>0</v>
      </c>
      <c r="BA126" s="523" t="b">
        <f t="array" ref="BA126">AND(D126:AV126=inp_used,A126=inp_used_usersel)</f>
        <v>0</v>
      </c>
      <c r="BB126" s="523" t="b">
        <f t="shared" si="14"/>
        <v>0</v>
      </c>
      <c r="BC126" s="523" t="b">
        <f t="shared" si="14"/>
        <v>0</v>
      </c>
    </row>
    <row r="127" spans="1:55" s="523" customFormat="1">
      <c r="A127" s="523">
        <v>8</v>
      </c>
      <c r="B127" s="523">
        <v>1</v>
      </c>
      <c r="C127" s="414">
        <v>7</v>
      </c>
      <c r="D127" s="529">
        <v>22.614000000000001</v>
      </c>
      <c r="E127" s="523" t="s">
        <v>188</v>
      </c>
      <c r="F127" s="414">
        <v>11.066000000000001</v>
      </c>
      <c r="G127" s="523" t="s">
        <v>188</v>
      </c>
      <c r="H127" s="557" t="s">
        <v>3139</v>
      </c>
      <c r="I127" s="523" t="s">
        <v>936</v>
      </c>
      <c r="J127" s="414">
        <v>66600</v>
      </c>
      <c r="M127" s="561"/>
      <c r="N127" s="557" t="s">
        <v>194</v>
      </c>
      <c r="O127" s="523">
        <v>7.5</v>
      </c>
      <c r="Q127" s="561"/>
      <c r="R127" s="557">
        <v>1</v>
      </c>
      <c r="S127" s="523" t="s">
        <v>3491</v>
      </c>
      <c r="T127" s="559"/>
      <c r="V127" s="559"/>
      <c r="W127" s="560"/>
      <c r="X127" s="559"/>
      <c r="Y127" s="559"/>
      <c r="Z127" s="559"/>
      <c r="AA127" s="559"/>
      <c r="AB127" s="557">
        <v>168</v>
      </c>
      <c r="AC127" s="414" t="s">
        <v>2060</v>
      </c>
      <c r="AD127" s="438" t="s">
        <v>498</v>
      </c>
      <c r="AE127" s="523" t="s">
        <v>2615</v>
      </c>
      <c r="AF127" s="562" t="s">
        <v>500</v>
      </c>
      <c r="AG127" s="557"/>
      <c r="AH127" s="523">
        <v>0</v>
      </c>
      <c r="AJ127" s="414"/>
      <c r="AK127" s="523" t="s">
        <v>1932</v>
      </c>
      <c r="AQ127" s="557"/>
      <c r="AV127" s="561"/>
      <c r="AW127" s="414" t="str">
        <f t="shared" si="6"/>
        <v>TCE, Pressure</v>
      </c>
      <c r="AX127" s="414" t="b">
        <f t="shared" si="8"/>
        <v>0</v>
      </c>
      <c r="AY127" s="523" t="b">
        <f t="array" ref="AY127">AND(D127:G127=inp_used_minimal,A127=inp_used_usersel)</f>
        <v>0</v>
      </c>
      <c r="AZ127" s="523" t="b">
        <f t="array" ref="AZ127">AND(A127=inp_used_usersel,D127:R127=inp_used_nonvessel1,AB127:AV127=inp_used_nonvessel2,IF(B127=1,inp_used_pressure=inp_autosize_pressure,inp_used_gravity=inp_autosize_gravity))</f>
        <v>0</v>
      </c>
      <c r="BA127" s="523" t="b">
        <f t="array" ref="BA127">AND(D127:AV127=inp_used,A127=inp_used_usersel)</f>
        <v>0</v>
      </c>
      <c r="BB127" s="523" t="b">
        <f t="shared" si="14"/>
        <v>0</v>
      </c>
      <c r="BC127" s="523" t="b">
        <f t="shared" si="14"/>
        <v>0</v>
      </c>
    </row>
    <row r="128" spans="1:55" s="563" customFormat="1">
      <c r="A128" s="563">
        <v>8</v>
      </c>
      <c r="B128" s="563">
        <v>1</v>
      </c>
      <c r="C128" s="564">
        <v>8</v>
      </c>
      <c r="D128" s="918">
        <v>75.072000000000003</v>
      </c>
      <c r="E128" s="563" t="s">
        <v>188</v>
      </c>
      <c r="F128" s="564">
        <v>37.536000000000001</v>
      </c>
      <c r="G128" s="563" t="s">
        <v>188</v>
      </c>
      <c r="H128" s="919" t="s">
        <v>3139</v>
      </c>
      <c r="I128" s="563" t="s">
        <v>936</v>
      </c>
      <c r="J128" s="564">
        <v>66600</v>
      </c>
      <c r="M128" s="565"/>
      <c r="N128" s="919" t="s">
        <v>194</v>
      </c>
      <c r="O128" s="563">
        <v>7.5</v>
      </c>
      <c r="Q128" s="565"/>
      <c r="R128" s="919">
        <v>1</v>
      </c>
      <c r="S128" s="563" t="s">
        <v>3491</v>
      </c>
      <c r="T128" s="566"/>
      <c r="V128" s="566"/>
      <c r="W128" s="567"/>
      <c r="X128" s="566"/>
      <c r="Y128" s="566"/>
      <c r="Z128" s="566"/>
      <c r="AA128" s="567"/>
      <c r="AB128" s="919">
        <v>168</v>
      </c>
      <c r="AC128" s="564" t="s">
        <v>2060</v>
      </c>
      <c r="AD128" s="568" t="s">
        <v>498</v>
      </c>
      <c r="AE128" s="563" t="s">
        <v>2615</v>
      </c>
      <c r="AF128" s="554" t="s">
        <v>500</v>
      </c>
      <c r="AG128" s="919"/>
      <c r="AH128" s="563">
        <v>0</v>
      </c>
      <c r="AJ128" s="564"/>
      <c r="AK128" s="563" t="s">
        <v>1932</v>
      </c>
      <c r="AP128" s="565"/>
      <c r="AQ128" s="919"/>
      <c r="AV128" s="565"/>
      <c r="AW128" s="564" t="str">
        <f t="shared" si="6"/>
        <v>TCE, Pressure</v>
      </c>
      <c r="AX128" s="564" t="b">
        <f t="shared" si="8"/>
        <v>0</v>
      </c>
      <c r="AY128" s="563" t="b">
        <f t="array" ref="AY128">AND(D128:G128=inp_used_minimal,A128=inp_used_usersel)</f>
        <v>0</v>
      </c>
      <c r="AZ128" s="563" t="b">
        <f t="array" ref="AZ128">AND(A128=inp_used_usersel,D128:R128=inp_used_nonvessel1,AB128:AV128=inp_used_nonvessel2,IF(B128=1,inp_used_pressure=inp_autosize_pressure,inp_used_gravity=inp_autosize_gravity))</f>
        <v>0</v>
      </c>
      <c r="BA128" s="563" t="b">
        <f t="array" ref="BA128">AND(D128:AV128=inp_used,A128=inp_used_usersel)</f>
        <v>0</v>
      </c>
      <c r="BB128" s="563" t="b">
        <f t="shared" si="14"/>
        <v>0</v>
      </c>
      <c r="BC128" s="563" t="b">
        <f t="shared" si="14"/>
        <v>0</v>
      </c>
    </row>
    <row r="129" spans="1:55" s="523" customFormat="1">
      <c r="A129" s="523">
        <v>8</v>
      </c>
      <c r="B129" s="523">
        <v>2</v>
      </c>
      <c r="C129" s="523">
        <v>1</v>
      </c>
      <c r="D129" s="917">
        <v>0.03</v>
      </c>
      <c r="E129" s="523" t="s">
        <v>188</v>
      </c>
      <c r="F129" s="414">
        <v>7.0000000000000001E-3</v>
      </c>
      <c r="G129" s="523" t="s">
        <v>188</v>
      </c>
      <c r="H129" s="917" t="s">
        <v>3139</v>
      </c>
      <c r="I129" s="523" t="s">
        <v>936</v>
      </c>
      <c r="J129" s="414">
        <v>66600</v>
      </c>
      <c r="M129" s="561"/>
      <c r="N129" s="917" t="s">
        <v>194</v>
      </c>
      <c r="O129" s="523">
        <v>7.5</v>
      </c>
      <c r="Q129" s="561"/>
      <c r="R129" s="917"/>
      <c r="T129" s="559"/>
      <c r="U129" s="559"/>
      <c r="V129" s="559"/>
      <c r="W129" s="560"/>
      <c r="X129" s="559" t="s">
        <v>3491</v>
      </c>
      <c r="Y129" s="414"/>
      <c r="Z129" s="414"/>
      <c r="AA129" s="414"/>
      <c r="AB129" s="917">
        <v>168</v>
      </c>
      <c r="AC129" s="414" t="s">
        <v>2060</v>
      </c>
      <c r="AD129" s="414" t="s">
        <v>2875</v>
      </c>
      <c r="AE129" s="523" t="s">
        <v>499</v>
      </c>
      <c r="AF129" s="414" t="s">
        <v>500</v>
      </c>
      <c r="AG129" s="917"/>
      <c r="AI129" s="438"/>
      <c r="AJ129" s="414"/>
      <c r="AK129" s="523" t="s">
        <v>1932</v>
      </c>
      <c r="AQ129" s="917"/>
      <c r="AV129" s="561"/>
      <c r="AW129" s="414" t="str">
        <f t="shared" si="6"/>
        <v>TCE, Gravity</v>
      </c>
      <c r="AX129" s="414" t="b">
        <f t="shared" si="8"/>
        <v>0</v>
      </c>
      <c r="AY129" s="523" t="b">
        <f t="array" ref="AY129">AND(D129:G129=inp_used_minimal,A129=inp_used_usersel)</f>
        <v>0</v>
      </c>
      <c r="AZ129" s="523" t="b">
        <f t="array" ref="AZ129">AND(A129=inp_used_usersel,D129:R129=inp_used_nonvessel1,AB129:AV129=inp_used_nonvessel2,IF(B129=1,inp_used_pressure=inp_autosize_pressure,inp_used_gravity=inp_autosize_gravity))</f>
        <v>0</v>
      </c>
      <c r="BA129" s="523" t="b">
        <f t="array" ref="BA129">AND(D129:AV129=inp_used,A129=inp_used_usersel)</f>
        <v>0</v>
      </c>
    </row>
    <row r="130" spans="1:55" s="523" customFormat="1">
      <c r="A130" s="523">
        <v>8</v>
      </c>
      <c r="B130" s="523">
        <v>2</v>
      </c>
      <c r="C130" s="523">
        <v>2</v>
      </c>
      <c r="D130" s="557">
        <v>0.124</v>
      </c>
      <c r="E130" s="523" t="s">
        <v>188</v>
      </c>
      <c r="F130" s="414">
        <v>3.5000000000000003E-2</v>
      </c>
      <c r="G130" s="523" t="s">
        <v>188</v>
      </c>
      <c r="H130" s="557" t="s">
        <v>3139</v>
      </c>
      <c r="I130" s="523" t="s">
        <v>936</v>
      </c>
      <c r="J130" s="414">
        <v>66600</v>
      </c>
      <c r="M130" s="561"/>
      <c r="N130" s="557" t="s">
        <v>194</v>
      </c>
      <c r="O130" s="523">
        <v>7.5</v>
      </c>
      <c r="Q130" s="561"/>
      <c r="R130" s="557"/>
      <c r="T130" s="559"/>
      <c r="U130" s="559"/>
      <c r="V130" s="559"/>
      <c r="W130" s="560"/>
      <c r="X130" s="559" t="s">
        <v>3491</v>
      </c>
      <c r="Y130" s="414"/>
      <c r="Z130" s="414"/>
      <c r="AA130" s="414"/>
      <c r="AB130" s="557">
        <v>168</v>
      </c>
      <c r="AC130" s="414" t="s">
        <v>2060</v>
      </c>
      <c r="AD130" s="414" t="s">
        <v>2875</v>
      </c>
      <c r="AE130" s="523" t="s">
        <v>499</v>
      </c>
      <c r="AF130" s="414" t="s">
        <v>500</v>
      </c>
      <c r="AG130" s="557"/>
      <c r="AI130" s="438"/>
      <c r="AJ130" s="414"/>
      <c r="AK130" s="523" t="s">
        <v>1932</v>
      </c>
      <c r="AQ130" s="557"/>
      <c r="AV130" s="561"/>
      <c r="AW130" s="414" t="str">
        <f t="shared" si="6"/>
        <v>TCE, Gravity</v>
      </c>
      <c r="AX130" s="414" t="b">
        <f t="shared" si="8"/>
        <v>0</v>
      </c>
      <c r="AY130" s="523" t="b">
        <f t="array" ref="AY130">AND(D130:G130=inp_used_minimal,A130=inp_used_usersel)</f>
        <v>0</v>
      </c>
      <c r="AZ130" s="523" t="b">
        <f t="array" ref="AZ130">AND(A130=inp_used_usersel,D130:R130=inp_used_nonvessel1,AB130:AV130=inp_used_nonvessel2,IF(B130=1,inp_used_pressure=inp_autosize_pressure,inp_used_gravity=inp_autosize_gravity))</f>
        <v>0</v>
      </c>
      <c r="BA130" s="523" t="b">
        <f t="array" ref="BA130">AND(D130:AV130=inp_used,A130=inp_used_usersel)</f>
        <v>0</v>
      </c>
    </row>
    <row r="131" spans="1:55" s="523" customFormat="1">
      <c r="A131" s="523">
        <v>8</v>
      </c>
      <c r="B131" s="523">
        <v>2</v>
      </c>
      <c r="C131" s="523">
        <v>3</v>
      </c>
      <c r="D131" s="557">
        <v>0.30499999999999999</v>
      </c>
      <c r="E131" s="523" t="s">
        <v>188</v>
      </c>
      <c r="F131" s="414">
        <v>9.4E-2</v>
      </c>
      <c r="G131" s="523" t="s">
        <v>188</v>
      </c>
      <c r="H131" s="557" t="s">
        <v>3139</v>
      </c>
      <c r="I131" s="523" t="s">
        <v>936</v>
      </c>
      <c r="J131" s="414">
        <v>66600</v>
      </c>
      <c r="M131" s="561"/>
      <c r="N131" s="557" t="s">
        <v>194</v>
      </c>
      <c r="O131" s="523">
        <v>7.5</v>
      </c>
      <c r="Q131" s="561"/>
      <c r="R131" s="557"/>
      <c r="T131" s="559"/>
      <c r="U131" s="559"/>
      <c r="V131" s="559"/>
      <c r="W131" s="560"/>
      <c r="X131" s="559" t="s">
        <v>3491</v>
      </c>
      <c r="Y131" s="414"/>
      <c r="Z131" s="414"/>
      <c r="AA131" s="414"/>
      <c r="AB131" s="557">
        <v>168</v>
      </c>
      <c r="AC131" s="414" t="s">
        <v>2060</v>
      </c>
      <c r="AD131" s="414" t="s">
        <v>2875</v>
      </c>
      <c r="AE131" s="523" t="s">
        <v>499</v>
      </c>
      <c r="AF131" s="414" t="s">
        <v>500</v>
      </c>
      <c r="AG131" s="557"/>
      <c r="AI131" s="438"/>
      <c r="AJ131" s="414"/>
      <c r="AK131" s="523" t="s">
        <v>1932</v>
      </c>
      <c r="AQ131" s="557"/>
      <c r="AV131" s="561"/>
      <c r="AW131" s="414" t="str">
        <f t="shared" si="6"/>
        <v>TCE, Gravity</v>
      </c>
      <c r="AX131" s="414" t="b">
        <f t="shared" si="8"/>
        <v>0</v>
      </c>
      <c r="AY131" s="523" t="b">
        <f t="array" ref="AY131">AND(D131:G131=inp_used_minimal,A131=inp_used_usersel)</f>
        <v>0</v>
      </c>
      <c r="AZ131" s="523" t="b">
        <f t="array" ref="AZ131">AND(A131=inp_used_usersel,D131:R131=inp_used_nonvessel1,AB131:AV131=inp_used_nonvessel2,IF(B131=1,inp_used_pressure=inp_autosize_pressure,inp_used_gravity=inp_autosize_gravity))</f>
        <v>0</v>
      </c>
      <c r="BA131" s="523" t="b">
        <f t="array" ref="BA131">AND(D131:AV131=inp_used,A131=inp_used_usersel)</f>
        <v>0</v>
      </c>
    </row>
    <row r="132" spans="1:55" s="523" customFormat="1">
      <c r="A132" s="523">
        <v>8</v>
      </c>
      <c r="B132" s="523">
        <v>2</v>
      </c>
      <c r="C132" s="523">
        <v>4</v>
      </c>
      <c r="D132" s="557">
        <v>0.74</v>
      </c>
      <c r="E132" s="523" t="s">
        <v>188</v>
      </c>
      <c r="F132" s="414">
        <v>0.251</v>
      </c>
      <c r="G132" s="523" t="s">
        <v>188</v>
      </c>
      <c r="H132" s="557" t="s">
        <v>3139</v>
      </c>
      <c r="I132" s="523" t="s">
        <v>936</v>
      </c>
      <c r="J132" s="414">
        <v>66600</v>
      </c>
      <c r="M132" s="561"/>
      <c r="N132" s="557" t="s">
        <v>194</v>
      </c>
      <c r="O132" s="523">
        <v>7.5</v>
      </c>
      <c r="Q132" s="561"/>
      <c r="R132" s="557"/>
      <c r="T132" s="559"/>
      <c r="U132" s="559"/>
      <c r="V132" s="559"/>
      <c r="W132" s="560"/>
      <c r="X132" s="559" t="s">
        <v>3491</v>
      </c>
      <c r="Y132" s="414"/>
      <c r="Z132" s="414"/>
      <c r="AA132" s="414"/>
      <c r="AB132" s="557">
        <v>168</v>
      </c>
      <c r="AC132" s="414" t="s">
        <v>2060</v>
      </c>
      <c r="AD132" s="414" t="s">
        <v>2875</v>
      </c>
      <c r="AE132" s="523" t="s">
        <v>499</v>
      </c>
      <c r="AF132" s="414" t="s">
        <v>500</v>
      </c>
      <c r="AG132" s="557"/>
      <c r="AI132" s="438"/>
      <c r="AJ132" s="414"/>
      <c r="AK132" s="523" t="s">
        <v>1932</v>
      </c>
      <c r="AQ132" s="557"/>
      <c r="AV132" s="561"/>
      <c r="AW132" s="414" t="str">
        <f t="shared" si="6"/>
        <v>TCE, Gravity</v>
      </c>
      <c r="AX132" s="414" t="b">
        <f t="shared" si="8"/>
        <v>0</v>
      </c>
      <c r="AY132" s="523" t="b">
        <f t="array" ref="AY132">AND(D132:G132=inp_used_minimal,A132=inp_used_usersel)</f>
        <v>0</v>
      </c>
      <c r="AZ132" s="523" t="b">
        <f t="array" ref="AZ132">AND(A132=inp_used_usersel,D132:R132=inp_used_nonvessel1,AB132:AV132=inp_used_nonvessel2,IF(B132=1,inp_used_pressure=inp_autosize_pressure,inp_used_gravity=inp_autosize_gravity))</f>
        <v>0</v>
      </c>
      <c r="BA132" s="523" t="b">
        <f t="array" ref="BA132">AND(D132:AV132=inp_used,A132=inp_used_usersel)</f>
        <v>0</v>
      </c>
    </row>
    <row r="133" spans="1:55" s="523" customFormat="1">
      <c r="A133" s="523">
        <v>8</v>
      </c>
      <c r="B133" s="523">
        <v>2</v>
      </c>
      <c r="C133" s="414">
        <v>5</v>
      </c>
      <c r="D133" s="529">
        <v>2.1520000000000001</v>
      </c>
      <c r="E133" s="523" t="s">
        <v>188</v>
      </c>
      <c r="F133" s="414">
        <v>0.81899999999999995</v>
      </c>
      <c r="G133" s="523" t="s">
        <v>188</v>
      </c>
      <c r="H133" s="557" t="s">
        <v>3139</v>
      </c>
      <c r="I133" s="523" t="s">
        <v>936</v>
      </c>
      <c r="J133" s="414">
        <v>66600</v>
      </c>
      <c r="M133" s="561"/>
      <c r="N133" s="557" t="s">
        <v>194</v>
      </c>
      <c r="O133" s="523">
        <v>7.5</v>
      </c>
      <c r="Q133" s="561"/>
      <c r="R133" s="557"/>
      <c r="T133" s="559"/>
      <c r="U133" s="559"/>
      <c r="V133" s="559"/>
      <c r="W133" s="560"/>
      <c r="X133" s="559" t="s">
        <v>3491</v>
      </c>
      <c r="Y133" s="414"/>
      <c r="Z133" s="414"/>
      <c r="AA133" s="414"/>
      <c r="AB133" s="557">
        <v>168</v>
      </c>
      <c r="AC133" s="414" t="s">
        <v>2060</v>
      </c>
      <c r="AD133" s="414" t="s">
        <v>2875</v>
      </c>
      <c r="AE133" s="523" t="s">
        <v>499</v>
      </c>
      <c r="AF133" s="414" t="s">
        <v>500</v>
      </c>
      <c r="AG133" s="557"/>
      <c r="AJ133" s="414"/>
      <c r="AK133" s="523" t="s">
        <v>1932</v>
      </c>
      <c r="AQ133" s="557"/>
      <c r="AV133" s="561"/>
      <c r="AW133" s="414" t="str">
        <f t="shared" si="6"/>
        <v>TCE, Gravity</v>
      </c>
      <c r="AX133" s="414" t="b">
        <f t="shared" si="8"/>
        <v>0</v>
      </c>
      <c r="AY133" s="523" t="b">
        <f t="array" ref="AY133">AND(D133:G133=inp_used_minimal,A133=inp_used_usersel)</f>
        <v>0</v>
      </c>
      <c r="AZ133" s="523" t="b">
        <f t="array" ref="AZ133">AND(A133=inp_used_usersel,D133:R133=inp_used_nonvessel1,AB133:AV133=inp_used_nonvessel2,IF(B133=1,inp_used_pressure=inp_autosize_pressure,inp_used_gravity=inp_autosize_gravity))</f>
        <v>0</v>
      </c>
      <c r="BA133" s="523" t="b">
        <f t="array" ref="BA133">AND(D133:AV133=inp_used,A133=inp_used_usersel)</f>
        <v>0</v>
      </c>
    </row>
    <row r="134" spans="1:55" s="523" customFormat="1">
      <c r="A134" s="523">
        <v>8</v>
      </c>
      <c r="B134" s="523">
        <v>2</v>
      </c>
      <c r="C134" s="414">
        <v>6</v>
      </c>
      <c r="D134" s="529">
        <v>7.3650000000000002</v>
      </c>
      <c r="E134" s="523" t="s">
        <v>188</v>
      </c>
      <c r="F134" s="414">
        <v>3.2</v>
      </c>
      <c r="G134" s="523" t="s">
        <v>188</v>
      </c>
      <c r="H134" s="557" t="s">
        <v>3139</v>
      </c>
      <c r="I134" s="523" t="s">
        <v>936</v>
      </c>
      <c r="J134" s="414">
        <v>66600</v>
      </c>
      <c r="M134" s="561"/>
      <c r="N134" s="557" t="s">
        <v>194</v>
      </c>
      <c r="O134" s="523">
        <v>7.5</v>
      </c>
      <c r="Q134" s="561"/>
      <c r="R134" s="557"/>
      <c r="T134" s="559"/>
      <c r="U134" s="559"/>
      <c r="V134" s="559"/>
      <c r="W134" s="560"/>
      <c r="X134" s="559" t="s">
        <v>3491</v>
      </c>
      <c r="Y134" s="414"/>
      <c r="Z134" s="414"/>
      <c r="AA134" s="414"/>
      <c r="AB134" s="557">
        <v>168</v>
      </c>
      <c r="AC134" s="414" t="s">
        <v>2060</v>
      </c>
      <c r="AD134" s="414" t="s">
        <v>2875</v>
      </c>
      <c r="AE134" s="523" t="s">
        <v>2615</v>
      </c>
      <c r="AF134" s="414" t="s">
        <v>500</v>
      </c>
      <c r="AG134" s="557"/>
      <c r="AJ134" s="414"/>
      <c r="AK134" s="523" t="s">
        <v>1932</v>
      </c>
      <c r="AQ134" s="557"/>
      <c r="AV134" s="561"/>
      <c r="AW134" s="414" t="str">
        <f t="shared" si="6"/>
        <v>TCE, Gravity</v>
      </c>
      <c r="AX134" s="414" t="b">
        <f t="shared" si="8"/>
        <v>0</v>
      </c>
      <c r="AY134" s="523" t="b">
        <f t="array" ref="AY134">AND(D134:G134=inp_used_minimal,A134=inp_used_usersel)</f>
        <v>0</v>
      </c>
      <c r="AZ134" s="523" t="b">
        <f t="array" ref="AZ134">AND(A134=inp_used_usersel,D134:R134=inp_used_nonvessel1,AB134:AV134=inp_used_nonvessel2,IF(B134=1,inp_used_pressure=inp_autosize_pressure,inp_used_gravity=inp_autosize_gravity))</f>
        <v>0</v>
      </c>
      <c r="BA134" s="523" t="b">
        <f t="array" ref="BA134">AND(D134:AV134=inp_used,A134=inp_used_usersel)</f>
        <v>0</v>
      </c>
    </row>
    <row r="135" spans="1:55" s="523" customFormat="1">
      <c r="A135" s="523">
        <v>8</v>
      </c>
      <c r="B135" s="523">
        <v>2</v>
      </c>
      <c r="C135" s="414">
        <v>7</v>
      </c>
      <c r="D135" s="529">
        <v>22.614000000000001</v>
      </c>
      <c r="E135" s="523" t="s">
        <v>188</v>
      </c>
      <c r="F135" s="414">
        <v>11.066000000000001</v>
      </c>
      <c r="G135" s="523" t="s">
        <v>188</v>
      </c>
      <c r="H135" s="557" t="s">
        <v>3139</v>
      </c>
      <c r="I135" s="523" t="s">
        <v>936</v>
      </c>
      <c r="J135" s="414">
        <v>66600</v>
      </c>
      <c r="M135" s="561"/>
      <c r="N135" s="557" t="s">
        <v>194</v>
      </c>
      <c r="O135" s="523">
        <v>7.5</v>
      </c>
      <c r="Q135" s="561"/>
      <c r="R135" s="557"/>
      <c r="T135" s="559"/>
      <c r="U135" s="559"/>
      <c r="V135" s="559"/>
      <c r="W135" s="560"/>
      <c r="X135" s="559" t="s">
        <v>3491</v>
      </c>
      <c r="Y135" s="414"/>
      <c r="Z135" s="414"/>
      <c r="AA135" s="414"/>
      <c r="AB135" s="557">
        <v>168</v>
      </c>
      <c r="AC135" s="414" t="s">
        <v>2060</v>
      </c>
      <c r="AD135" s="414" t="s">
        <v>2875</v>
      </c>
      <c r="AE135" s="523" t="s">
        <v>2615</v>
      </c>
      <c r="AF135" s="414" t="s">
        <v>500</v>
      </c>
      <c r="AG135" s="557"/>
      <c r="AJ135" s="414"/>
      <c r="AK135" s="523" t="s">
        <v>1932</v>
      </c>
      <c r="AQ135" s="557"/>
      <c r="AV135" s="561"/>
      <c r="AW135" s="414" t="str">
        <f t="shared" si="6"/>
        <v>TCE, Gravity</v>
      </c>
      <c r="AX135" s="414" t="b">
        <f t="shared" si="8"/>
        <v>0</v>
      </c>
      <c r="AY135" s="523" t="b">
        <f t="array" ref="AY135">AND(D135:G135=inp_used_minimal,A135=inp_used_usersel)</f>
        <v>0</v>
      </c>
      <c r="AZ135" s="523" t="b">
        <f t="array" ref="AZ135">AND(A135=inp_used_usersel,D135:R135=inp_used_nonvessel1,AB135:AV135=inp_used_nonvessel2,IF(B135=1,inp_used_pressure=inp_autosize_pressure,inp_used_gravity=inp_autosize_gravity))</f>
        <v>0</v>
      </c>
      <c r="BA135" s="523" t="b">
        <f t="array" ref="BA135">AND(D135:AV135=inp_used,A135=inp_used_usersel)</f>
        <v>0</v>
      </c>
    </row>
    <row r="136" spans="1:55" s="563" customFormat="1">
      <c r="A136" s="563">
        <v>8</v>
      </c>
      <c r="B136" s="563">
        <v>2</v>
      </c>
      <c r="C136" s="564">
        <v>8</v>
      </c>
      <c r="D136" s="918">
        <v>75.072000000000003</v>
      </c>
      <c r="E136" s="563" t="s">
        <v>188</v>
      </c>
      <c r="F136" s="564">
        <v>37.536000000000001</v>
      </c>
      <c r="G136" s="563" t="s">
        <v>188</v>
      </c>
      <c r="H136" s="919" t="s">
        <v>3139</v>
      </c>
      <c r="I136" s="563" t="s">
        <v>936</v>
      </c>
      <c r="J136" s="564">
        <v>66600</v>
      </c>
      <c r="M136" s="565"/>
      <c r="N136" s="919" t="s">
        <v>194</v>
      </c>
      <c r="O136" s="563">
        <v>7.5</v>
      </c>
      <c r="Q136" s="565"/>
      <c r="R136" s="919"/>
      <c r="T136" s="566"/>
      <c r="U136" s="566"/>
      <c r="V136" s="566"/>
      <c r="W136" s="567"/>
      <c r="X136" s="566" t="s">
        <v>3491</v>
      </c>
      <c r="Y136" s="564"/>
      <c r="Z136" s="564"/>
      <c r="AA136" s="554"/>
      <c r="AB136" s="919">
        <v>168</v>
      </c>
      <c r="AC136" s="564" t="s">
        <v>2060</v>
      </c>
      <c r="AD136" s="564" t="s">
        <v>2875</v>
      </c>
      <c r="AE136" s="563" t="s">
        <v>2615</v>
      </c>
      <c r="AF136" s="564" t="s">
        <v>500</v>
      </c>
      <c r="AG136" s="919"/>
      <c r="AJ136" s="564"/>
      <c r="AK136" s="563" t="s">
        <v>1932</v>
      </c>
      <c r="AP136" s="565"/>
      <c r="AQ136" s="919"/>
      <c r="AV136" s="565"/>
      <c r="AW136" s="564" t="str">
        <f t="shared" si="6"/>
        <v>TCE, Gravity</v>
      </c>
      <c r="AX136" s="564" t="b">
        <f t="shared" si="8"/>
        <v>0</v>
      </c>
      <c r="AY136" s="563" t="b">
        <f t="array" ref="AY136">AND(D136:G136=inp_used_minimal,A136=inp_used_usersel)</f>
        <v>0</v>
      </c>
      <c r="AZ136" s="563" t="b">
        <f t="array" ref="AZ136">AND(A136=inp_used_usersel,D136:R136=inp_used_nonvessel1,AB136:AV136=inp_used_nonvessel2,IF(B136=1,inp_used_pressure=inp_autosize_pressure,inp_used_gravity=inp_autosize_gravity))</f>
        <v>0</v>
      </c>
      <c r="BA136" s="563" t="b">
        <f t="array" ref="BA136">AND(D136:AV136=inp_used,A136=inp_used_usersel)</f>
        <v>0</v>
      </c>
    </row>
    <row r="137" spans="1:55" s="523" customFormat="1">
      <c r="A137" s="523">
        <v>9</v>
      </c>
      <c r="B137" s="523">
        <v>1</v>
      </c>
      <c r="C137" s="523">
        <v>1</v>
      </c>
      <c r="D137" s="917">
        <v>0.03</v>
      </c>
      <c r="E137" s="523" t="s">
        <v>188</v>
      </c>
      <c r="F137" s="414">
        <v>7.0000000000000001E-3</v>
      </c>
      <c r="G137" s="523" t="s">
        <v>188</v>
      </c>
      <c r="H137" s="917" t="s">
        <v>3139</v>
      </c>
      <c r="I137" s="523" t="s">
        <v>936</v>
      </c>
      <c r="J137" s="414">
        <v>95700</v>
      </c>
      <c r="M137" s="561"/>
      <c r="N137" s="917" t="s">
        <v>194</v>
      </c>
      <c r="O137" s="523">
        <v>7.5</v>
      </c>
      <c r="Q137" s="561"/>
      <c r="R137" s="917">
        <v>1</v>
      </c>
      <c r="S137" s="523" t="s">
        <v>3491</v>
      </c>
      <c r="T137" s="559"/>
      <c r="V137" s="559"/>
      <c r="W137" s="560"/>
      <c r="X137" s="559"/>
      <c r="Y137" s="559"/>
      <c r="Z137" s="559"/>
      <c r="AA137" s="559"/>
      <c r="AB137" s="917">
        <v>168</v>
      </c>
      <c r="AC137" s="414" t="s">
        <v>2060</v>
      </c>
      <c r="AD137" s="438" t="s">
        <v>497</v>
      </c>
      <c r="AE137" s="523" t="s">
        <v>499</v>
      </c>
      <c r="AF137" s="561"/>
      <c r="AG137" s="917"/>
      <c r="AH137" s="523">
        <v>0</v>
      </c>
      <c r="AI137" s="438"/>
      <c r="AJ137" s="414"/>
      <c r="AK137" s="523" t="s">
        <v>1932</v>
      </c>
      <c r="AQ137" s="917"/>
      <c r="AV137" s="561"/>
      <c r="AW137" s="414" t="str">
        <f t="shared" ref="AW137:AW200" si="15">IF(VLOOKUP(A137,contam_lookup,2,FALSE)="","",VLOOKUP(A137,contam_lookup,2,FALSE))&amp;", "&amp;IF(B137=1,"Pressure","Gravity")</f>
        <v>PCE, Pressure</v>
      </c>
      <c r="AX137" s="414" t="b">
        <f t="shared" si="8"/>
        <v>0</v>
      </c>
      <c r="AY137" s="523" t="b">
        <f t="array" ref="AY137">AND(D137:G137=inp_used_minimal,A137=inp_used_usersel)</f>
        <v>0</v>
      </c>
      <c r="AZ137" s="523" t="b">
        <f t="array" ref="AZ137">AND(A137=inp_used_usersel,D137:R137=inp_used_nonvessel1,AB137:AV137=inp_used_nonvessel2,IF(B137=1,inp_used_pressure=inp_autosize_pressure,inp_used_gravity=inp_autosize_gravity))</f>
        <v>0</v>
      </c>
      <c r="BA137" s="523" t="b">
        <f t="array" ref="BA137">AND(D137:AV137=inp_used,A137=inp_used_usersel)</f>
        <v>0</v>
      </c>
      <c r="BB137" s="523" t="b">
        <f t="shared" ref="BB137:BC144" si="16">CHOOSE(design_type,AX137,AX145)</f>
        <v>0</v>
      </c>
      <c r="BC137" s="523" t="b">
        <f t="shared" si="16"/>
        <v>0</v>
      </c>
    </row>
    <row r="138" spans="1:55" s="523" customFormat="1">
      <c r="A138" s="523">
        <v>9</v>
      </c>
      <c r="B138" s="523">
        <v>1</v>
      </c>
      <c r="C138" s="523">
        <v>2</v>
      </c>
      <c r="D138" s="557">
        <v>0.124</v>
      </c>
      <c r="E138" s="523" t="s">
        <v>188</v>
      </c>
      <c r="F138" s="414">
        <v>3.5000000000000003E-2</v>
      </c>
      <c r="G138" s="523" t="s">
        <v>188</v>
      </c>
      <c r="H138" s="557" t="s">
        <v>3139</v>
      </c>
      <c r="I138" s="523" t="s">
        <v>936</v>
      </c>
      <c r="J138" s="414">
        <v>95700</v>
      </c>
      <c r="M138" s="561"/>
      <c r="N138" s="557" t="s">
        <v>194</v>
      </c>
      <c r="O138" s="523">
        <v>7.5</v>
      </c>
      <c r="Q138" s="561"/>
      <c r="R138" s="557">
        <v>1</v>
      </c>
      <c r="S138" s="523" t="s">
        <v>3491</v>
      </c>
      <c r="T138" s="559"/>
      <c r="V138" s="559"/>
      <c r="W138" s="560"/>
      <c r="X138" s="559"/>
      <c r="Y138" s="559"/>
      <c r="Z138" s="559"/>
      <c r="AA138" s="559"/>
      <c r="AB138" s="557">
        <v>168</v>
      </c>
      <c r="AC138" s="414" t="s">
        <v>2060</v>
      </c>
      <c r="AD138" s="438" t="s">
        <v>498</v>
      </c>
      <c r="AE138" s="523" t="s">
        <v>499</v>
      </c>
      <c r="AF138" s="562" t="s">
        <v>500</v>
      </c>
      <c r="AG138" s="557"/>
      <c r="AH138" s="523">
        <v>0</v>
      </c>
      <c r="AI138" s="438"/>
      <c r="AJ138" s="414"/>
      <c r="AK138" s="523" t="s">
        <v>1932</v>
      </c>
      <c r="AQ138" s="557"/>
      <c r="AV138" s="561"/>
      <c r="AW138" s="414" t="str">
        <f t="shared" si="15"/>
        <v>PCE, Pressure</v>
      </c>
      <c r="AX138" s="414" t="b">
        <f t="shared" si="8"/>
        <v>0</v>
      </c>
      <c r="AY138" s="523" t="b">
        <f t="array" ref="AY138">AND(D138:G138=inp_used_minimal,A138=inp_used_usersel)</f>
        <v>0</v>
      </c>
      <c r="AZ138" s="523" t="b">
        <f t="array" ref="AZ138">AND(A138=inp_used_usersel,D138:R138=inp_used_nonvessel1,AB138:AV138=inp_used_nonvessel2,IF(B138=1,inp_used_pressure=inp_autosize_pressure,inp_used_gravity=inp_autosize_gravity))</f>
        <v>0</v>
      </c>
      <c r="BA138" s="523" t="b">
        <f t="array" ref="BA138">AND(D138:AV138=inp_used,A138=inp_used_usersel)</f>
        <v>0</v>
      </c>
      <c r="BB138" s="523" t="b">
        <f t="shared" si="16"/>
        <v>0</v>
      </c>
      <c r="BC138" s="523" t="b">
        <f t="shared" si="16"/>
        <v>0</v>
      </c>
    </row>
    <row r="139" spans="1:55" s="523" customFormat="1">
      <c r="A139" s="523">
        <v>9</v>
      </c>
      <c r="B139" s="523">
        <v>1</v>
      </c>
      <c r="C139" s="523">
        <v>3</v>
      </c>
      <c r="D139" s="557">
        <v>0.30499999999999999</v>
      </c>
      <c r="E139" s="523" t="s">
        <v>188</v>
      </c>
      <c r="F139" s="414">
        <v>9.4E-2</v>
      </c>
      <c r="G139" s="523" t="s">
        <v>188</v>
      </c>
      <c r="H139" s="557" t="s">
        <v>3139</v>
      </c>
      <c r="I139" s="523" t="s">
        <v>936</v>
      </c>
      <c r="J139" s="414">
        <v>95700</v>
      </c>
      <c r="M139" s="561"/>
      <c r="N139" s="557" t="s">
        <v>194</v>
      </c>
      <c r="O139" s="523">
        <v>7.5</v>
      </c>
      <c r="Q139" s="561"/>
      <c r="R139" s="557">
        <v>1</v>
      </c>
      <c r="S139" s="523" t="s">
        <v>3491</v>
      </c>
      <c r="T139" s="559"/>
      <c r="V139" s="559"/>
      <c r="W139" s="560"/>
      <c r="X139" s="559"/>
      <c r="Y139" s="559"/>
      <c r="Z139" s="559"/>
      <c r="AA139" s="559"/>
      <c r="AB139" s="557">
        <v>168</v>
      </c>
      <c r="AC139" s="414" t="s">
        <v>2060</v>
      </c>
      <c r="AD139" s="438" t="s">
        <v>498</v>
      </c>
      <c r="AE139" s="523" t="s">
        <v>499</v>
      </c>
      <c r="AF139" s="562" t="s">
        <v>500</v>
      </c>
      <c r="AG139" s="557"/>
      <c r="AH139" s="523">
        <v>0</v>
      </c>
      <c r="AI139" s="438"/>
      <c r="AJ139" s="414"/>
      <c r="AK139" s="523" t="s">
        <v>1932</v>
      </c>
      <c r="AQ139" s="557"/>
      <c r="AV139" s="561"/>
      <c r="AW139" s="414" t="str">
        <f t="shared" si="15"/>
        <v>PCE, Pressure</v>
      </c>
      <c r="AX139" s="414" t="b">
        <f t="shared" si="8"/>
        <v>0</v>
      </c>
      <c r="AY139" s="523" t="b">
        <f t="array" ref="AY139">AND(D139:G139=inp_used_minimal,A139=inp_used_usersel)</f>
        <v>0</v>
      </c>
      <c r="AZ139" s="523" t="b">
        <f t="array" ref="AZ139">AND(A139=inp_used_usersel,D139:R139=inp_used_nonvessel1,AB139:AV139=inp_used_nonvessel2,IF(B139=1,inp_used_pressure=inp_autosize_pressure,inp_used_gravity=inp_autosize_gravity))</f>
        <v>0</v>
      </c>
      <c r="BA139" s="523" t="b">
        <f t="array" ref="BA139">AND(D139:AV139=inp_used,A139=inp_used_usersel)</f>
        <v>0</v>
      </c>
      <c r="BB139" s="523" t="b">
        <f t="shared" si="16"/>
        <v>0</v>
      </c>
      <c r="BC139" s="523" t="b">
        <f t="shared" si="16"/>
        <v>0</v>
      </c>
    </row>
    <row r="140" spans="1:55" s="523" customFormat="1">
      <c r="A140" s="523">
        <v>9</v>
      </c>
      <c r="B140" s="523">
        <v>1</v>
      </c>
      <c r="C140" s="523">
        <v>4</v>
      </c>
      <c r="D140" s="557">
        <v>0.74</v>
      </c>
      <c r="E140" s="523" t="s">
        <v>188</v>
      </c>
      <c r="F140" s="414">
        <v>0.251</v>
      </c>
      <c r="G140" s="523" t="s">
        <v>188</v>
      </c>
      <c r="H140" s="557" t="s">
        <v>3139</v>
      </c>
      <c r="I140" s="523" t="s">
        <v>936</v>
      </c>
      <c r="J140" s="414">
        <v>95700</v>
      </c>
      <c r="M140" s="561"/>
      <c r="N140" s="557" t="s">
        <v>194</v>
      </c>
      <c r="O140" s="523">
        <v>7.5</v>
      </c>
      <c r="Q140" s="561"/>
      <c r="R140" s="557">
        <v>1</v>
      </c>
      <c r="S140" s="523" t="s">
        <v>3491</v>
      </c>
      <c r="T140" s="559"/>
      <c r="V140" s="559"/>
      <c r="W140" s="560"/>
      <c r="X140" s="559"/>
      <c r="Y140" s="559"/>
      <c r="Z140" s="559"/>
      <c r="AA140" s="559"/>
      <c r="AB140" s="557">
        <v>168</v>
      </c>
      <c r="AC140" s="414" t="s">
        <v>2060</v>
      </c>
      <c r="AD140" s="438" t="s">
        <v>498</v>
      </c>
      <c r="AE140" s="523" t="s">
        <v>499</v>
      </c>
      <c r="AF140" s="562" t="s">
        <v>500</v>
      </c>
      <c r="AG140" s="557"/>
      <c r="AH140" s="523">
        <v>0</v>
      </c>
      <c r="AI140" s="438"/>
      <c r="AJ140" s="414"/>
      <c r="AK140" s="523" t="s">
        <v>1932</v>
      </c>
      <c r="AQ140" s="557"/>
      <c r="AV140" s="561"/>
      <c r="AW140" s="414" t="str">
        <f t="shared" si="15"/>
        <v>PCE, Pressure</v>
      </c>
      <c r="AX140" s="414" t="b">
        <f t="shared" si="8"/>
        <v>0</v>
      </c>
      <c r="AY140" s="523" t="b">
        <f t="array" ref="AY140">AND(D140:G140=inp_used_minimal,A140=inp_used_usersel)</f>
        <v>0</v>
      </c>
      <c r="AZ140" s="523" t="b">
        <f t="array" ref="AZ140">AND(A140=inp_used_usersel,D140:R140=inp_used_nonvessel1,AB140:AV140=inp_used_nonvessel2,IF(B140=1,inp_used_pressure=inp_autosize_pressure,inp_used_gravity=inp_autosize_gravity))</f>
        <v>0</v>
      </c>
      <c r="BA140" s="523" t="b">
        <f t="array" ref="BA140">AND(D140:AV140=inp_used,A140=inp_used_usersel)</f>
        <v>0</v>
      </c>
      <c r="BB140" s="523" t="b">
        <f t="shared" si="16"/>
        <v>0</v>
      </c>
      <c r="BC140" s="523" t="b">
        <f t="shared" si="16"/>
        <v>0</v>
      </c>
    </row>
    <row r="141" spans="1:55" s="523" customFormat="1">
      <c r="A141" s="523">
        <v>9</v>
      </c>
      <c r="B141" s="523">
        <v>1</v>
      </c>
      <c r="C141" s="414">
        <v>5</v>
      </c>
      <c r="D141" s="529">
        <v>2.1520000000000001</v>
      </c>
      <c r="E141" s="523" t="s">
        <v>188</v>
      </c>
      <c r="F141" s="414">
        <v>0.81899999999999995</v>
      </c>
      <c r="G141" s="523" t="s">
        <v>188</v>
      </c>
      <c r="H141" s="557" t="s">
        <v>3139</v>
      </c>
      <c r="I141" s="523" t="s">
        <v>936</v>
      </c>
      <c r="J141" s="414">
        <v>95700</v>
      </c>
      <c r="M141" s="561"/>
      <c r="N141" s="557" t="s">
        <v>194</v>
      </c>
      <c r="O141" s="523">
        <v>7.5</v>
      </c>
      <c r="Q141" s="561"/>
      <c r="R141" s="557">
        <v>1</v>
      </c>
      <c r="S141" s="523" t="s">
        <v>3491</v>
      </c>
      <c r="T141" s="559"/>
      <c r="V141" s="559"/>
      <c r="W141" s="560"/>
      <c r="X141" s="559"/>
      <c r="Y141" s="559"/>
      <c r="Z141" s="559"/>
      <c r="AA141" s="559"/>
      <c r="AB141" s="557">
        <v>168</v>
      </c>
      <c r="AC141" s="414" t="s">
        <v>2060</v>
      </c>
      <c r="AD141" s="438" t="s">
        <v>498</v>
      </c>
      <c r="AE141" s="523" t="s">
        <v>499</v>
      </c>
      <c r="AF141" s="562" t="s">
        <v>500</v>
      </c>
      <c r="AG141" s="557"/>
      <c r="AH141" s="523">
        <v>0</v>
      </c>
      <c r="AJ141" s="414"/>
      <c r="AK141" s="523" t="s">
        <v>1932</v>
      </c>
      <c r="AQ141" s="557"/>
      <c r="AV141" s="561"/>
      <c r="AW141" s="414" t="str">
        <f t="shared" si="15"/>
        <v>PCE, Pressure</v>
      </c>
      <c r="AX141" s="414" t="b">
        <f t="shared" si="8"/>
        <v>0</v>
      </c>
      <c r="AY141" s="523" t="b">
        <f t="array" ref="AY141">AND(D141:G141=inp_used_minimal,A141=inp_used_usersel)</f>
        <v>0</v>
      </c>
      <c r="AZ141" s="523" t="b">
        <f t="array" ref="AZ141">AND(A141=inp_used_usersel,D141:R141=inp_used_nonvessel1,AB141:AV141=inp_used_nonvessel2,IF(B141=1,inp_used_pressure=inp_autosize_pressure,inp_used_gravity=inp_autosize_gravity))</f>
        <v>0</v>
      </c>
      <c r="BA141" s="523" t="b">
        <f t="array" ref="BA141">AND(D141:AV141=inp_used,A141=inp_used_usersel)</f>
        <v>0</v>
      </c>
      <c r="BB141" s="523" t="b">
        <f t="shared" si="16"/>
        <v>0</v>
      </c>
      <c r="BC141" s="523" t="b">
        <f t="shared" si="16"/>
        <v>0</v>
      </c>
    </row>
    <row r="142" spans="1:55" s="523" customFormat="1">
      <c r="A142" s="523">
        <v>9</v>
      </c>
      <c r="B142" s="523">
        <v>1</v>
      </c>
      <c r="C142" s="414">
        <v>6</v>
      </c>
      <c r="D142" s="529">
        <v>7.3650000000000002</v>
      </c>
      <c r="E142" s="523" t="s">
        <v>188</v>
      </c>
      <c r="F142" s="414">
        <v>3.2</v>
      </c>
      <c r="G142" s="523" t="s">
        <v>188</v>
      </c>
      <c r="H142" s="557" t="s">
        <v>3139</v>
      </c>
      <c r="I142" s="523" t="s">
        <v>936</v>
      </c>
      <c r="J142" s="414">
        <v>95700</v>
      </c>
      <c r="M142" s="561"/>
      <c r="N142" s="557" t="s">
        <v>194</v>
      </c>
      <c r="O142" s="523">
        <v>7.5</v>
      </c>
      <c r="Q142" s="561"/>
      <c r="R142" s="557">
        <v>1</v>
      </c>
      <c r="S142" s="523" t="s">
        <v>3491</v>
      </c>
      <c r="T142" s="559"/>
      <c r="V142" s="559"/>
      <c r="W142" s="560"/>
      <c r="X142" s="559"/>
      <c r="Y142" s="559"/>
      <c r="Z142" s="559"/>
      <c r="AA142" s="559"/>
      <c r="AB142" s="557">
        <v>168</v>
      </c>
      <c r="AC142" s="414" t="s">
        <v>2060</v>
      </c>
      <c r="AD142" s="438" t="s">
        <v>498</v>
      </c>
      <c r="AE142" s="523" t="s">
        <v>499</v>
      </c>
      <c r="AF142" s="562" t="s">
        <v>500</v>
      </c>
      <c r="AG142" s="557"/>
      <c r="AH142" s="523">
        <v>0</v>
      </c>
      <c r="AJ142" s="414"/>
      <c r="AK142" s="523" t="s">
        <v>1932</v>
      </c>
      <c r="AQ142" s="557"/>
      <c r="AV142" s="561"/>
      <c r="AW142" s="414" t="str">
        <f t="shared" si="15"/>
        <v>PCE, Pressure</v>
      </c>
      <c r="AX142" s="414" t="b">
        <f t="shared" si="8"/>
        <v>0</v>
      </c>
      <c r="AY142" s="523" t="b">
        <f t="array" ref="AY142">AND(D142:G142=inp_used_minimal,A142=inp_used_usersel)</f>
        <v>0</v>
      </c>
      <c r="AZ142" s="523" t="b">
        <f t="array" ref="AZ142">AND(A142=inp_used_usersel,D142:R142=inp_used_nonvessel1,AB142:AV142=inp_used_nonvessel2,IF(B142=1,inp_used_pressure=inp_autosize_pressure,inp_used_gravity=inp_autosize_gravity))</f>
        <v>0</v>
      </c>
      <c r="BA142" s="523" t="b">
        <f t="array" ref="BA142">AND(D142:AV142=inp_used,A142=inp_used_usersel)</f>
        <v>0</v>
      </c>
      <c r="BB142" s="523" t="b">
        <f t="shared" si="16"/>
        <v>0</v>
      </c>
      <c r="BC142" s="523" t="b">
        <f t="shared" si="16"/>
        <v>0</v>
      </c>
    </row>
    <row r="143" spans="1:55" s="523" customFormat="1">
      <c r="A143" s="523">
        <v>9</v>
      </c>
      <c r="B143" s="523">
        <v>1</v>
      </c>
      <c r="C143" s="414">
        <v>7</v>
      </c>
      <c r="D143" s="529">
        <v>22.614000000000001</v>
      </c>
      <c r="E143" s="523" t="s">
        <v>188</v>
      </c>
      <c r="F143" s="414">
        <v>11.066000000000001</v>
      </c>
      <c r="G143" s="523" t="s">
        <v>188</v>
      </c>
      <c r="H143" s="557" t="s">
        <v>3139</v>
      </c>
      <c r="I143" s="523" t="s">
        <v>936</v>
      </c>
      <c r="J143" s="414">
        <v>95700</v>
      </c>
      <c r="M143" s="561"/>
      <c r="N143" s="557" t="s">
        <v>194</v>
      </c>
      <c r="O143" s="523">
        <v>7.5</v>
      </c>
      <c r="Q143" s="561"/>
      <c r="R143" s="557">
        <v>1</v>
      </c>
      <c r="S143" s="523" t="s">
        <v>3491</v>
      </c>
      <c r="T143" s="559"/>
      <c r="V143" s="559"/>
      <c r="W143" s="560"/>
      <c r="X143" s="559"/>
      <c r="Y143" s="559"/>
      <c r="Z143" s="559"/>
      <c r="AA143" s="559"/>
      <c r="AB143" s="557">
        <v>168</v>
      </c>
      <c r="AC143" s="414" t="s">
        <v>2060</v>
      </c>
      <c r="AD143" s="438" t="s">
        <v>498</v>
      </c>
      <c r="AE143" s="523" t="s">
        <v>2615</v>
      </c>
      <c r="AF143" s="562" t="s">
        <v>500</v>
      </c>
      <c r="AG143" s="557"/>
      <c r="AH143" s="523">
        <v>0</v>
      </c>
      <c r="AJ143" s="414"/>
      <c r="AK143" s="523" t="s">
        <v>1932</v>
      </c>
      <c r="AQ143" s="557"/>
      <c r="AV143" s="561"/>
      <c r="AW143" s="414" t="str">
        <f t="shared" si="15"/>
        <v>PCE, Pressure</v>
      </c>
      <c r="AX143" s="414" t="b">
        <f t="shared" si="8"/>
        <v>0</v>
      </c>
      <c r="AY143" s="523" t="b">
        <f t="array" ref="AY143">AND(D143:G143=inp_used_minimal,A143=inp_used_usersel)</f>
        <v>0</v>
      </c>
      <c r="AZ143" s="523" t="b">
        <f t="array" ref="AZ143">AND(A143=inp_used_usersel,D143:R143=inp_used_nonvessel1,AB143:AV143=inp_used_nonvessel2,IF(B143=1,inp_used_pressure=inp_autosize_pressure,inp_used_gravity=inp_autosize_gravity))</f>
        <v>0</v>
      </c>
      <c r="BA143" s="523" t="b">
        <f t="array" ref="BA143">AND(D143:AV143=inp_used,A143=inp_used_usersel)</f>
        <v>0</v>
      </c>
      <c r="BB143" s="523" t="b">
        <f t="shared" si="16"/>
        <v>0</v>
      </c>
      <c r="BC143" s="523" t="b">
        <f t="shared" si="16"/>
        <v>0</v>
      </c>
    </row>
    <row r="144" spans="1:55" s="563" customFormat="1">
      <c r="A144" s="563">
        <v>9</v>
      </c>
      <c r="B144" s="563">
        <v>1</v>
      </c>
      <c r="C144" s="564">
        <v>8</v>
      </c>
      <c r="D144" s="918">
        <v>75.072000000000003</v>
      </c>
      <c r="E144" s="563" t="s">
        <v>188</v>
      </c>
      <c r="F144" s="564">
        <v>37.536000000000001</v>
      </c>
      <c r="G144" s="563" t="s">
        <v>188</v>
      </c>
      <c r="H144" s="919" t="s">
        <v>3139</v>
      </c>
      <c r="I144" s="563" t="s">
        <v>936</v>
      </c>
      <c r="J144" s="564">
        <v>95700</v>
      </c>
      <c r="M144" s="565"/>
      <c r="N144" s="919" t="s">
        <v>194</v>
      </c>
      <c r="O144" s="563">
        <v>7.5</v>
      </c>
      <c r="Q144" s="565"/>
      <c r="R144" s="919">
        <v>1</v>
      </c>
      <c r="S144" s="563" t="s">
        <v>3491</v>
      </c>
      <c r="T144" s="566"/>
      <c r="V144" s="566"/>
      <c r="W144" s="567"/>
      <c r="X144" s="566"/>
      <c r="Y144" s="566"/>
      <c r="Z144" s="566"/>
      <c r="AA144" s="567"/>
      <c r="AB144" s="919">
        <v>168</v>
      </c>
      <c r="AC144" s="564" t="s">
        <v>2060</v>
      </c>
      <c r="AD144" s="568" t="s">
        <v>498</v>
      </c>
      <c r="AE144" s="563" t="s">
        <v>2615</v>
      </c>
      <c r="AF144" s="554" t="s">
        <v>500</v>
      </c>
      <c r="AG144" s="919"/>
      <c r="AH144" s="563">
        <v>0</v>
      </c>
      <c r="AJ144" s="564"/>
      <c r="AK144" s="563" t="s">
        <v>1932</v>
      </c>
      <c r="AP144" s="565"/>
      <c r="AQ144" s="919"/>
      <c r="AV144" s="565"/>
      <c r="AW144" s="564" t="str">
        <f t="shared" si="15"/>
        <v>PCE, Pressure</v>
      </c>
      <c r="AX144" s="564" t="b">
        <f t="shared" si="8"/>
        <v>0</v>
      </c>
      <c r="AY144" s="563" t="b">
        <f t="array" ref="AY144">AND(D144:G144=inp_used_minimal,A144=inp_used_usersel)</f>
        <v>0</v>
      </c>
      <c r="AZ144" s="563" t="b">
        <f t="array" ref="AZ144">AND(A144=inp_used_usersel,D144:R144=inp_used_nonvessel1,AB144:AV144=inp_used_nonvessel2,IF(B144=1,inp_used_pressure=inp_autosize_pressure,inp_used_gravity=inp_autosize_gravity))</f>
        <v>0</v>
      </c>
      <c r="BA144" s="563" t="b">
        <f t="array" ref="BA144">AND(D144:AV144=inp_used,A144=inp_used_usersel)</f>
        <v>0</v>
      </c>
      <c r="BB144" s="563" t="b">
        <f t="shared" si="16"/>
        <v>0</v>
      </c>
      <c r="BC144" s="563" t="b">
        <f t="shared" si="16"/>
        <v>0</v>
      </c>
    </row>
    <row r="145" spans="1:55" s="523" customFormat="1">
      <c r="A145" s="523">
        <v>9</v>
      </c>
      <c r="B145" s="523">
        <v>2</v>
      </c>
      <c r="C145" s="523">
        <v>1</v>
      </c>
      <c r="D145" s="917">
        <v>0.03</v>
      </c>
      <c r="E145" s="523" t="s">
        <v>188</v>
      </c>
      <c r="F145" s="414">
        <v>7.0000000000000001E-3</v>
      </c>
      <c r="G145" s="523" t="s">
        <v>188</v>
      </c>
      <c r="H145" s="917" t="s">
        <v>3139</v>
      </c>
      <c r="I145" s="523" t="s">
        <v>936</v>
      </c>
      <c r="J145" s="414">
        <v>95700</v>
      </c>
      <c r="M145" s="561"/>
      <c r="N145" s="917" t="s">
        <v>194</v>
      </c>
      <c r="O145" s="523">
        <v>7.5</v>
      </c>
      <c r="Q145" s="561"/>
      <c r="R145" s="917"/>
      <c r="T145" s="559"/>
      <c r="U145" s="559"/>
      <c r="V145" s="559"/>
      <c r="W145" s="560"/>
      <c r="X145" s="559" t="s">
        <v>3491</v>
      </c>
      <c r="Y145" s="414"/>
      <c r="Z145" s="414"/>
      <c r="AA145" s="414"/>
      <c r="AB145" s="917">
        <v>168</v>
      </c>
      <c r="AC145" s="414" t="s">
        <v>2060</v>
      </c>
      <c r="AD145" s="414" t="s">
        <v>2875</v>
      </c>
      <c r="AE145" s="523" t="s">
        <v>499</v>
      </c>
      <c r="AF145" s="414" t="s">
        <v>500</v>
      </c>
      <c r="AG145" s="917"/>
      <c r="AI145" s="438"/>
      <c r="AJ145" s="414"/>
      <c r="AK145" s="523" t="s">
        <v>1932</v>
      </c>
      <c r="AQ145" s="917"/>
      <c r="AV145" s="561"/>
      <c r="AW145" s="414" t="str">
        <f t="shared" si="15"/>
        <v>PCE, Gravity</v>
      </c>
      <c r="AX145" s="414" t="b">
        <f t="shared" si="8"/>
        <v>0</v>
      </c>
      <c r="AY145" s="523" t="b">
        <f t="array" ref="AY145">AND(D145:G145=inp_used_minimal,A145=inp_used_usersel)</f>
        <v>0</v>
      </c>
      <c r="AZ145" s="523" t="b">
        <f t="array" ref="AZ145">AND(A145=inp_used_usersel,D145:R145=inp_used_nonvessel1,AB145:AV145=inp_used_nonvessel2,IF(B145=1,inp_used_pressure=inp_autosize_pressure,inp_used_gravity=inp_autosize_gravity))</f>
        <v>0</v>
      </c>
      <c r="BA145" s="523" t="b">
        <f t="array" ref="BA145">AND(D145:AV145=inp_used,A145=inp_used_usersel)</f>
        <v>0</v>
      </c>
    </row>
    <row r="146" spans="1:55" s="523" customFormat="1">
      <c r="A146" s="523">
        <v>9</v>
      </c>
      <c r="B146" s="523">
        <v>2</v>
      </c>
      <c r="C146" s="523">
        <v>2</v>
      </c>
      <c r="D146" s="557">
        <v>0.124</v>
      </c>
      <c r="E146" s="523" t="s">
        <v>188</v>
      </c>
      <c r="F146" s="414">
        <v>3.5000000000000003E-2</v>
      </c>
      <c r="G146" s="523" t="s">
        <v>188</v>
      </c>
      <c r="H146" s="557" t="s">
        <v>3139</v>
      </c>
      <c r="I146" s="523" t="s">
        <v>936</v>
      </c>
      <c r="J146" s="414">
        <v>95700</v>
      </c>
      <c r="M146" s="561"/>
      <c r="N146" s="557" t="s">
        <v>194</v>
      </c>
      <c r="O146" s="523">
        <v>7.5</v>
      </c>
      <c r="Q146" s="561"/>
      <c r="R146" s="557"/>
      <c r="T146" s="559"/>
      <c r="U146" s="559"/>
      <c r="V146" s="559"/>
      <c r="W146" s="560"/>
      <c r="X146" s="559" t="s">
        <v>3491</v>
      </c>
      <c r="Y146" s="414"/>
      <c r="Z146" s="414"/>
      <c r="AA146" s="414"/>
      <c r="AB146" s="557">
        <v>168</v>
      </c>
      <c r="AC146" s="414" t="s">
        <v>2060</v>
      </c>
      <c r="AD146" s="414" t="s">
        <v>2875</v>
      </c>
      <c r="AE146" s="523" t="s">
        <v>499</v>
      </c>
      <c r="AF146" s="414" t="s">
        <v>500</v>
      </c>
      <c r="AG146" s="557"/>
      <c r="AI146" s="438"/>
      <c r="AJ146" s="414"/>
      <c r="AK146" s="523" t="s">
        <v>1932</v>
      </c>
      <c r="AQ146" s="557"/>
      <c r="AV146" s="561"/>
      <c r="AW146" s="414" t="str">
        <f t="shared" si="15"/>
        <v>PCE, Gravity</v>
      </c>
      <c r="AX146" s="414" t="b">
        <f t="shared" si="8"/>
        <v>0</v>
      </c>
      <c r="AY146" s="523" t="b">
        <f t="array" ref="AY146">AND(D146:G146=inp_used_minimal,A146=inp_used_usersel)</f>
        <v>0</v>
      </c>
      <c r="AZ146" s="523" t="b">
        <f t="array" ref="AZ146">AND(A146=inp_used_usersel,D146:R146=inp_used_nonvessel1,AB146:AV146=inp_used_nonvessel2,IF(B146=1,inp_used_pressure=inp_autosize_pressure,inp_used_gravity=inp_autosize_gravity))</f>
        <v>0</v>
      </c>
      <c r="BA146" s="523" t="b">
        <f t="array" ref="BA146">AND(D146:AV146=inp_used,A146=inp_used_usersel)</f>
        <v>0</v>
      </c>
    </row>
    <row r="147" spans="1:55" s="523" customFormat="1">
      <c r="A147" s="523">
        <v>9</v>
      </c>
      <c r="B147" s="523">
        <v>2</v>
      </c>
      <c r="C147" s="523">
        <v>3</v>
      </c>
      <c r="D147" s="557">
        <v>0.30499999999999999</v>
      </c>
      <c r="E147" s="523" t="s">
        <v>188</v>
      </c>
      <c r="F147" s="414">
        <v>9.4E-2</v>
      </c>
      <c r="G147" s="523" t="s">
        <v>188</v>
      </c>
      <c r="H147" s="557" t="s">
        <v>3139</v>
      </c>
      <c r="I147" s="523" t="s">
        <v>936</v>
      </c>
      <c r="J147" s="414">
        <v>95700</v>
      </c>
      <c r="M147" s="561"/>
      <c r="N147" s="557" t="s">
        <v>194</v>
      </c>
      <c r="O147" s="523">
        <v>7.5</v>
      </c>
      <c r="Q147" s="561"/>
      <c r="R147" s="557"/>
      <c r="T147" s="559"/>
      <c r="U147" s="559"/>
      <c r="V147" s="559"/>
      <c r="W147" s="560"/>
      <c r="X147" s="559" t="s">
        <v>3491</v>
      </c>
      <c r="Y147" s="414"/>
      <c r="Z147" s="414"/>
      <c r="AA147" s="414"/>
      <c r="AB147" s="557">
        <v>168</v>
      </c>
      <c r="AC147" s="414" t="s">
        <v>2060</v>
      </c>
      <c r="AD147" s="414" t="s">
        <v>2875</v>
      </c>
      <c r="AE147" s="523" t="s">
        <v>499</v>
      </c>
      <c r="AF147" s="414" t="s">
        <v>500</v>
      </c>
      <c r="AG147" s="557"/>
      <c r="AI147" s="438"/>
      <c r="AJ147" s="414"/>
      <c r="AK147" s="523" t="s">
        <v>1932</v>
      </c>
      <c r="AQ147" s="557"/>
      <c r="AV147" s="561"/>
      <c r="AW147" s="414" t="str">
        <f t="shared" si="15"/>
        <v>PCE, Gravity</v>
      </c>
      <c r="AX147" s="414" t="b">
        <f t="shared" si="8"/>
        <v>0</v>
      </c>
      <c r="AY147" s="523" t="b">
        <f t="array" ref="AY147">AND(D147:G147=inp_used_minimal,A147=inp_used_usersel)</f>
        <v>0</v>
      </c>
      <c r="AZ147" s="523" t="b">
        <f t="array" ref="AZ147">AND(A147=inp_used_usersel,D147:R147=inp_used_nonvessel1,AB147:AV147=inp_used_nonvessel2,IF(B147=1,inp_used_pressure=inp_autosize_pressure,inp_used_gravity=inp_autosize_gravity))</f>
        <v>0</v>
      </c>
      <c r="BA147" s="523" t="b">
        <f t="array" ref="BA147">AND(D147:AV147=inp_used,A147=inp_used_usersel)</f>
        <v>0</v>
      </c>
    </row>
    <row r="148" spans="1:55" s="523" customFormat="1">
      <c r="A148" s="523">
        <v>9</v>
      </c>
      <c r="B148" s="523">
        <v>2</v>
      </c>
      <c r="C148" s="523">
        <v>4</v>
      </c>
      <c r="D148" s="557">
        <v>0.74</v>
      </c>
      <c r="E148" s="523" t="s">
        <v>188</v>
      </c>
      <c r="F148" s="414">
        <v>0.251</v>
      </c>
      <c r="G148" s="523" t="s">
        <v>188</v>
      </c>
      <c r="H148" s="557" t="s">
        <v>3139</v>
      </c>
      <c r="I148" s="523" t="s">
        <v>936</v>
      </c>
      <c r="J148" s="414">
        <v>95700</v>
      </c>
      <c r="M148" s="561"/>
      <c r="N148" s="557" t="s">
        <v>194</v>
      </c>
      <c r="O148" s="523">
        <v>7.5</v>
      </c>
      <c r="Q148" s="561"/>
      <c r="R148" s="557"/>
      <c r="T148" s="559"/>
      <c r="U148" s="559"/>
      <c r="V148" s="559"/>
      <c r="W148" s="560"/>
      <c r="X148" s="559" t="s">
        <v>3491</v>
      </c>
      <c r="Y148" s="414"/>
      <c r="Z148" s="414"/>
      <c r="AA148" s="414"/>
      <c r="AB148" s="557">
        <v>168</v>
      </c>
      <c r="AC148" s="414" t="s">
        <v>2060</v>
      </c>
      <c r="AD148" s="414" t="s">
        <v>2875</v>
      </c>
      <c r="AE148" s="523" t="s">
        <v>499</v>
      </c>
      <c r="AF148" s="414" t="s">
        <v>500</v>
      </c>
      <c r="AG148" s="557"/>
      <c r="AI148" s="438"/>
      <c r="AJ148" s="414"/>
      <c r="AK148" s="523" t="s">
        <v>1932</v>
      </c>
      <c r="AQ148" s="557"/>
      <c r="AV148" s="561"/>
      <c r="AW148" s="414" t="str">
        <f t="shared" si="15"/>
        <v>PCE, Gravity</v>
      </c>
      <c r="AX148" s="414" t="b">
        <f t="shared" si="8"/>
        <v>0</v>
      </c>
      <c r="AY148" s="523" t="b">
        <f t="array" ref="AY148">AND(D148:G148=inp_used_minimal,A148=inp_used_usersel)</f>
        <v>0</v>
      </c>
      <c r="AZ148" s="523" t="b">
        <f t="array" ref="AZ148">AND(A148=inp_used_usersel,D148:R148=inp_used_nonvessel1,AB148:AV148=inp_used_nonvessel2,IF(B148=1,inp_used_pressure=inp_autosize_pressure,inp_used_gravity=inp_autosize_gravity))</f>
        <v>0</v>
      </c>
      <c r="BA148" s="523" t="b">
        <f t="array" ref="BA148">AND(D148:AV148=inp_used,A148=inp_used_usersel)</f>
        <v>0</v>
      </c>
    </row>
    <row r="149" spans="1:55" s="523" customFormat="1">
      <c r="A149" s="523">
        <v>9</v>
      </c>
      <c r="B149" s="523">
        <v>2</v>
      </c>
      <c r="C149" s="414">
        <v>5</v>
      </c>
      <c r="D149" s="529">
        <v>2.1520000000000001</v>
      </c>
      <c r="E149" s="523" t="s">
        <v>188</v>
      </c>
      <c r="F149" s="414">
        <v>0.81899999999999995</v>
      </c>
      <c r="G149" s="523" t="s">
        <v>188</v>
      </c>
      <c r="H149" s="557" t="s">
        <v>3139</v>
      </c>
      <c r="I149" s="523" t="s">
        <v>936</v>
      </c>
      <c r="J149" s="414">
        <v>95700</v>
      </c>
      <c r="M149" s="561"/>
      <c r="N149" s="557" t="s">
        <v>194</v>
      </c>
      <c r="O149" s="523">
        <v>7.5</v>
      </c>
      <c r="Q149" s="561"/>
      <c r="R149" s="557"/>
      <c r="T149" s="559"/>
      <c r="U149" s="559"/>
      <c r="V149" s="559"/>
      <c r="W149" s="560"/>
      <c r="X149" s="559" t="s">
        <v>3491</v>
      </c>
      <c r="Y149" s="414"/>
      <c r="Z149" s="414"/>
      <c r="AA149" s="414"/>
      <c r="AB149" s="557">
        <v>168</v>
      </c>
      <c r="AC149" s="414" t="s">
        <v>2060</v>
      </c>
      <c r="AD149" s="414" t="s">
        <v>2875</v>
      </c>
      <c r="AE149" s="523" t="s">
        <v>499</v>
      </c>
      <c r="AF149" s="414" t="s">
        <v>500</v>
      </c>
      <c r="AG149" s="557"/>
      <c r="AJ149" s="414"/>
      <c r="AK149" s="523" t="s">
        <v>1932</v>
      </c>
      <c r="AQ149" s="557"/>
      <c r="AV149" s="561"/>
      <c r="AW149" s="414" t="str">
        <f t="shared" si="15"/>
        <v>PCE, Gravity</v>
      </c>
      <c r="AX149" s="414" t="b">
        <f t="shared" si="8"/>
        <v>0</v>
      </c>
      <c r="AY149" s="523" t="b">
        <f t="array" ref="AY149">AND(D149:G149=inp_used_minimal,A149=inp_used_usersel)</f>
        <v>0</v>
      </c>
      <c r="AZ149" s="523" t="b">
        <f t="array" ref="AZ149">AND(A149=inp_used_usersel,D149:R149=inp_used_nonvessel1,AB149:AV149=inp_used_nonvessel2,IF(B149=1,inp_used_pressure=inp_autosize_pressure,inp_used_gravity=inp_autosize_gravity))</f>
        <v>0</v>
      </c>
      <c r="BA149" s="523" t="b">
        <f t="array" ref="BA149">AND(D149:AV149=inp_used,A149=inp_used_usersel)</f>
        <v>0</v>
      </c>
    </row>
    <row r="150" spans="1:55" s="523" customFormat="1">
      <c r="A150" s="523">
        <v>9</v>
      </c>
      <c r="B150" s="523">
        <v>2</v>
      </c>
      <c r="C150" s="414">
        <v>6</v>
      </c>
      <c r="D150" s="529">
        <v>7.3650000000000002</v>
      </c>
      <c r="E150" s="523" t="s">
        <v>188</v>
      </c>
      <c r="F150" s="414">
        <v>3.2</v>
      </c>
      <c r="G150" s="523" t="s">
        <v>188</v>
      </c>
      <c r="H150" s="557" t="s">
        <v>3139</v>
      </c>
      <c r="I150" s="523" t="s">
        <v>936</v>
      </c>
      <c r="J150" s="414">
        <v>95700</v>
      </c>
      <c r="M150" s="561"/>
      <c r="N150" s="557" t="s">
        <v>194</v>
      </c>
      <c r="O150" s="523">
        <v>7.5</v>
      </c>
      <c r="Q150" s="561"/>
      <c r="R150" s="557"/>
      <c r="T150" s="559"/>
      <c r="U150" s="559"/>
      <c r="V150" s="559"/>
      <c r="W150" s="560"/>
      <c r="X150" s="559" t="s">
        <v>3491</v>
      </c>
      <c r="Y150" s="414"/>
      <c r="Z150" s="414"/>
      <c r="AA150" s="414"/>
      <c r="AB150" s="557">
        <v>168</v>
      </c>
      <c r="AC150" s="414" t="s">
        <v>2060</v>
      </c>
      <c r="AD150" s="414" t="s">
        <v>2875</v>
      </c>
      <c r="AE150" s="523" t="s">
        <v>499</v>
      </c>
      <c r="AF150" s="414" t="s">
        <v>500</v>
      </c>
      <c r="AG150" s="557"/>
      <c r="AJ150" s="414"/>
      <c r="AK150" s="523" t="s">
        <v>1932</v>
      </c>
      <c r="AQ150" s="557"/>
      <c r="AV150" s="561"/>
      <c r="AW150" s="414" t="str">
        <f t="shared" si="15"/>
        <v>PCE, Gravity</v>
      </c>
      <c r="AX150" s="414" t="b">
        <f t="shared" si="8"/>
        <v>0</v>
      </c>
      <c r="AY150" s="523" t="b">
        <f t="array" ref="AY150">AND(D150:G150=inp_used_minimal,A150=inp_used_usersel)</f>
        <v>0</v>
      </c>
      <c r="AZ150" s="523" t="b">
        <f t="array" ref="AZ150">AND(A150=inp_used_usersel,D150:R150=inp_used_nonvessel1,AB150:AV150=inp_used_nonvessel2,IF(B150=1,inp_used_pressure=inp_autosize_pressure,inp_used_gravity=inp_autosize_gravity))</f>
        <v>0</v>
      </c>
      <c r="BA150" s="523" t="b">
        <f t="array" ref="BA150">AND(D150:AV150=inp_used,A150=inp_used_usersel)</f>
        <v>0</v>
      </c>
    </row>
    <row r="151" spans="1:55" s="523" customFormat="1">
      <c r="A151" s="523">
        <v>9</v>
      </c>
      <c r="B151" s="523">
        <v>2</v>
      </c>
      <c r="C151" s="414">
        <v>7</v>
      </c>
      <c r="D151" s="529">
        <v>22.614000000000001</v>
      </c>
      <c r="E151" s="523" t="s">
        <v>188</v>
      </c>
      <c r="F151" s="414">
        <v>11.066000000000001</v>
      </c>
      <c r="G151" s="523" t="s">
        <v>188</v>
      </c>
      <c r="H151" s="557" t="s">
        <v>3139</v>
      </c>
      <c r="I151" s="523" t="s">
        <v>936</v>
      </c>
      <c r="J151" s="414">
        <v>95700</v>
      </c>
      <c r="M151" s="561"/>
      <c r="N151" s="557" t="s">
        <v>194</v>
      </c>
      <c r="O151" s="523">
        <v>7.5</v>
      </c>
      <c r="Q151" s="561"/>
      <c r="R151" s="557"/>
      <c r="T151" s="559"/>
      <c r="U151" s="559"/>
      <c r="V151" s="559"/>
      <c r="W151" s="560"/>
      <c r="X151" s="559" t="s">
        <v>3491</v>
      </c>
      <c r="Y151" s="414"/>
      <c r="Z151" s="414"/>
      <c r="AA151" s="414"/>
      <c r="AB151" s="557">
        <v>168</v>
      </c>
      <c r="AC151" s="414" t="s">
        <v>2060</v>
      </c>
      <c r="AD151" s="414" t="s">
        <v>2875</v>
      </c>
      <c r="AE151" s="523" t="s">
        <v>2615</v>
      </c>
      <c r="AF151" s="414" t="s">
        <v>500</v>
      </c>
      <c r="AG151" s="557"/>
      <c r="AJ151" s="414"/>
      <c r="AK151" s="523" t="s">
        <v>1932</v>
      </c>
      <c r="AQ151" s="557"/>
      <c r="AV151" s="561"/>
      <c r="AW151" s="414" t="str">
        <f t="shared" si="15"/>
        <v>PCE, Gravity</v>
      </c>
      <c r="AX151" s="414" t="b">
        <f t="shared" si="8"/>
        <v>0</v>
      </c>
      <c r="AY151" s="523" t="b">
        <f t="array" ref="AY151">AND(D151:G151=inp_used_minimal,A151=inp_used_usersel)</f>
        <v>0</v>
      </c>
      <c r="AZ151" s="523" t="b">
        <f t="array" ref="AZ151">AND(A151=inp_used_usersel,D151:R151=inp_used_nonvessel1,AB151:AV151=inp_used_nonvessel2,IF(B151=1,inp_used_pressure=inp_autosize_pressure,inp_used_gravity=inp_autosize_gravity))</f>
        <v>0</v>
      </c>
      <c r="BA151" s="523" t="b">
        <f t="array" ref="BA151">AND(D151:AV151=inp_used,A151=inp_used_usersel)</f>
        <v>0</v>
      </c>
    </row>
    <row r="152" spans="1:55" s="563" customFormat="1">
      <c r="A152" s="563">
        <v>9</v>
      </c>
      <c r="B152" s="563">
        <v>2</v>
      </c>
      <c r="C152" s="564">
        <v>8</v>
      </c>
      <c r="D152" s="918">
        <v>75.072000000000003</v>
      </c>
      <c r="E152" s="563" t="s">
        <v>188</v>
      </c>
      <c r="F152" s="564">
        <v>37.536000000000001</v>
      </c>
      <c r="G152" s="563" t="s">
        <v>188</v>
      </c>
      <c r="H152" s="919" t="s">
        <v>3139</v>
      </c>
      <c r="I152" s="563" t="s">
        <v>936</v>
      </c>
      <c r="J152" s="564">
        <v>95700</v>
      </c>
      <c r="M152" s="565"/>
      <c r="N152" s="919" t="s">
        <v>194</v>
      </c>
      <c r="O152" s="563">
        <v>7.5</v>
      </c>
      <c r="Q152" s="565"/>
      <c r="R152" s="919"/>
      <c r="T152" s="566"/>
      <c r="U152" s="566"/>
      <c r="V152" s="566"/>
      <c r="W152" s="567"/>
      <c r="X152" s="566" t="s">
        <v>3491</v>
      </c>
      <c r="Y152" s="564"/>
      <c r="Z152" s="564"/>
      <c r="AA152" s="554"/>
      <c r="AB152" s="919">
        <v>168</v>
      </c>
      <c r="AC152" s="564" t="s">
        <v>2060</v>
      </c>
      <c r="AD152" s="564" t="s">
        <v>2875</v>
      </c>
      <c r="AE152" s="563" t="s">
        <v>2615</v>
      </c>
      <c r="AF152" s="564" t="s">
        <v>500</v>
      </c>
      <c r="AG152" s="919"/>
      <c r="AJ152" s="564"/>
      <c r="AK152" s="563" t="s">
        <v>1932</v>
      </c>
      <c r="AP152" s="565"/>
      <c r="AQ152" s="919"/>
      <c r="AV152" s="565"/>
      <c r="AW152" s="564" t="str">
        <f t="shared" si="15"/>
        <v>PCE, Gravity</v>
      </c>
      <c r="AX152" s="564" t="b">
        <f t="shared" si="8"/>
        <v>0</v>
      </c>
      <c r="AY152" s="563" t="b">
        <f t="array" ref="AY152">AND(D152:G152=inp_used_minimal,A152=inp_used_usersel)</f>
        <v>0</v>
      </c>
      <c r="AZ152" s="563" t="b">
        <f t="array" ref="AZ152">AND(A152=inp_used_usersel,D152:R152=inp_used_nonvessel1,AB152:AV152=inp_used_nonvessel2,IF(B152=1,inp_used_pressure=inp_autosize_pressure,inp_used_gravity=inp_autosize_gravity))</f>
        <v>0</v>
      </c>
      <c r="BA152" s="563" t="b">
        <f t="array" ref="BA152">AND(D152:AV152=inp_used,A152=inp_used_usersel)</f>
        <v>0</v>
      </c>
    </row>
    <row r="153" spans="1:55" s="523" customFormat="1">
      <c r="A153" s="523">
        <v>10</v>
      </c>
      <c r="B153" s="523">
        <v>1</v>
      </c>
      <c r="C153" s="523">
        <v>1</v>
      </c>
      <c r="D153" s="917">
        <v>0.03</v>
      </c>
      <c r="E153" s="523" t="s">
        <v>188</v>
      </c>
      <c r="F153" s="414">
        <v>7.0000000000000001E-3</v>
      </c>
      <c r="G153" s="523" t="s">
        <v>188</v>
      </c>
      <c r="H153" s="917" t="s">
        <v>3139</v>
      </c>
      <c r="I153" s="523" t="s">
        <v>936</v>
      </c>
      <c r="J153" s="414">
        <v>29200</v>
      </c>
      <c r="M153" s="561"/>
      <c r="N153" s="917" t="s">
        <v>194</v>
      </c>
      <c r="O153" s="523">
        <v>7.5</v>
      </c>
      <c r="Q153" s="561"/>
      <c r="R153" s="917">
        <v>1</v>
      </c>
      <c r="S153" s="523" t="s">
        <v>3491</v>
      </c>
      <c r="T153" s="559"/>
      <c r="V153" s="559"/>
      <c r="W153" s="560"/>
      <c r="X153" s="559"/>
      <c r="Y153" s="559"/>
      <c r="Z153" s="559"/>
      <c r="AA153" s="559"/>
      <c r="AB153" s="917">
        <v>168</v>
      </c>
      <c r="AC153" s="414" t="s">
        <v>2060</v>
      </c>
      <c r="AD153" s="438" t="s">
        <v>497</v>
      </c>
      <c r="AE153" s="523" t="s">
        <v>499</v>
      </c>
      <c r="AF153" s="561"/>
      <c r="AG153" s="917"/>
      <c r="AH153" s="523">
        <v>0</v>
      </c>
      <c r="AI153" s="438"/>
      <c r="AJ153" s="414"/>
      <c r="AK153" s="523" t="s">
        <v>1932</v>
      </c>
      <c r="AQ153" s="917"/>
      <c r="AV153" s="561"/>
      <c r="AW153" s="414" t="str">
        <f t="shared" si="15"/>
        <v>Carbon Tetrachloride, Pressure</v>
      </c>
      <c r="AX153" s="414" t="b">
        <f t="shared" si="8"/>
        <v>0</v>
      </c>
      <c r="AY153" s="523" t="b">
        <f t="array" ref="AY153">AND(D153:G153=inp_used_minimal,A153=inp_used_usersel)</f>
        <v>0</v>
      </c>
      <c r="AZ153" s="523" t="b">
        <f t="array" ref="AZ153">AND(A153=inp_used_usersel,D153:R153=inp_used_nonvessel1,AB153:AV153=inp_used_nonvessel2,IF(B153=1,inp_used_pressure=inp_autosize_pressure,inp_used_gravity=inp_autosize_gravity))</f>
        <v>0</v>
      </c>
      <c r="BA153" s="523" t="b">
        <f t="array" ref="BA153">AND(D153:AV153=inp_used,A153=inp_used_usersel)</f>
        <v>0</v>
      </c>
      <c r="BB153" s="523" t="b">
        <f t="shared" ref="BB153:BC160" si="17">CHOOSE(design_type,AX153,AX161)</f>
        <v>0</v>
      </c>
      <c r="BC153" s="523" t="b">
        <f t="shared" si="17"/>
        <v>0</v>
      </c>
    </row>
    <row r="154" spans="1:55" s="523" customFormat="1">
      <c r="A154" s="523">
        <v>10</v>
      </c>
      <c r="B154" s="523">
        <v>1</v>
      </c>
      <c r="C154" s="523">
        <v>2</v>
      </c>
      <c r="D154" s="557">
        <v>0.124</v>
      </c>
      <c r="E154" s="523" t="s">
        <v>188</v>
      </c>
      <c r="F154" s="414">
        <v>3.5000000000000003E-2</v>
      </c>
      <c r="G154" s="523" t="s">
        <v>188</v>
      </c>
      <c r="H154" s="557" t="s">
        <v>3139</v>
      </c>
      <c r="I154" s="523" t="s">
        <v>936</v>
      </c>
      <c r="J154" s="414">
        <v>29200</v>
      </c>
      <c r="M154" s="561"/>
      <c r="N154" s="557" t="s">
        <v>194</v>
      </c>
      <c r="O154" s="523">
        <v>7.5</v>
      </c>
      <c r="Q154" s="561"/>
      <c r="R154" s="557">
        <v>1</v>
      </c>
      <c r="S154" s="523" t="s">
        <v>3491</v>
      </c>
      <c r="T154" s="559"/>
      <c r="V154" s="559"/>
      <c r="W154" s="560"/>
      <c r="X154" s="559"/>
      <c r="Y154" s="559"/>
      <c r="Z154" s="559"/>
      <c r="AA154" s="559"/>
      <c r="AB154" s="557">
        <v>168</v>
      </c>
      <c r="AC154" s="414" t="s">
        <v>2060</v>
      </c>
      <c r="AD154" s="438" t="s">
        <v>498</v>
      </c>
      <c r="AE154" s="523" t="s">
        <v>499</v>
      </c>
      <c r="AF154" s="562" t="s">
        <v>500</v>
      </c>
      <c r="AG154" s="557"/>
      <c r="AH154" s="523">
        <v>0</v>
      </c>
      <c r="AI154" s="438"/>
      <c r="AJ154" s="414"/>
      <c r="AK154" s="523" t="s">
        <v>1932</v>
      </c>
      <c r="AQ154" s="557"/>
      <c r="AV154" s="561"/>
      <c r="AW154" s="414" t="str">
        <f t="shared" si="15"/>
        <v>Carbon Tetrachloride, Pressure</v>
      </c>
      <c r="AX154" s="414" t="b">
        <f t="shared" si="8"/>
        <v>0</v>
      </c>
      <c r="AY154" s="523" t="b">
        <f t="array" ref="AY154">AND(D154:G154=inp_used_minimal,A154=inp_used_usersel)</f>
        <v>0</v>
      </c>
      <c r="AZ154" s="523" t="b">
        <f t="array" ref="AZ154">AND(A154=inp_used_usersel,D154:R154=inp_used_nonvessel1,AB154:AV154=inp_used_nonvessel2,IF(B154=1,inp_used_pressure=inp_autosize_pressure,inp_used_gravity=inp_autosize_gravity))</f>
        <v>0</v>
      </c>
      <c r="BA154" s="523" t="b">
        <f t="array" ref="BA154">AND(D154:AV154=inp_used,A154=inp_used_usersel)</f>
        <v>0</v>
      </c>
      <c r="BB154" s="523" t="b">
        <f t="shared" si="17"/>
        <v>0</v>
      </c>
      <c r="BC154" s="523" t="b">
        <f t="shared" si="17"/>
        <v>0</v>
      </c>
    </row>
    <row r="155" spans="1:55" s="523" customFormat="1">
      <c r="A155" s="523">
        <v>10</v>
      </c>
      <c r="B155" s="523">
        <v>1</v>
      </c>
      <c r="C155" s="523">
        <v>3</v>
      </c>
      <c r="D155" s="557">
        <v>0.30499999999999999</v>
      </c>
      <c r="E155" s="523" t="s">
        <v>188</v>
      </c>
      <c r="F155" s="414">
        <v>9.4E-2</v>
      </c>
      <c r="G155" s="523" t="s">
        <v>188</v>
      </c>
      <c r="H155" s="557" t="s">
        <v>3139</v>
      </c>
      <c r="I155" s="523" t="s">
        <v>936</v>
      </c>
      <c r="J155" s="414">
        <v>29200</v>
      </c>
      <c r="M155" s="561"/>
      <c r="N155" s="557" t="s">
        <v>194</v>
      </c>
      <c r="O155" s="523">
        <v>7.5</v>
      </c>
      <c r="Q155" s="561"/>
      <c r="R155" s="557">
        <v>1</v>
      </c>
      <c r="S155" s="523" t="s">
        <v>3491</v>
      </c>
      <c r="T155" s="559"/>
      <c r="V155" s="559"/>
      <c r="W155" s="560"/>
      <c r="X155" s="559"/>
      <c r="Y155" s="559"/>
      <c r="Z155" s="559"/>
      <c r="AA155" s="559"/>
      <c r="AB155" s="557">
        <v>168</v>
      </c>
      <c r="AC155" s="414" t="s">
        <v>2060</v>
      </c>
      <c r="AD155" s="438" t="s">
        <v>498</v>
      </c>
      <c r="AE155" s="523" t="s">
        <v>499</v>
      </c>
      <c r="AF155" s="562" t="s">
        <v>500</v>
      </c>
      <c r="AG155" s="557"/>
      <c r="AH155" s="523">
        <v>0</v>
      </c>
      <c r="AI155" s="438"/>
      <c r="AJ155" s="414"/>
      <c r="AK155" s="523" t="s">
        <v>1932</v>
      </c>
      <c r="AQ155" s="557"/>
      <c r="AV155" s="561"/>
      <c r="AW155" s="414" t="str">
        <f t="shared" si="15"/>
        <v>Carbon Tetrachloride, Pressure</v>
      </c>
      <c r="AX155" s="414" t="b">
        <f t="shared" si="8"/>
        <v>0</v>
      </c>
      <c r="AY155" s="523" t="b">
        <f t="array" ref="AY155">AND(D155:G155=inp_used_minimal,A155=inp_used_usersel)</f>
        <v>0</v>
      </c>
      <c r="AZ155" s="523" t="b">
        <f t="array" ref="AZ155">AND(A155=inp_used_usersel,D155:R155=inp_used_nonvessel1,AB155:AV155=inp_used_nonvessel2,IF(B155=1,inp_used_pressure=inp_autosize_pressure,inp_used_gravity=inp_autosize_gravity))</f>
        <v>0</v>
      </c>
      <c r="BA155" s="523" t="b">
        <f t="array" ref="BA155">AND(D155:AV155=inp_used,A155=inp_used_usersel)</f>
        <v>0</v>
      </c>
      <c r="BB155" s="523" t="b">
        <f t="shared" si="17"/>
        <v>0</v>
      </c>
      <c r="BC155" s="523" t="b">
        <f t="shared" si="17"/>
        <v>0</v>
      </c>
    </row>
    <row r="156" spans="1:55" s="523" customFormat="1">
      <c r="A156" s="523">
        <v>10</v>
      </c>
      <c r="B156" s="523">
        <v>1</v>
      </c>
      <c r="C156" s="523">
        <v>4</v>
      </c>
      <c r="D156" s="557">
        <v>0.74</v>
      </c>
      <c r="E156" s="523" t="s">
        <v>188</v>
      </c>
      <c r="F156" s="414">
        <v>0.251</v>
      </c>
      <c r="G156" s="523" t="s">
        <v>188</v>
      </c>
      <c r="H156" s="557" t="s">
        <v>3139</v>
      </c>
      <c r="I156" s="523" t="s">
        <v>936</v>
      </c>
      <c r="J156" s="414">
        <v>29200</v>
      </c>
      <c r="M156" s="561"/>
      <c r="N156" s="557" t="s">
        <v>194</v>
      </c>
      <c r="O156" s="523">
        <v>7.5</v>
      </c>
      <c r="Q156" s="561"/>
      <c r="R156" s="557">
        <v>1</v>
      </c>
      <c r="S156" s="523" t="s">
        <v>3491</v>
      </c>
      <c r="T156" s="559"/>
      <c r="V156" s="559"/>
      <c r="W156" s="560"/>
      <c r="X156" s="559"/>
      <c r="Y156" s="559"/>
      <c r="Z156" s="559"/>
      <c r="AA156" s="559"/>
      <c r="AB156" s="557">
        <v>168</v>
      </c>
      <c r="AC156" s="414" t="s">
        <v>2060</v>
      </c>
      <c r="AD156" s="438" t="s">
        <v>498</v>
      </c>
      <c r="AE156" s="523" t="s">
        <v>499</v>
      </c>
      <c r="AF156" s="562" t="s">
        <v>500</v>
      </c>
      <c r="AG156" s="557"/>
      <c r="AH156" s="523">
        <v>0</v>
      </c>
      <c r="AI156" s="438"/>
      <c r="AJ156" s="414"/>
      <c r="AK156" s="523" t="s">
        <v>1932</v>
      </c>
      <c r="AQ156" s="557"/>
      <c r="AV156" s="561"/>
      <c r="AW156" s="414" t="str">
        <f t="shared" si="15"/>
        <v>Carbon Tetrachloride, Pressure</v>
      </c>
      <c r="AX156" s="414" t="b">
        <f t="shared" si="8"/>
        <v>0</v>
      </c>
      <c r="AY156" s="523" t="b">
        <f t="array" ref="AY156">AND(D156:G156=inp_used_minimal,A156=inp_used_usersel)</f>
        <v>0</v>
      </c>
      <c r="AZ156" s="523" t="b">
        <f t="array" ref="AZ156">AND(A156=inp_used_usersel,D156:R156=inp_used_nonvessel1,AB156:AV156=inp_used_nonvessel2,IF(B156=1,inp_used_pressure=inp_autosize_pressure,inp_used_gravity=inp_autosize_gravity))</f>
        <v>0</v>
      </c>
      <c r="BA156" s="523" t="b">
        <f t="array" ref="BA156">AND(D156:AV156=inp_used,A156=inp_used_usersel)</f>
        <v>0</v>
      </c>
      <c r="BB156" s="523" t="b">
        <f t="shared" si="17"/>
        <v>0</v>
      </c>
      <c r="BC156" s="523" t="b">
        <f t="shared" si="17"/>
        <v>0</v>
      </c>
    </row>
    <row r="157" spans="1:55" s="523" customFormat="1">
      <c r="A157" s="523">
        <v>10</v>
      </c>
      <c r="B157" s="523">
        <v>1</v>
      </c>
      <c r="C157" s="414">
        <v>5</v>
      </c>
      <c r="D157" s="529">
        <v>2.1520000000000001</v>
      </c>
      <c r="E157" s="523" t="s">
        <v>188</v>
      </c>
      <c r="F157" s="414">
        <v>0.81899999999999995</v>
      </c>
      <c r="G157" s="523" t="s">
        <v>188</v>
      </c>
      <c r="H157" s="557" t="s">
        <v>3139</v>
      </c>
      <c r="I157" s="523" t="s">
        <v>936</v>
      </c>
      <c r="J157" s="414">
        <v>29200</v>
      </c>
      <c r="M157" s="561"/>
      <c r="N157" s="557" t="s">
        <v>194</v>
      </c>
      <c r="O157" s="523">
        <v>7.5</v>
      </c>
      <c r="Q157" s="561"/>
      <c r="R157" s="557">
        <v>1</v>
      </c>
      <c r="S157" s="523" t="s">
        <v>3491</v>
      </c>
      <c r="T157" s="559"/>
      <c r="V157" s="559"/>
      <c r="W157" s="560"/>
      <c r="X157" s="559"/>
      <c r="Y157" s="559"/>
      <c r="Z157" s="559"/>
      <c r="AA157" s="559"/>
      <c r="AB157" s="557">
        <v>168</v>
      </c>
      <c r="AC157" s="414" t="s">
        <v>2060</v>
      </c>
      <c r="AD157" s="438" t="s">
        <v>498</v>
      </c>
      <c r="AE157" s="523" t="s">
        <v>499</v>
      </c>
      <c r="AF157" s="562" t="s">
        <v>500</v>
      </c>
      <c r="AG157" s="557"/>
      <c r="AH157" s="523">
        <v>0</v>
      </c>
      <c r="AI157" s="438"/>
      <c r="AJ157" s="414"/>
      <c r="AK157" s="523" t="s">
        <v>1932</v>
      </c>
      <c r="AQ157" s="557"/>
      <c r="AV157" s="561"/>
      <c r="AW157" s="414" t="str">
        <f t="shared" si="15"/>
        <v>Carbon Tetrachloride, Pressure</v>
      </c>
      <c r="AX157" s="414" t="b">
        <f t="shared" si="8"/>
        <v>0</v>
      </c>
      <c r="AY157" s="523" t="b">
        <f t="array" ref="AY157">AND(D157:G157=inp_used_minimal,A157=inp_used_usersel)</f>
        <v>0</v>
      </c>
      <c r="AZ157" s="523" t="b">
        <f t="array" ref="AZ157">AND(A157=inp_used_usersel,D157:R157=inp_used_nonvessel1,AB157:AV157=inp_used_nonvessel2,IF(B157=1,inp_used_pressure=inp_autosize_pressure,inp_used_gravity=inp_autosize_gravity))</f>
        <v>0</v>
      </c>
      <c r="BA157" s="523" t="b">
        <f t="array" ref="BA157">AND(D157:AV157=inp_used,A157=inp_used_usersel)</f>
        <v>0</v>
      </c>
      <c r="BB157" s="523" t="b">
        <f t="shared" si="17"/>
        <v>0</v>
      </c>
      <c r="BC157" s="523" t="b">
        <f t="shared" si="17"/>
        <v>0</v>
      </c>
    </row>
    <row r="158" spans="1:55" s="523" customFormat="1">
      <c r="A158" s="523">
        <v>10</v>
      </c>
      <c r="B158" s="523">
        <v>1</v>
      </c>
      <c r="C158" s="414">
        <v>6</v>
      </c>
      <c r="D158" s="529">
        <v>7.3650000000000002</v>
      </c>
      <c r="E158" s="523" t="s">
        <v>188</v>
      </c>
      <c r="F158" s="414">
        <v>3.2</v>
      </c>
      <c r="G158" s="523" t="s">
        <v>188</v>
      </c>
      <c r="H158" s="557" t="s">
        <v>3139</v>
      </c>
      <c r="I158" s="523" t="s">
        <v>936</v>
      </c>
      <c r="J158" s="414">
        <v>29200</v>
      </c>
      <c r="M158" s="561"/>
      <c r="N158" s="557" t="s">
        <v>194</v>
      </c>
      <c r="O158" s="523">
        <v>7.5</v>
      </c>
      <c r="Q158" s="561"/>
      <c r="R158" s="557">
        <v>1</v>
      </c>
      <c r="S158" s="523" t="s">
        <v>3491</v>
      </c>
      <c r="T158" s="559"/>
      <c r="V158" s="559"/>
      <c r="W158" s="560"/>
      <c r="X158" s="559"/>
      <c r="Y158" s="559"/>
      <c r="Z158" s="559"/>
      <c r="AA158" s="559"/>
      <c r="AB158" s="557">
        <v>168</v>
      </c>
      <c r="AC158" s="414" t="s">
        <v>2060</v>
      </c>
      <c r="AD158" s="438" t="s">
        <v>498</v>
      </c>
      <c r="AE158" s="523" t="s">
        <v>2615</v>
      </c>
      <c r="AF158" s="562" t="s">
        <v>500</v>
      </c>
      <c r="AG158" s="557"/>
      <c r="AH158" s="523">
        <v>0</v>
      </c>
      <c r="AI158" s="438"/>
      <c r="AJ158" s="414"/>
      <c r="AK158" s="523" t="s">
        <v>1932</v>
      </c>
      <c r="AQ158" s="557"/>
      <c r="AV158" s="561"/>
      <c r="AW158" s="414" t="str">
        <f t="shared" si="15"/>
        <v>Carbon Tetrachloride, Pressure</v>
      </c>
      <c r="AX158" s="414" t="b">
        <f t="shared" si="8"/>
        <v>0</v>
      </c>
      <c r="AY158" s="523" t="b">
        <f t="array" ref="AY158">AND(D158:G158=inp_used_minimal,A158=inp_used_usersel)</f>
        <v>0</v>
      </c>
      <c r="AZ158" s="523" t="b">
        <f t="array" ref="AZ158">AND(A158=inp_used_usersel,D158:R158=inp_used_nonvessel1,AB158:AV158=inp_used_nonvessel2,IF(B158=1,inp_used_pressure=inp_autosize_pressure,inp_used_gravity=inp_autosize_gravity))</f>
        <v>0</v>
      </c>
      <c r="BA158" s="523" t="b">
        <f t="array" ref="BA158">AND(D158:AV158=inp_used,A158=inp_used_usersel)</f>
        <v>0</v>
      </c>
      <c r="BB158" s="523" t="b">
        <f t="shared" si="17"/>
        <v>0</v>
      </c>
      <c r="BC158" s="523" t="b">
        <f t="shared" si="17"/>
        <v>0</v>
      </c>
    </row>
    <row r="159" spans="1:55" s="523" customFormat="1">
      <c r="A159" s="523">
        <v>10</v>
      </c>
      <c r="B159" s="523">
        <v>1</v>
      </c>
      <c r="C159" s="414">
        <v>7</v>
      </c>
      <c r="D159" s="529">
        <v>22.614000000000001</v>
      </c>
      <c r="E159" s="523" t="s">
        <v>188</v>
      </c>
      <c r="F159" s="414">
        <v>11.066000000000001</v>
      </c>
      <c r="G159" s="523" t="s">
        <v>188</v>
      </c>
      <c r="H159" s="557" t="s">
        <v>3139</v>
      </c>
      <c r="I159" s="523" t="s">
        <v>936</v>
      </c>
      <c r="J159" s="414">
        <v>29200</v>
      </c>
      <c r="M159" s="561"/>
      <c r="N159" s="557" t="s">
        <v>194</v>
      </c>
      <c r="O159" s="523">
        <v>7.5</v>
      </c>
      <c r="Q159" s="561"/>
      <c r="R159" s="557">
        <v>1</v>
      </c>
      <c r="S159" s="523" t="s">
        <v>3491</v>
      </c>
      <c r="T159" s="559"/>
      <c r="V159" s="559"/>
      <c r="W159" s="560"/>
      <c r="X159" s="559"/>
      <c r="Y159" s="559"/>
      <c r="Z159" s="559"/>
      <c r="AA159" s="559"/>
      <c r="AB159" s="557">
        <v>168</v>
      </c>
      <c r="AC159" s="414" t="s">
        <v>2060</v>
      </c>
      <c r="AD159" s="438" t="s">
        <v>498</v>
      </c>
      <c r="AE159" s="523" t="s">
        <v>2615</v>
      </c>
      <c r="AF159" s="562" t="s">
        <v>500</v>
      </c>
      <c r="AG159" s="557"/>
      <c r="AH159" s="523">
        <v>0</v>
      </c>
      <c r="AI159" s="438"/>
      <c r="AJ159" s="414"/>
      <c r="AK159" s="523" t="s">
        <v>1932</v>
      </c>
      <c r="AQ159" s="557"/>
      <c r="AV159" s="561"/>
      <c r="AW159" s="414" t="str">
        <f t="shared" si="15"/>
        <v>Carbon Tetrachloride, Pressure</v>
      </c>
      <c r="AX159" s="414" t="b">
        <f t="shared" si="8"/>
        <v>0</v>
      </c>
      <c r="AY159" s="523" t="b">
        <f t="array" ref="AY159">AND(D159:G159=inp_used_minimal,A159=inp_used_usersel)</f>
        <v>0</v>
      </c>
      <c r="AZ159" s="523" t="b">
        <f t="array" ref="AZ159">AND(A159=inp_used_usersel,D159:R159=inp_used_nonvessel1,AB159:AV159=inp_used_nonvessel2,IF(B159=1,inp_used_pressure=inp_autosize_pressure,inp_used_gravity=inp_autosize_gravity))</f>
        <v>0</v>
      </c>
      <c r="BA159" s="523" t="b">
        <f t="array" ref="BA159">AND(D159:AV159=inp_used,A159=inp_used_usersel)</f>
        <v>0</v>
      </c>
      <c r="BB159" s="523" t="b">
        <f t="shared" si="17"/>
        <v>0</v>
      </c>
      <c r="BC159" s="523" t="b">
        <f t="shared" si="17"/>
        <v>0</v>
      </c>
    </row>
    <row r="160" spans="1:55" s="563" customFormat="1">
      <c r="A160" s="563">
        <v>10</v>
      </c>
      <c r="B160" s="563">
        <v>1</v>
      </c>
      <c r="C160" s="564">
        <v>8</v>
      </c>
      <c r="D160" s="918">
        <v>75.072000000000003</v>
      </c>
      <c r="E160" s="563" t="s">
        <v>188</v>
      </c>
      <c r="F160" s="564">
        <v>37.536000000000001</v>
      </c>
      <c r="G160" s="563" t="s">
        <v>188</v>
      </c>
      <c r="H160" s="919" t="s">
        <v>3139</v>
      </c>
      <c r="I160" s="563" t="s">
        <v>936</v>
      </c>
      <c r="J160" s="564">
        <v>29200</v>
      </c>
      <c r="M160" s="565"/>
      <c r="N160" s="919" t="s">
        <v>194</v>
      </c>
      <c r="O160" s="563">
        <v>7.5</v>
      </c>
      <c r="Q160" s="565"/>
      <c r="R160" s="919">
        <v>1</v>
      </c>
      <c r="S160" s="563" t="s">
        <v>3491</v>
      </c>
      <c r="T160" s="566"/>
      <c r="V160" s="566"/>
      <c r="W160" s="567"/>
      <c r="X160" s="566"/>
      <c r="Y160" s="566"/>
      <c r="Z160" s="566"/>
      <c r="AA160" s="567"/>
      <c r="AB160" s="919">
        <v>168</v>
      </c>
      <c r="AC160" s="564" t="s">
        <v>2060</v>
      </c>
      <c r="AD160" s="568" t="s">
        <v>498</v>
      </c>
      <c r="AE160" s="563" t="s">
        <v>2615</v>
      </c>
      <c r="AF160" s="554" t="s">
        <v>500</v>
      </c>
      <c r="AG160" s="919"/>
      <c r="AH160" s="563">
        <v>0</v>
      </c>
      <c r="AI160" s="568"/>
      <c r="AJ160" s="564"/>
      <c r="AK160" s="563" t="s">
        <v>1932</v>
      </c>
      <c r="AP160" s="565"/>
      <c r="AQ160" s="919"/>
      <c r="AV160" s="565"/>
      <c r="AW160" s="564" t="str">
        <f t="shared" si="15"/>
        <v>Carbon Tetrachloride, Pressure</v>
      </c>
      <c r="AX160" s="564" t="b">
        <f t="shared" si="8"/>
        <v>0</v>
      </c>
      <c r="AY160" s="563" t="b">
        <f t="array" ref="AY160">AND(D160:G160=inp_used_minimal,A160=inp_used_usersel)</f>
        <v>0</v>
      </c>
      <c r="AZ160" s="563" t="b">
        <f t="array" ref="AZ160">AND(A160=inp_used_usersel,D160:R160=inp_used_nonvessel1,AB160:AV160=inp_used_nonvessel2,IF(B160=1,inp_used_pressure=inp_autosize_pressure,inp_used_gravity=inp_autosize_gravity))</f>
        <v>0</v>
      </c>
      <c r="BA160" s="563" t="b">
        <f t="array" ref="BA160">AND(D160:AV160=inp_used,A160=inp_used_usersel)</f>
        <v>0</v>
      </c>
      <c r="BB160" s="563" t="b">
        <f t="shared" si="17"/>
        <v>0</v>
      </c>
      <c r="BC160" s="563" t="b">
        <f t="shared" si="17"/>
        <v>0</v>
      </c>
    </row>
    <row r="161" spans="1:55" s="523" customFormat="1">
      <c r="A161" s="523">
        <v>10</v>
      </c>
      <c r="B161" s="523">
        <v>2</v>
      </c>
      <c r="C161" s="523">
        <v>1</v>
      </c>
      <c r="D161" s="917">
        <v>0.03</v>
      </c>
      <c r="E161" s="523" t="s">
        <v>188</v>
      </c>
      <c r="F161" s="414">
        <v>7.0000000000000001E-3</v>
      </c>
      <c r="G161" s="523" t="s">
        <v>188</v>
      </c>
      <c r="H161" s="917" t="s">
        <v>3139</v>
      </c>
      <c r="I161" s="523" t="s">
        <v>936</v>
      </c>
      <c r="J161" s="414">
        <v>29200</v>
      </c>
      <c r="M161" s="561"/>
      <c r="N161" s="917" t="s">
        <v>194</v>
      </c>
      <c r="O161" s="523">
        <v>7.5</v>
      </c>
      <c r="Q161" s="561"/>
      <c r="R161" s="917"/>
      <c r="T161" s="559"/>
      <c r="U161" s="559"/>
      <c r="V161" s="559"/>
      <c r="W161" s="560"/>
      <c r="X161" s="559" t="s">
        <v>3491</v>
      </c>
      <c r="Y161" s="414"/>
      <c r="Z161" s="414"/>
      <c r="AA161" s="414"/>
      <c r="AB161" s="917">
        <v>168</v>
      </c>
      <c r="AC161" s="414" t="s">
        <v>2060</v>
      </c>
      <c r="AD161" s="414" t="s">
        <v>2875</v>
      </c>
      <c r="AE161" s="523" t="s">
        <v>499</v>
      </c>
      <c r="AF161" s="414" t="s">
        <v>500</v>
      </c>
      <c r="AG161" s="917"/>
      <c r="AH161" s="523">
        <v>0</v>
      </c>
      <c r="AI161" s="438"/>
      <c r="AJ161" s="414"/>
      <c r="AK161" s="523" t="s">
        <v>1932</v>
      </c>
      <c r="AQ161" s="917"/>
      <c r="AV161" s="561"/>
      <c r="AW161" s="414" t="str">
        <f t="shared" si="15"/>
        <v>Carbon Tetrachloride, Gravity</v>
      </c>
      <c r="AX161" s="414" t="b">
        <f t="shared" si="8"/>
        <v>0</v>
      </c>
      <c r="AY161" s="523" t="b">
        <f t="array" ref="AY161">AND(D161:G161=inp_used_minimal,A161=inp_used_usersel)</f>
        <v>0</v>
      </c>
      <c r="AZ161" s="523" t="b">
        <f t="array" ref="AZ161">AND(A161=inp_used_usersel,D161:R161=inp_used_nonvessel1,AB161:AV161=inp_used_nonvessel2,IF(B161=1,inp_used_pressure=inp_autosize_pressure,inp_used_gravity=inp_autosize_gravity))</f>
        <v>0</v>
      </c>
      <c r="BA161" s="523" t="b">
        <f t="array" ref="BA161">AND(D161:AV161=inp_used,A161=inp_used_usersel)</f>
        <v>0</v>
      </c>
    </row>
    <row r="162" spans="1:55" s="523" customFormat="1">
      <c r="A162" s="523">
        <v>10</v>
      </c>
      <c r="B162" s="523">
        <v>2</v>
      </c>
      <c r="C162" s="523">
        <v>2</v>
      </c>
      <c r="D162" s="557">
        <v>0.124</v>
      </c>
      <c r="E162" s="523" t="s">
        <v>188</v>
      </c>
      <c r="F162" s="414">
        <v>3.5000000000000003E-2</v>
      </c>
      <c r="G162" s="523" t="s">
        <v>188</v>
      </c>
      <c r="H162" s="557" t="s">
        <v>3139</v>
      </c>
      <c r="I162" s="523" t="s">
        <v>936</v>
      </c>
      <c r="J162" s="414">
        <v>29200</v>
      </c>
      <c r="M162" s="561"/>
      <c r="N162" s="557" t="s">
        <v>194</v>
      </c>
      <c r="O162" s="523">
        <v>7.5</v>
      </c>
      <c r="Q162" s="561"/>
      <c r="R162" s="557"/>
      <c r="T162" s="559"/>
      <c r="U162" s="559"/>
      <c r="V162" s="559"/>
      <c r="W162" s="560"/>
      <c r="X162" s="559" t="s">
        <v>3491</v>
      </c>
      <c r="Y162" s="414"/>
      <c r="Z162" s="414"/>
      <c r="AA162" s="414"/>
      <c r="AB162" s="557">
        <v>168</v>
      </c>
      <c r="AC162" s="414" t="s">
        <v>2060</v>
      </c>
      <c r="AD162" s="414" t="s">
        <v>2875</v>
      </c>
      <c r="AE162" s="523" t="s">
        <v>499</v>
      </c>
      <c r="AF162" s="414" t="s">
        <v>500</v>
      </c>
      <c r="AG162" s="557"/>
      <c r="AH162" s="523">
        <v>0</v>
      </c>
      <c r="AI162" s="438"/>
      <c r="AJ162" s="414"/>
      <c r="AK162" s="523" t="s">
        <v>1932</v>
      </c>
      <c r="AQ162" s="557"/>
      <c r="AV162" s="561"/>
      <c r="AW162" s="414" t="str">
        <f t="shared" si="15"/>
        <v>Carbon Tetrachloride, Gravity</v>
      </c>
      <c r="AX162" s="414" t="b">
        <f t="shared" si="8"/>
        <v>0</v>
      </c>
      <c r="AY162" s="523" t="b">
        <f t="array" ref="AY162">AND(D162:G162=inp_used_minimal,A162=inp_used_usersel)</f>
        <v>0</v>
      </c>
      <c r="AZ162" s="523" t="b">
        <f t="array" ref="AZ162">AND(A162=inp_used_usersel,D162:R162=inp_used_nonvessel1,AB162:AV162=inp_used_nonvessel2,IF(B162=1,inp_used_pressure=inp_autosize_pressure,inp_used_gravity=inp_autosize_gravity))</f>
        <v>0</v>
      </c>
      <c r="BA162" s="523" t="b">
        <f t="array" ref="BA162">AND(D162:AV162=inp_used,A162=inp_used_usersel)</f>
        <v>0</v>
      </c>
    </row>
    <row r="163" spans="1:55" s="523" customFormat="1">
      <c r="A163" s="523">
        <v>10</v>
      </c>
      <c r="B163" s="523">
        <v>2</v>
      </c>
      <c r="C163" s="523">
        <v>3</v>
      </c>
      <c r="D163" s="557">
        <v>0.30499999999999999</v>
      </c>
      <c r="E163" s="523" t="s">
        <v>188</v>
      </c>
      <c r="F163" s="414">
        <v>9.4E-2</v>
      </c>
      <c r="G163" s="523" t="s">
        <v>188</v>
      </c>
      <c r="H163" s="557" t="s">
        <v>3139</v>
      </c>
      <c r="I163" s="523" t="s">
        <v>936</v>
      </c>
      <c r="J163" s="414">
        <v>29200</v>
      </c>
      <c r="M163" s="561"/>
      <c r="N163" s="557" t="s">
        <v>194</v>
      </c>
      <c r="O163" s="523">
        <v>7.5</v>
      </c>
      <c r="Q163" s="561"/>
      <c r="R163" s="557"/>
      <c r="T163" s="559"/>
      <c r="U163" s="559"/>
      <c r="V163" s="559"/>
      <c r="W163" s="560"/>
      <c r="X163" s="559" t="s">
        <v>3491</v>
      </c>
      <c r="Y163" s="414"/>
      <c r="Z163" s="414"/>
      <c r="AA163" s="414"/>
      <c r="AB163" s="557">
        <v>168</v>
      </c>
      <c r="AC163" s="414" t="s">
        <v>2060</v>
      </c>
      <c r="AD163" s="414" t="s">
        <v>2875</v>
      </c>
      <c r="AE163" s="523" t="s">
        <v>499</v>
      </c>
      <c r="AF163" s="414" t="s">
        <v>500</v>
      </c>
      <c r="AG163" s="557"/>
      <c r="AH163" s="523">
        <v>0</v>
      </c>
      <c r="AI163" s="438"/>
      <c r="AJ163" s="414"/>
      <c r="AK163" s="523" t="s">
        <v>1932</v>
      </c>
      <c r="AQ163" s="557"/>
      <c r="AV163" s="561"/>
      <c r="AW163" s="414" t="str">
        <f t="shared" si="15"/>
        <v>Carbon Tetrachloride, Gravity</v>
      </c>
      <c r="AX163" s="414" t="b">
        <f t="shared" si="8"/>
        <v>0</v>
      </c>
      <c r="AY163" s="523" t="b">
        <f t="array" ref="AY163">AND(D163:G163=inp_used_minimal,A163=inp_used_usersel)</f>
        <v>0</v>
      </c>
      <c r="AZ163" s="523" t="b">
        <f t="array" ref="AZ163">AND(A163=inp_used_usersel,D163:R163=inp_used_nonvessel1,AB163:AV163=inp_used_nonvessel2,IF(B163=1,inp_used_pressure=inp_autosize_pressure,inp_used_gravity=inp_autosize_gravity))</f>
        <v>0</v>
      </c>
      <c r="BA163" s="523" t="b">
        <f t="array" ref="BA163">AND(D163:AV163=inp_used,A163=inp_used_usersel)</f>
        <v>0</v>
      </c>
    </row>
    <row r="164" spans="1:55" s="523" customFormat="1">
      <c r="A164" s="523">
        <v>10</v>
      </c>
      <c r="B164" s="523">
        <v>2</v>
      </c>
      <c r="C164" s="523">
        <v>4</v>
      </c>
      <c r="D164" s="557">
        <v>0.74</v>
      </c>
      <c r="E164" s="523" t="s">
        <v>188</v>
      </c>
      <c r="F164" s="414">
        <v>0.251</v>
      </c>
      <c r="G164" s="523" t="s">
        <v>188</v>
      </c>
      <c r="H164" s="557" t="s">
        <v>3139</v>
      </c>
      <c r="I164" s="523" t="s">
        <v>936</v>
      </c>
      <c r="J164" s="414">
        <v>29200</v>
      </c>
      <c r="M164" s="561"/>
      <c r="N164" s="557" t="s">
        <v>194</v>
      </c>
      <c r="O164" s="523">
        <v>7.5</v>
      </c>
      <c r="Q164" s="561"/>
      <c r="R164" s="557"/>
      <c r="T164" s="559"/>
      <c r="U164" s="559"/>
      <c r="V164" s="559"/>
      <c r="W164" s="560"/>
      <c r="X164" s="559" t="s">
        <v>3491</v>
      </c>
      <c r="Y164" s="414"/>
      <c r="Z164" s="414"/>
      <c r="AA164" s="414"/>
      <c r="AB164" s="557">
        <v>168</v>
      </c>
      <c r="AC164" s="414" t="s">
        <v>2060</v>
      </c>
      <c r="AD164" s="414" t="s">
        <v>2875</v>
      </c>
      <c r="AE164" s="523" t="s">
        <v>499</v>
      </c>
      <c r="AF164" s="414" t="s">
        <v>500</v>
      </c>
      <c r="AG164" s="557"/>
      <c r="AH164" s="523">
        <v>0</v>
      </c>
      <c r="AI164" s="438"/>
      <c r="AJ164" s="414"/>
      <c r="AK164" s="523" t="s">
        <v>1932</v>
      </c>
      <c r="AQ164" s="557"/>
      <c r="AV164" s="561"/>
      <c r="AW164" s="414" t="str">
        <f t="shared" si="15"/>
        <v>Carbon Tetrachloride, Gravity</v>
      </c>
      <c r="AX164" s="414" t="b">
        <f t="shared" si="8"/>
        <v>0</v>
      </c>
      <c r="AY164" s="523" t="b">
        <f t="array" ref="AY164">AND(D164:G164=inp_used_minimal,A164=inp_used_usersel)</f>
        <v>0</v>
      </c>
      <c r="AZ164" s="523" t="b">
        <f t="array" ref="AZ164">AND(A164=inp_used_usersel,D164:R164=inp_used_nonvessel1,AB164:AV164=inp_used_nonvessel2,IF(B164=1,inp_used_pressure=inp_autosize_pressure,inp_used_gravity=inp_autosize_gravity))</f>
        <v>0</v>
      </c>
      <c r="BA164" s="523" t="b">
        <f t="array" ref="BA164">AND(D164:AV164=inp_used,A164=inp_used_usersel)</f>
        <v>0</v>
      </c>
    </row>
    <row r="165" spans="1:55" s="523" customFormat="1">
      <c r="A165" s="523">
        <v>10</v>
      </c>
      <c r="B165" s="523">
        <v>2</v>
      </c>
      <c r="C165" s="414">
        <v>5</v>
      </c>
      <c r="D165" s="529">
        <v>2.1520000000000001</v>
      </c>
      <c r="E165" s="523" t="s">
        <v>188</v>
      </c>
      <c r="F165" s="414">
        <v>0.81899999999999995</v>
      </c>
      <c r="G165" s="523" t="s">
        <v>188</v>
      </c>
      <c r="H165" s="557" t="s">
        <v>3139</v>
      </c>
      <c r="I165" s="523" t="s">
        <v>936</v>
      </c>
      <c r="J165" s="414">
        <v>29200</v>
      </c>
      <c r="M165" s="561"/>
      <c r="N165" s="557" t="s">
        <v>194</v>
      </c>
      <c r="O165" s="523">
        <v>7.5</v>
      </c>
      <c r="Q165" s="561"/>
      <c r="R165" s="557"/>
      <c r="T165" s="559"/>
      <c r="U165" s="559"/>
      <c r="V165" s="559"/>
      <c r="W165" s="560"/>
      <c r="X165" s="559" t="s">
        <v>3491</v>
      </c>
      <c r="Y165" s="414"/>
      <c r="Z165" s="414"/>
      <c r="AA165" s="414"/>
      <c r="AB165" s="557">
        <v>168</v>
      </c>
      <c r="AC165" s="414" t="s">
        <v>2060</v>
      </c>
      <c r="AD165" s="414" t="s">
        <v>2875</v>
      </c>
      <c r="AE165" s="523" t="s">
        <v>499</v>
      </c>
      <c r="AF165" s="414" t="s">
        <v>500</v>
      </c>
      <c r="AG165" s="557"/>
      <c r="AH165" s="523">
        <v>0</v>
      </c>
      <c r="AI165" s="438"/>
      <c r="AJ165" s="414"/>
      <c r="AK165" s="523" t="s">
        <v>1932</v>
      </c>
      <c r="AQ165" s="557"/>
      <c r="AV165" s="561"/>
      <c r="AW165" s="414" t="str">
        <f t="shared" si="15"/>
        <v>Carbon Tetrachloride, Gravity</v>
      </c>
      <c r="AX165" s="414" t="b">
        <f t="shared" si="8"/>
        <v>0</v>
      </c>
      <c r="AY165" s="523" t="b">
        <f t="array" ref="AY165">AND(D165:G165=inp_used_minimal,A165=inp_used_usersel)</f>
        <v>0</v>
      </c>
      <c r="AZ165" s="523" t="b">
        <f t="array" ref="AZ165">AND(A165=inp_used_usersel,D165:R165=inp_used_nonvessel1,AB165:AV165=inp_used_nonvessel2,IF(B165=1,inp_used_pressure=inp_autosize_pressure,inp_used_gravity=inp_autosize_gravity))</f>
        <v>0</v>
      </c>
      <c r="BA165" s="523" t="b">
        <f t="array" ref="BA165">AND(D165:AV165=inp_used,A165=inp_used_usersel)</f>
        <v>0</v>
      </c>
    </row>
    <row r="166" spans="1:55" s="523" customFormat="1">
      <c r="A166" s="523">
        <v>10</v>
      </c>
      <c r="B166" s="523">
        <v>2</v>
      </c>
      <c r="C166" s="414">
        <v>6</v>
      </c>
      <c r="D166" s="529">
        <v>7.3650000000000002</v>
      </c>
      <c r="E166" s="523" t="s">
        <v>188</v>
      </c>
      <c r="F166" s="414">
        <v>3.2</v>
      </c>
      <c r="G166" s="523" t="s">
        <v>188</v>
      </c>
      <c r="H166" s="557" t="s">
        <v>3139</v>
      </c>
      <c r="I166" s="523" t="s">
        <v>936</v>
      </c>
      <c r="J166" s="414">
        <v>29200</v>
      </c>
      <c r="M166" s="561"/>
      <c r="N166" s="557" t="s">
        <v>194</v>
      </c>
      <c r="O166" s="523">
        <v>7.5</v>
      </c>
      <c r="Q166" s="561"/>
      <c r="R166" s="557"/>
      <c r="T166" s="559"/>
      <c r="U166" s="559"/>
      <c r="V166" s="559"/>
      <c r="W166" s="560"/>
      <c r="X166" s="559" t="s">
        <v>3491</v>
      </c>
      <c r="Y166" s="414"/>
      <c r="Z166" s="414"/>
      <c r="AA166" s="414"/>
      <c r="AB166" s="557">
        <v>168</v>
      </c>
      <c r="AC166" s="414" t="s">
        <v>2060</v>
      </c>
      <c r="AD166" s="414" t="s">
        <v>2875</v>
      </c>
      <c r="AE166" s="523" t="s">
        <v>2615</v>
      </c>
      <c r="AF166" s="414" t="s">
        <v>500</v>
      </c>
      <c r="AG166" s="557"/>
      <c r="AH166" s="523">
        <v>0</v>
      </c>
      <c r="AI166" s="438"/>
      <c r="AJ166" s="414"/>
      <c r="AK166" s="523" t="s">
        <v>1932</v>
      </c>
      <c r="AQ166" s="557"/>
      <c r="AV166" s="561"/>
      <c r="AW166" s="414" t="str">
        <f t="shared" si="15"/>
        <v>Carbon Tetrachloride, Gravity</v>
      </c>
      <c r="AX166" s="414" t="b">
        <f t="shared" si="8"/>
        <v>0</v>
      </c>
      <c r="AY166" s="523" t="b">
        <f t="array" ref="AY166">AND(D166:G166=inp_used_minimal,A166=inp_used_usersel)</f>
        <v>0</v>
      </c>
      <c r="AZ166" s="523" t="b">
        <f t="array" ref="AZ166">AND(A166=inp_used_usersel,D166:R166=inp_used_nonvessel1,AB166:AV166=inp_used_nonvessel2,IF(B166=1,inp_used_pressure=inp_autosize_pressure,inp_used_gravity=inp_autosize_gravity))</f>
        <v>0</v>
      </c>
      <c r="BA166" s="523" t="b">
        <f t="array" ref="BA166">AND(D166:AV166=inp_used,A166=inp_used_usersel)</f>
        <v>0</v>
      </c>
    </row>
    <row r="167" spans="1:55" s="523" customFormat="1">
      <c r="A167" s="523">
        <v>10</v>
      </c>
      <c r="B167" s="523">
        <v>2</v>
      </c>
      <c r="C167" s="414">
        <v>7</v>
      </c>
      <c r="D167" s="529">
        <v>22.614000000000001</v>
      </c>
      <c r="E167" s="523" t="s">
        <v>188</v>
      </c>
      <c r="F167" s="414">
        <v>11.066000000000001</v>
      </c>
      <c r="G167" s="523" t="s">
        <v>188</v>
      </c>
      <c r="H167" s="557" t="s">
        <v>3139</v>
      </c>
      <c r="I167" s="523" t="s">
        <v>936</v>
      </c>
      <c r="J167" s="414">
        <v>29200</v>
      </c>
      <c r="M167" s="561"/>
      <c r="N167" s="557" t="s">
        <v>194</v>
      </c>
      <c r="O167" s="523">
        <v>7.5</v>
      </c>
      <c r="Q167" s="561"/>
      <c r="R167" s="557"/>
      <c r="T167" s="559"/>
      <c r="U167" s="559"/>
      <c r="V167" s="559"/>
      <c r="W167" s="560"/>
      <c r="X167" s="559" t="s">
        <v>3491</v>
      </c>
      <c r="Y167" s="414"/>
      <c r="Z167" s="414"/>
      <c r="AA167" s="414"/>
      <c r="AB167" s="557">
        <v>168</v>
      </c>
      <c r="AC167" s="414" t="s">
        <v>2060</v>
      </c>
      <c r="AD167" s="414" t="s">
        <v>2875</v>
      </c>
      <c r="AE167" s="523" t="s">
        <v>2615</v>
      </c>
      <c r="AF167" s="414" t="s">
        <v>500</v>
      </c>
      <c r="AG167" s="557"/>
      <c r="AH167" s="523">
        <v>0</v>
      </c>
      <c r="AI167" s="438"/>
      <c r="AJ167" s="414"/>
      <c r="AK167" s="523" t="s">
        <v>1932</v>
      </c>
      <c r="AQ167" s="557"/>
      <c r="AV167" s="561"/>
      <c r="AW167" s="414" t="str">
        <f t="shared" si="15"/>
        <v>Carbon Tetrachloride, Gravity</v>
      </c>
      <c r="AX167" s="414" t="b">
        <f t="shared" si="8"/>
        <v>0</v>
      </c>
      <c r="AY167" s="523" t="b">
        <f t="array" ref="AY167">AND(D167:G167=inp_used_minimal,A167=inp_used_usersel)</f>
        <v>0</v>
      </c>
      <c r="AZ167" s="523" t="b">
        <f t="array" ref="AZ167">AND(A167=inp_used_usersel,D167:R167=inp_used_nonvessel1,AB167:AV167=inp_used_nonvessel2,IF(B167=1,inp_used_pressure=inp_autosize_pressure,inp_used_gravity=inp_autosize_gravity))</f>
        <v>0</v>
      </c>
      <c r="BA167" s="523" t="b">
        <f t="array" ref="BA167">AND(D167:AV167=inp_used,A167=inp_used_usersel)</f>
        <v>0</v>
      </c>
    </row>
    <row r="168" spans="1:55" s="563" customFormat="1">
      <c r="A168" s="563">
        <v>10</v>
      </c>
      <c r="B168" s="563">
        <v>2</v>
      </c>
      <c r="C168" s="564">
        <v>8</v>
      </c>
      <c r="D168" s="918">
        <v>75.072000000000003</v>
      </c>
      <c r="E168" s="563" t="s">
        <v>188</v>
      </c>
      <c r="F168" s="564">
        <v>37.536000000000001</v>
      </c>
      <c r="G168" s="563" t="s">
        <v>188</v>
      </c>
      <c r="H168" s="919" t="s">
        <v>3139</v>
      </c>
      <c r="I168" s="563" t="s">
        <v>936</v>
      </c>
      <c r="J168" s="564">
        <v>29200</v>
      </c>
      <c r="M168" s="565"/>
      <c r="N168" s="919" t="s">
        <v>194</v>
      </c>
      <c r="O168" s="563">
        <v>7.5</v>
      </c>
      <c r="Q168" s="565"/>
      <c r="R168" s="919"/>
      <c r="T168" s="566"/>
      <c r="U168" s="566"/>
      <c r="V168" s="566"/>
      <c r="W168" s="567"/>
      <c r="X168" s="566" t="s">
        <v>3491</v>
      </c>
      <c r="Y168" s="564"/>
      <c r="Z168" s="564"/>
      <c r="AA168" s="554"/>
      <c r="AB168" s="919">
        <v>168</v>
      </c>
      <c r="AC168" s="564" t="s">
        <v>2060</v>
      </c>
      <c r="AD168" s="564" t="s">
        <v>2875</v>
      </c>
      <c r="AE168" s="563" t="s">
        <v>2615</v>
      </c>
      <c r="AF168" s="564" t="s">
        <v>500</v>
      </c>
      <c r="AG168" s="919"/>
      <c r="AH168" s="563">
        <v>0</v>
      </c>
      <c r="AI168" s="568"/>
      <c r="AJ168" s="564"/>
      <c r="AK168" s="563" t="s">
        <v>1932</v>
      </c>
      <c r="AP168" s="565"/>
      <c r="AQ168" s="919"/>
      <c r="AV168" s="565"/>
      <c r="AW168" s="564" t="str">
        <f t="shared" si="15"/>
        <v>Carbon Tetrachloride, Gravity</v>
      </c>
      <c r="AX168" s="564" t="b">
        <f t="shared" si="8"/>
        <v>0</v>
      </c>
      <c r="AY168" s="563" t="b">
        <f t="array" ref="AY168">AND(D168:G168=inp_used_minimal,A168=inp_used_usersel)</f>
        <v>0</v>
      </c>
      <c r="AZ168" s="563" t="b">
        <f t="array" ref="AZ168">AND(A168=inp_used_usersel,D168:R168=inp_used_nonvessel1,AB168:AV168=inp_used_nonvessel2,IF(B168=1,inp_used_pressure=inp_autosize_pressure,inp_used_gravity=inp_autosize_gravity))</f>
        <v>0</v>
      </c>
      <c r="BA168" s="563" t="b">
        <f t="array" ref="BA168">AND(D168:AV168=inp_used,A168=inp_used_usersel)</f>
        <v>0</v>
      </c>
    </row>
    <row r="169" spans="1:55" s="523" customFormat="1">
      <c r="A169" s="523">
        <v>11</v>
      </c>
      <c r="B169" s="523">
        <v>1</v>
      </c>
      <c r="C169" s="523">
        <v>1</v>
      </c>
      <c r="D169" s="917">
        <v>0.03</v>
      </c>
      <c r="E169" s="523" t="s">
        <v>188</v>
      </c>
      <c r="F169" s="414">
        <v>7.0000000000000001E-3</v>
      </c>
      <c r="G169" s="523" t="s">
        <v>188</v>
      </c>
      <c r="H169" s="917" t="s">
        <v>3139</v>
      </c>
      <c r="I169" s="523" t="s">
        <v>936</v>
      </c>
      <c r="J169" s="414">
        <v>21600</v>
      </c>
      <c r="M169" s="561"/>
      <c r="N169" s="917" t="s">
        <v>194</v>
      </c>
      <c r="O169" s="523">
        <v>7.5</v>
      </c>
      <c r="Q169" s="561"/>
      <c r="R169" s="917">
        <v>1</v>
      </c>
      <c r="S169" s="523" t="s">
        <v>3491</v>
      </c>
      <c r="T169" s="559"/>
      <c r="V169" s="559"/>
      <c r="W169" s="560"/>
      <c r="X169" s="559"/>
      <c r="Y169" s="559"/>
      <c r="Z169" s="559"/>
      <c r="AA169" s="559"/>
      <c r="AB169" s="917">
        <v>168</v>
      </c>
      <c r="AC169" s="414" t="s">
        <v>2060</v>
      </c>
      <c r="AD169" s="438" t="s">
        <v>497</v>
      </c>
      <c r="AE169" s="523" t="s">
        <v>499</v>
      </c>
      <c r="AF169" s="561"/>
      <c r="AG169" s="917"/>
      <c r="AH169" s="523">
        <v>0</v>
      </c>
      <c r="AI169" s="438"/>
      <c r="AJ169" s="414"/>
      <c r="AK169" s="523" t="s">
        <v>1932</v>
      </c>
      <c r="AQ169" s="917"/>
      <c r="AV169" s="561"/>
      <c r="AW169" s="414" t="str">
        <f t="shared" si="15"/>
        <v>Benzene, Pressure</v>
      </c>
      <c r="AX169" s="414" t="b">
        <f t="shared" si="8"/>
        <v>0</v>
      </c>
      <c r="AY169" s="523" t="b">
        <f t="array" ref="AY169">AND(D169:G169=inp_used_minimal,A169=inp_used_usersel)</f>
        <v>0</v>
      </c>
      <c r="AZ169" s="523" t="b">
        <f t="array" ref="AZ169">AND(A169=inp_used_usersel,D169:R169=inp_used_nonvessel1,AB169:AV169=inp_used_nonvessel2,IF(B169=1,inp_used_pressure=inp_autosize_pressure,inp_used_gravity=inp_autosize_gravity))</f>
        <v>0</v>
      </c>
      <c r="BA169" s="523" t="b">
        <f t="array" ref="BA169">AND(D169:AV169=inp_used,A169=inp_used_usersel)</f>
        <v>0</v>
      </c>
      <c r="BB169" s="523" t="b">
        <f t="shared" ref="BB169:BC176" si="18">CHOOSE(design_type,AX169,AX177)</f>
        <v>0</v>
      </c>
      <c r="BC169" s="523" t="b">
        <f t="shared" si="18"/>
        <v>0</v>
      </c>
    </row>
    <row r="170" spans="1:55" s="523" customFormat="1">
      <c r="A170" s="523">
        <v>11</v>
      </c>
      <c r="B170" s="523">
        <v>1</v>
      </c>
      <c r="C170" s="523">
        <v>2</v>
      </c>
      <c r="D170" s="557">
        <v>0.124</v>
      </c>
      <c r="E170" s="523" t="s">
        <v>188</v>
      </c>
      <c r="F170" s="414">
        <v>3.5000000000000003E-2</v>
      </c>
      <c r="G170" s="523" t="s">
        <v>188</v>
      </c>
      <c r="H170" s="557" t="s">
        <v>3139</v>
      </c>
      <c r="I170" s="523" t="s">
        <v>936</v>
      </c>
      <c r="J170" s="414">
        <v>21600</v>
      </c>
      <c r="M170" s="561"/>
      <c r="N170" s="557" t="s">
        <v>194</v>
      </c>
      <c r="O170" s="523">
        <v>7.5</v>
      </c>
      <c r="Q170" s="561"/>
      <c r="R170" s="557">
        <v>1</v>
      </c>
      <c r="S170" s="523" t="s">
        <v>3491</v>
      </c>
      <c r="T170" s="559"/>
      <c r="V170" s="559"/>
      <c r="W170" s="560"/>
      <c r="X170" s="559"/>
      <c r="Y170" s="559"/>
      <c r="Z170" s="559"/>
      <c r="AA170" s="559"/>
      <c r="AB170" s="557">
        <v>168</v>
      </c>
      <c r="AC170" s="414" t="s">
        <v>2060</v>
      </c>
      <c r="AD170" s="438" t="s">
        <v>498</v>
      </c>
      <c r="AE170" s="523" t="s">
        <v>499</v>
      </c>
      <c r="AF170" s="562" t="s">
        <v>500</v>
      </c>
      <c r="AG170" s="557"/>
      <c r="AH170" s="523">
        <v>0</v>
      </c>
      <c r="AI170" s="438"/>
      <c r="AJ170" s="414"/>
      <c r="AK170" s="523" t="s">
        <v>1932</v>
      </c>
      <c r="AQ170" s="557"/>
      <c r="AV170" s="561"/>
      <c r="AW170" s="414" t="str">
        <f t="shared" si="15"/>
        <v>Benzene, Pressure</v>
      </c>
      <c r="AX170" s="414" t="b">
        <f t="shared" ref="AX170:AX233" si="19">IF(OR(S170="yes",X170="yes"),AZ170,BA170)</f>
        <v>0</v>
      </c>
      <c r="AY170" s="523" t="b">
        <f t="array" ref="AY170">AND(D170:G170=inp_used_minimal,A170=inp_used_usersel)</f>
        <v>0</v>
      </c>
      <c r="AZ170" s="523" t="b">
        <f t="array" ref="AZ170">AND(A170=inp_used_usersel,D170:R170=inp_used_nonvessel1,AB170:AV170=inp_used_nonvessel2,IF(B170=1,inp_used_pressure=inp_autosize_pressure,inp_used_gravity=inp_autosize_gravity))</f>
        <v>0</v>
      </c>
      <c r="BA170" s="523" t="b">
        <f t="array" ref="BA170">AND(D170:AV170=inp_used,A170=inp_used_usersel)</f>
        <v>0</v>
      </c>
      <c r="BB170" s="523" t="b">
        <f t="shared" si="18"/>
        <v>0</v>
      </c>
      <c r="BC170" s="523" t="b">
        <f t="shared" si="18"/>
        <v>0</v>
      </c>
    </row>
    <row r="171" spans="1:55" s="523" customFormat="1">
      <c r="A171" s="523">
        <v>11</v>
      </c>
      <c r="B171" s="523">
        <v>1</v>
      </c>
      <c r="C171" s="523">
        <v>3</v>
      </c>
      <c r="D171" s="557">
        <v>0.30499999999999999</v>
      </c>
      <c r="E171" s="523" t="s">
        <v>188</v>
      </c>
      <c r="F171" s="414">
        <v>9.4E-2</v>
      </c>
      <c r="G171" s="523" t="s">
        <v>188</v>
      </c>
      <c r="H171" s="557" t="s">
        <v>3139</v>
      </c>
      <c r="I171" s="523" t="s">
        <v>936</v>
      </c>
      <c r="J171" s="414">
        <v>21600</v>
      </c>
      <c r="M171" s="561"/>
      <c r="N171" s="557" t="s">
        <v>194</v>
      </c>
      <c r="O171" s="523">
        <v>7.5</v>
      </c>
      <c r="Q171" s="561"/>
      <c r="R171" s="557">
        <v>1</v>
      </c>
      <c r="S171" s="523" t="s">
        <v>3491</v>
      </c>
      <c r="T171" s="559"/>
      <c r="V171" s="559"/>
      <c r="W171" s="560"/>
      <c r="X171" s="559"/>
      <c r="Y171" s="559"/>
      <c r="Z171" s="559"/>
      <c r="AA171" s="559"/>
      <c r="AB171" s="557">
        <v>168</v>
      </c>
      <c r="AC171" s="414" t="s">
        <v>2060</v>
      </c>
      <c r="AD171" s="438" t="s">
        <v>498</v>
      </c>
      <c r="AE171" s="523" t="s">
        <v>499</v>
      </c>
      <c r="AF171" s="562" t="s">
        <v>500</v>
      </c>
      <c r="AG171" s="557"/>
      <c r="AH171" s="523">
        <v>0</v>
      </c>
      <c r="AI171" s="438"/>
      <c r="AJ171" s="414"/>
      <c r="AK171" s="523" t="s">
        <v>1932</v>
      </c>
      <c r="AQ171" s="557"/>
      <c r="AV171" s="561"/>
      <c r="AW171" s="414" t="str">
        <f t="shared" si="15"/>
        <v>Benzene, Pressure</v>
      </c>
      <c r="AX171" s="414" t="b">
        <f t="shared" si="19"/>
        <v>0</v>
      </c>
      <c r="AY171" s="523" t="b">
        <f t="array" ref="AY171">AND(D171:G171=inp_used_minimal,A171=inp_used_usersel)</f>
        <v>0</v>
      </c>
      <c r="AZ171" s="523" t="b">
        <f t="array" ref="AZ171">AND(A171=inp_used_usersel,D171:R171=inp_used_nonvessel1,AB171:AV171=inp_used_nonvessel2,IF(B171=1,inp_used_pressure=inp_autosize_pressure,inp_used_gravity=inp_autosize_gravity))</f>
        <v>0</v>
      </c>
      <c r="BA171" s="523" t="b">
        <f t="array" ref="BA171">AND(D171:AV171=inp_used,A171=inp_used_usersel)</f>
        <v>0</v>
      </c>
      <c r="BB171" s="523" t="b">
        <f t="shared" si="18"/>
        <v>0</v>
      </c>
      <c r="BC171" s="523" t="b">
        <f t="shared" si="18"/>
        <v>0</v>
      </c>
    </row>
    <row r="172" spans="1:55" s="523" customFormat="1">
      <c r="A172" s="523">
        <v>11</v>
      </c>
      <c r="B172" s="523">
        <v>1</v>
      </c>
      <c r="C172" s="523">
        <v>4</v>
      </c>
      <c r="D172" s="557">
        <v>0.74</v>
      </c>
      <c r="E172" s="523" t="s">
        <v>188</v>
      </c>
      <c r="F172" s="414">
        <v>0.251</v>
      </c>
      <c r="G172" s="523" t="s">
        <v>188</v>
      </c>
      <c r="H172" s="557" t="s">
        <v>3139</v>
      </c>
      <c r="I172" s="523" t="s">
        <v>936</v>
      </c>
      <c r="J172" s="414">
        <v>21600</v>
      </c>
      <c r="M172" s="561"/>
      <c r="N172" s="557" t="s">
        <v>194</v>
      </c>
      <c r="O172" s="523">
        <v>7.5</v>
      </c>
      <c r="Q172" s="561"/>
      <c r="R172" s="557">
        <v>1</v>
      </c>
      <c r="S172" s="523" t="s">
        <v>3491</v>
      </c>
      <c r="T172" s="559"/>
      <c r="V172" s="559"/>
      <c r="W172" s="560"/>
      <c r="X172" s="559"/>
      <c r="Y172" s="559"/>
      <c r="Z172" s="559"/>
      <c r="AA172" s="559"/>
      <c r="AB172" s="557">
        <v>168</v>
      </c>
      <c r="AC172" s="414" t="s">
        <v>2060</v>
      </c>
      <c r="AD172" s="438" t="s">
        <v>498</v>
      </c>
      <c r="AE172" s="523" t="s">
        <v>499</v>
      </c>
      <c r="AF172" s="562" t="s">
        <v>500</v>
      </c>
      <c r="AG172" s="557"/>
      <c r="AH172" s="523">
        <v>0</v>
      </c>
      <c r="AI172" s="438"/>
      <c r="AJ172" s="414"/>
      <c r="AK172" s="523" t="s">
        <v>1932</v>
      </c>
      <c r="AQ172" s="557"/>
      <c r="AV172" s="561"/>
      <c r="AW172" s="414" t="str">
        <f t="shared" si="15"/>
        <v>Benzene, Pressure</v>
      </c>
      <c r="AX172" s="414" t="b">
        <f t="shared" si="19"/>
        <v>0</v>
      </c>
      <c r="AY172" s="523" t="b">
        <f t="array" ref="AY172">AND(D172:G172=inp_used_minimal,A172=inp_used_usersel)</f>
        <v>0</v>
      </c>
      <c r="AZ172" s="523" t="b">
        <f t="array" ref="AZ172">AND(A172=inp_used_usersel,D172:R172=inp_used_nonvessel1,AB172:AV172=inp_used_nonvessel2,IF(B172=1,inp_used_pressure=inp_autosize_pressure,inp_used_gravity=inp_autosize_gravity))</f>
        <v>0</v>
      </c>
      <c r="BA172" s="523" t="b">
        <f t="array" ref="BA172">AND(D172:AV172=inp_used,A172=inp_used_usersel)</f>
        <v>0</v>
      </c>
      <c r="BB172" s="523" t="b">
        <f t="shared" si="18"/>
        <v>0</v>
      </c>
      <c r="BC172" s="523" t="b">
        <f t="shared" si="18"/>
        <v>0</v>
      </c>
    </row>
    <row r="173" spans="1:55" s="523" customFormat="1">
      <c r="A173" s="523">
        <v>11</v>
      </c>
      <c r="B173" s="523">
        <v>1</v>
      </c>
      <c r="C173" s="414">
        <v>5</v>
      </c>
      <c r="D173" s="529">
        <v>2.1520000000000001</v>
      </c>
      <c r="E173" s="523" t="s">
        <v>188</v>
      </c>
      <c r="F173" s="414">
        <v>0.81899999999999995</v>
      </c>
      <c r="G173" s="523" t="s">
        <v>188</v>
      </c>
      <c r="H173" s="557" t="s">
        <v>3139</v>
      </c>
      <c r="I173" s="523" t="s">
        <v>936</v>
      </c>
      <c r="J173" s="414">
        <v>21600</v>
      </c>
      <c r="M173" s="561"/>
      <c r="N173" s="557" t="s">
        <v>194</v>
      </c>
      <c r="O173" s="523">
        <v>7.5</v>
      </c>
      <c r="Q173" s="561"/>
      <c r="R173" s="557">
        <v>1</v>
      </c>
      <c r="S173" s="523" t="s">
        <v>3491</v>
      </c>
      <c r="T173" s="559"/>
      <c r="V173" s="559"/>
      <c r="W173" s="560"/>
      <c r="X173" s="559"/>
      <c r="Y173" s="559"/>
      <c r="Z173" s="559"/>
      <c r="AA173" s="559"/>
      <c r="AB173" s="557">
        <v>168</v>
      </c>
      <c r="AC173" s="414" t="s">
        <v>2060</v>
      </c>
      <c r="AD173" s="438" t="s">
        <v>498</v>
      </c>
      <c r="AE173" s="523" t="s">
        <v>499</v>
      </c>
      <c r="AF173" s="562" t="s">
        <v>500</v>
      </c>
      <c r="AG173" s="557"/>
      <c r="AH173" s="523">
        <v>0</v>
      </c>
      <c r="AI173" s="438"/>
      <c r="AJ173" s="414"/>
      <c r="AK173" s="523" t="s">
        <v>1932</v>
      </c>
      <c r="AQ173" s="557"/>
      <c r="AV173" s="561"/>
      <c r="AW173" s="414" t="str">
        <f t="shared" si="15"/>
        <v>Benzene, Pressure</v>
      </c>
      <c r="AX173" s="414" t="b">
        <f t="shared" si="19"/>
        <v>0</v>
      </c>
      <c r="AY173" s="523" t="b">
        <f t="array" ref="AY173">AND(D173:G173=inp_used_minimal,A173=inp_used_usersel)</f>
        <v>0</v>
      </c>
      <c r="AZ173" s="523" t="b">
        <f t="array" ref="AZ173">AND(A173=inp_used_usersel,D173:R173=inp_used_nonvessel1,AB173:AV173=inp_used_nonvessel2,IF(B173=1,inp_used_pressure=inp_autosize_pressure,inp_used_gravity=inp_autosize_gravity))</f>
        <v>0</v>
      </c>
      <c r="BA173" s="523" t="b">
        <f t="array" ref="BA173">AND(D173:AV173=inp_used,A173=inp_used_usersel)</f>
        <v>0</v>
      </c>
      <c r="BB173" s="523" t="b">
        <f t="shared" si="18"/>
        <v>0</v>
      </c>
      <c r="BC173" s="523" t="b">
        <f t="shared" si="18"/>
        <v>0</v>
      </c>
    </row>
    <row r="174" spans="1:55" s="523" customFormat="1">
      <c r="A174" s="523">
        <v>11</v>
      </c>
      <c r="B174" s="523">
        <v>1</v>
      </c>
      <c r="C174" s="414">
        <v>6</v>
      </c>
      <c r="D174" s="529">
        <v>7.3650000000000002</v>
      </c>
      <c r="E174" s="523" t="s">
        <v>188</v>
      </c>
      <c r="F174" s="414">
        <v>3.2</v>
      </c>
      <c r="G174" s="523" t="s">
        <v>188</v>
      </c>
      <c r="H174" s="557" t="s">
        <v>3139</v>
      </c>
      <c r="I174" s="523" t="s">
        <v>936</v>
      </c>
      <c r="J174" s="414">
        <v>21600</v>
      </c>
      <c r="M174" s="561"/>
      <c r="N174" s="557" t="s">
        <v>194</v>
      </c>
      <c r="O174" s="523">
        <v>7.5</v>
      </c>
      <c r="Q174" s="561"/>
      <c r="R174" s="557">
        <v>1</v>
      </c>
      <c r="S174" s="523" t="s">
        <v>3491</v>
      </c>
      <c r="T174" s="559"/>
      <c r="V174" s="559"/>
      <c r="W174" s="560"/>
      <c r="X174" s="559"/>
      <c r="Y174" s="559"/>
      <c r="Z174" s="559"/>
      <c r="AA174" s="559"/>
      <c r="AB174" s="557">
        <v>168</v>
      </c>
      <c r="AC174" s="414" t="s">
        <v>2060</v>
      </c>
      <c r="AD174" s="438" t="s">
        <v>498</v>
      </c>
      <c r="AE174" s="523" t="s">
        <v>2615</v>
      </c>
      <c r="AF174" s="562" t="s">
        <v>500</v>
      </c>
      <c r="AG174" s="557"/>
      <c r="AH174" s="523">
        <v>0</v>
      </c>
      <c r="AI174" s="438"/>
      <c r="AJ174" s="414"/>
      <c r="AK174" s="523" t="s">
        <v>1932</v>
      </c>
      <c r="AQ174" s="557"/>
      <c r="AV174" s="561"/>
      <c r="AW174" s="414" t="str">
        <f t="shared" si="15"/>
        <v>Benzene, Pressure</v>
      </c>
      <c r="AX174" s="414" t="b">
        <f t="shared" si="19"/>
        <v>0</v>
      </c>
      <c r="AY174" s="523" t="b">
        <f t="array" ref="AY174">AND(D174:G174=inp_used_minimal,A174=inp_used_usersel)</f>
        <v>0</v>
      </c>
      <c r="AZ174" s="523" t="b">
        <f t="array" ref="AZ174">AND(A174=inp_used_usersel,D174:R174=inp_used_nonvessel1,AB174:AV174=inp_used_nonvessel2,IF(B174=1,inp_used_pressure=inp_autosize_pressure,inp_used_gravity=inp_autosize_gravity))</f>
        <v>0</v>
      </c>
      <c r="BA174" s="523" t="b">
        <f t="array" ref="BA174">AND(D174:AV174=inp_used,A174=inp_used_usersel)</f>
        <v>0</v>
      </c>
      <c r="BB174" s="523" t="b">
        <f t="shared" si="18"/>
        <v>0</v>
      </c>
      <c r="BC174" s="523" t="b">
        <f t="shared" si="18"/>
        <v>0</v>
      </c>
    </row>
    <row r="175" spans="1:55" s="523" customFormat="1">
      <c r="A175" s="523">
        <v>11</v>
      </c>
      <c r="B175" s="523">
        <v>1</v>
      </c>
      <c r="C175" s="414">
        <v>7</v>
      </c>
      <c r="D175" s="529">
        <v>22.614000000000001</v>
      </c>
      <c r="E175" s="523" t="s">
        <v>188</v>
      </c>
      <c r="F175" s="414">
        <v>11.066000000000001</v>
      </c>
      <c r="G175" s="523" t="s">
        <v>188</v>
      </c>
      <c r="H175" s="557" t="s">
        <v>3139</v>
      </c>
      <c r="I175" s="523" t="s">
        <v>936</v>
      </c>
      <c r="J175" s="414">
        <v>21600</v>
      </c>
      <c r="M175" s="561"/>
      <c r="N175" s="557" t="s">
        <v>194</v>
      </c>
      <c r="O175" s="523">
        <v>7.5</v>
      </c>
      <c r="Q175" s="561"/>
      <c r="R175" s="557">
        <v>1</v>
      </c>
      <c r="S175" s="523" t="s">
        <v>3491</v>
      </c>
      <c r="T175" s="559"/>
      <c r="V175" s="559"/>
      <c r="W175" s="560"/>
      <c r="X175" s="559"/>
      <c r="Y175" s="559"/>
      <c r="Z175" s="559"/>
      <c r="AA175" s="559"/>
      <c r="AB175" s="557">
        <v>168</v>
      </c>
      <c r="AC175" s="414" t="s">
        <v>2060</v>
      </c>
      <c r="AD175" s="438" t="s">
        <v>498</v>
      </c>
      <c r="AE175" s="523" t="s">
        <v>2615</v>
      </c>
      <c r="AF175" s="562" t="s">
        <v>500</v>
      </c>
      <c r="AG175" s="557"/>
      <c r="AH175" s="523">
        <v>0</v>
      </c>
      <c r="AI175" s="438"/>
      <c r="AJ175" s="414"/>
      <c r="AK175" s="523" t="s">
        <v>1932</v>
      </c>
      <c r="AQ175" s="557"/>
      <c r="AV175" s="561"/>
      <c r="AW175" s="414" t="str">
        <f t="shared" si="15"/>
        <v>Benzene, Pressure</v>
      </c>
      <c r="AX175" s="414" t="b">
        <f t="shared" si="19"/>
        <v>0</v>
      </c>
      <c r="AY175" s="523" t="b">
        <f t="array" ref="AY175">AND(D175:G175=inp_used_minimal,A175=inp_used_usersel)</f>
        <v>0</v>
      </c>
      <c r="AZ175" s="523" t="b">
        <f t="array" ref="AZ175">AND(A175=inp_used_usersel,D175:R175=inp_used_nonvessel1,AB175:AV175=inp_used_nonvessel2,IF(B175=1,inp_used_pressure=inp_autosize_pressure,inp_used_gravity=inp_autosize_gravity))</f>
        <v>0</v>
      </c>
      <c r="BA175" s="523" t="b">
        <f t="array" ref="BA175">AND(D175:AV175=inp_used,A175=inp_used_usersel)</f>
        <v>0</v>
      </c>
      <c r="BB175" s="523" t="b">
        <f t="shared" si="18"/>
        <v>0</v>
      </c>
      <c r="BC175" s="523" t="b">
        <f t="shared" si="18"/>
        <v>0</v>
      </c>
    </row>
    <row r="176" spans="1:55" s="563" customFormat="1">
      <c r="A176" s="563">
        <v>11</v>
      </c>
      <c r="B176" s="563">
        <v>1</v>
      </c>
      <c r="C176" s="564">
        <v>8</v>
      </c>
      <c r="D176" s="918">
        <v>75.072000000000003</v>
      </c>
      <c r="E176" s="563" t="s">
        <v>188</v>
      </c>
      <c r="F176" s="564">
        <v>37.536000000000001</v>
      </c>
      <c r="G176" s="563" t="s">
        <v>188</v>
      </c>
      <c r="H176" s="919" t="s">
        <v>3139</v>
      </c>
      <c r="I176" s="563" t="s">
        <v>936</v>
      </c>
      <c r="J176" s="564">
        <v>21600</v>
      </c>
      <c r="M176" s="565"/>
      <c r="N176" s="919" t="s">
        <v>194</v>
      </c>
      <c r="O176" s="563">
        <v>7.5</v>
      </c>
      <c r="Q176" s="565"/>
      <c r="R176" s="919">
        <v>1</v>
      </c>
      <c r="S176" s="563" t="s">
        <v>3491</v>
      </c>
      <c r="T176" s="566"/>
      <c r="V176" s="566"/>
      <c r="W176" s="567"/>
      <c r="X176" s="566"/>
      <c r="Y176" s="566"/>
      <c r="Z176" s="566"/>
      <c r="AA176" s="567"/>
      <c r="AB176" s="919">
        <v>168</v>
      </c>
      <c r="AC176" s="564" t="s">
        <v>2060</v>
      </c>
      <c r="AD176" s="568" t="s">
        <v>498</v>
      </c>
      <c r="AE176" s="563" t="s">
        <v>2615</v>
      </c>
      <c r="AF176" s="554" t="s">
        <v>500</v>
      </c>
      <c r="AG176" s="919"/>
      <c r="AH176" s="563">
        <v>0</v>
      </c>
      <c r="AI176" s="568"/>
      <c r="AJ176" s="564"/>
      <c r="AK176" s="563" t="s">
        <v>1932</v>
      </c>
      <c r="AP176" s="565"/>
      <c r="AQ176" s="919"/>
      <c r="AV176" s="565"/>
      <c r="AW176" s="564" t="str">
        <f t="shared" si="15"/>
        <v>Benzene, Pressure</v>
      </c>
      <c r="AX176" s="564" t="b">
        <f t="shared" si="19"/>
        <v>0</v>
      </c>
      <c r="AY176" s="563" t="b">
        <f t="array" ref="AY176">AND(D176:G176=inp_used_minimal,A176=inp_used_usersel)</f>
        <v>0</v>
      </c>
      <c r="AZ176" s="563" t="b">
        <f t="array" ref="AZ176">AND(A176=inp_used_usersel,D176:R176=inp_used_nonvessel1,AB176:AV176=inp_used_nonvessel2,IF(B176=1,inp_used_pressure=inp_autosize_pressure,inp_used_gravity=inp_autosize_gravity))</f>
        <v>0</v>
      </c>
      <c r="BA176" s="563" t="b">
        <f t="array" ref="BA176">AND(D176:AV176=inp_used,A176=inp_used_usersel)</f>
        <v>0</v>
      </c>
      <c r="BB176" s="563" t="b">
        <f t="shared" si="18"/>
        <v>0</v>
      </c>
      <c r="BC176" s="563" t="b">
        <f t="shared" si="18"/>
        <v>0</v>
      </c>
    </row>
    <row r="177" spans="1:55" s="523" customFormat="1">
      <c r="A177" s="523">
        <v>11</v>
      </c>
      <c r="B177" s="523">
        <v>2</v>
      </c>
      <c r="C177" s="523">
        <v>1</v>
      </c>
      <c r="D177" s="917">
        <v>0.03</v>
      </c>
      <c r="E177" s="523" t="s">
        <v>188</v>
      </c>
      <c r="F177" s="414">
        <v>7.0000000000000001E-3</v>
      </c>
      <c r="G177" s="523" t="s">
        <v>188</v>
      </c>
      <c r="H177" s="917" t="s">
        <v>3139</v>
      </c>
      <c r="I177" s="523" t="s">
        <v>936</v>
      </c>
      <c r="J177" s="414">
        <v>21600</v>
      </c>
      <c r="M177" s="561"/>
      <c r="N177" s="917" t="s">
        <v>194</v>
      </c>
      <c r="O177" s="523">
        <v>7.5</v>
      </c>
      <c r="Q177" s="561"/>
      <c r="R177" s="917"/>
      <c r="T177" s="559"/>
      <c r="U177" s="559"/>
      <c r="V177" s="559"/>
      <c r="W177" s="560"/>
      <c r="X177" s="559" t="s">
        <v>3491</v>
      </c>
      <c r="Y177" s="414"/>
      <c r="Z177" s="414"/>
      <c r="AA177" s="414"/>
      <c r="AB177" s="917">
        <v>168</v>
      </c>
      <c r="AC177" s="414" t="s">
        <v>2060</v>
      </c>
      <c r="AD177" s="414" t="s">
        <v>2875</v>
      </c>
      <c r="AE177" s="523" t="s">
        <v>499</v>
      </c>
      <c r="AF177" s="414" t="s">
        <v>500</v>
      </c>
      <c r="AG177" s="917"/>
      <c r="AH177" s="523">
        <v>0</v>
      </c>
      <c r="AI177" s="438"/>
      <c r="AJ177" s="414"/>
      <c r="AK177" s="523" t="s">
        <v>1932</v>
      </c>
      <c r="AQ177" s="917"/>
      <c r="AV177" s="561"/>
      <c r="AW177" s="414" t="str">
        <f t="shared" si="15"/>
        <v>Benzene, Gravity</v>
      </c>
      <c r="AX177" s="414" t="b">
        <f t="shared" si="19"/>
        <v>0</v>
      </c>
      <c r="AY177" s="523" t="b">
        <f t="array" ref="AY177">AND(D177:G177=inp_used_minimal,A177=inp_used_usersel)</f>
        <v>0</v>
      </c>
      <c r="AZ177" s="523" t="b">
        <f t="array" ref="AZ177">AND(A177=inp_used_usersel,D177:R177=inp_used_nonvessel1,AB177:AV177=inp_used_nonvessel2,IF(B177=1,inp_used_pressure=inp_autosize_pressure,inp_used_gravity=inp_autosize_gravity))</f>
        <v>0</v>
      </c>
      <c r="BA177" s="523" t="b">
        <f t="array" ref="BA177">AND(D177:AV177=inp_used,A177=inp_used_usersel)</f>
        <v>0</v>
      </c>
    </row>
    <row r="178" spans="1:55" s="523" customFormat="1">
      <c r="A178" s="523">
        <v>11</v>
      </c>
      <c r="B178" s="523">
        <v>2</v>
      </c>
      <c r="C178" s="523">
        <v>2</v>
      </c>
      <c r="D178" s="557">
        <v>0.124</v>
      </c>
      <c r="E178" s="523" t="s">
        <v>188</v>
      </c>
      <c r="F178" s="414">
        <v>3.5000000000000003E-2</v>
      </c>
      <c r="G178" s="523" t="s">
        <v>188</v>
      </c>
      <c r="H178" s="557" t="s">
        <v>3139</v>
      </c>
      <c r="I178" s="523" t="s">
        <v>936</v>
      </c>
      <c r="J178" s="414">
        <v>21600</v>
      </c>
      <c r="M178" s="561"/>
      <c r="N178" s="557" t="s">
        <v>194</v>
      </c>
      <c r="O178" s="523">
        <v>7.5</v>
      </c>
      <c r="Q178" s="561"/>
      <c r="R178" s="557"/>
      <c r="T178" s="559"/>
      <c r="U178" s="559"/>
      <c r="V178" s="559"/>
      <c r="W178" s="560"/>
      <c r="X178" s="559" t="s">
        <v>3491</v>
      </c>
      <c r="Y178" s="414"/>
      <c r="Z178" s="414"/>
      <c r="AA178" s="414"/>
      <c r="AB178" s="557">
        <v>168</v>
      </c>
      <c r="AC178" s="414" t="s">
        <v>2060</v>
      </c>
      <c r="AD178" s="414" t="s">
        <v>2875</v>
      </c>
      <c r="AE178" s="523" t="s">
        <v>499</v>
      </c>
      <c r="AF178" s="414" t="s">
        <v>500</v>
      </c>
      <c r="AG178" s="557"/>
      <c r="AH178" s="523">
        <v>0</v>
      </c>
      <c r="AI178" s="438"/>
      <c r="AJ178" s="414"/>
      <c r="AK178" s="523" t="s">
        <v>1932</v>
      </c>
      <c r="AQ178" s="557"/>
      <c r="AV178" s="561"/>
      <c r="AW178" s="414" t="str">
        <f t="shared" si="15"/>
        <v>Benzene, Gravity</v>
      </c>
      <c r="AX178" s="414" t="b">
        <f t="shared" si="19"/>
        <v>0</v>
      </c>
      <c r="AY178" s="523" t="b">
        <f t="array" ref="AY178">AND(D178:G178=inp_used_minimal,A178=inp_used_usersel)</f>
        <v>0</v>
      </c>
      <c r="AZ178" s="523" t="b">
        <f t="array" ref="AZ178">AND(A178=inp_used_usersel,D178:R178=inp_used_nonvessel1,AB178:AV178=inp_used_nonvessel2,IF(B178=1,inp_used_pressure=inp_autosize_pressure,inp_used_gravity=inp_autosize_gravity))</f>
        <v>0</v>
      </c>
      <c r="BA178" s="523" t="b">
        <f t="array" ref="BA178">AND(D178:AV178=inp_used,A178=inp_used_usersel)</f>
        <v>0</v>
      </c>
    </row>
    <row r="179" spans="1:55" s="523" customFormat="1">
      <c r="A179" s="523">
        <v>11</v>
      </c>
      <c r="B179" s="523">
        <v>2</v>
      </c>
      <c r="C179" s="523">
        <v>3</v>
      </c>
      <c r="D179" s="557">
        <v>0.30499999999999999</v>
      </c>
      <c r="E179" s="523" t="s">
        <v>188</v>
      </c>
      <c r="F179" s="414">
        <v>9.4E-2</v>
      </c>
      <c r="G179" s="523" t="s">
        <v>188</v>
      </c>
      <c r="H179" s="557" t="s">
        <v>3139</v>
      </c>
      <c r="I179" s="523" t="s">
        <v>936</v>
      </c>
      <c r="J179" s="414">
        <v>21600</v>
      </c>
      <c r="M179" s="561"/>
      <c r="N179" s="557" t="s">
        <v>194</v>
      </c>
      <c r="O179" s="523">
        <v>7.5</v>
      </c>
      <c r="Q179" s="561"/>
      <c r="R179" s="557"/>
      <c r="T179" s="559"/>
      <c r="U179" s="559"/>
      <c r="V179" s="559"/>
      <c r="W179" s="560"/>
      <c r="X179" s="559" t="s">
        <v>3491</v>
      </c>
      <c r="Y179" s="414"/>
      <c r="Z179" s="414"/>
      <c r="AA179" s="414"/>
      <c r="AB179" s="557">
        <v>168</v>
      </c>
      <c r="AC179" s="414" t="s">
        <v>2060</v>
      </c>
      <c r="AD179" s="414" t="s">
        <v>2875</v>
      </c>
      <c r="AE179" s="523" t="s">
        <v>499</v>
      </c>
      <c r="AF179" s="414" t="s">
        <v>500</v>
      </c>
      <c r="AG179" s="557"/>
      <c r="AH179" s="523">
        <v>0</v>
      </c>
      <c r="AI179" s="438"/>
      <c r="AJ179" s="414"/>
      <c r="AK179" s="523" t="s">
        <v>1932</v>
      </c>
      <c r="AQ179" s="557"/>
      <c r="AV179" s="561"/>
      <c r="AW179" s="414" t="str">
        <f t="shared" si="15"/>
        <v>Benzene, Gravity</v>
      </c>
      <c r="AX179" s="414" t="b">
        <f t="shared" si="19"/>
        <v>0</v>
      </c>
      <c r="AY179" s="523" t="b">
        <f t="array" ref="AY179">AND(D179:G179=inp_used_minimal,A179=inp_used_usersel)</f>
        <v>0</v>
      </c>
      <c r="AZ179" s="523" t="b">
        <f t="array" ref="AZ179">AND(A179=inp_used_usersel,D179:R179=inp_used_nonvessel1,AB179:AV179=inp_used_nonvessel2,IF(B179=1,inp_used_pressure=inp_autosize_pressure,inp_used_gravity=inp_autosize_gravity))</f>
        <v>0</v>
      </c>
      <c r="BA179" s="523" t="b">
        <f t="array" ref="BA179">AND(D179:AV179=inp_used,A179=inp_used_usersel)</f>
        <v>0</v>
      </c>
    </row>
    <row r="180" spans="1:55" s="523" customFormat="1">
      <c r="A180" s="523">
        <v>11</v>
      </c>
      <c r="B180" s="523">
        <v>2</v>
      </c>
      <c r="C180" s="523">
        <v>4</v>
      </c>
      <c r="D180" s="557">
        <v>0.74</v>
      </c>
      <c r="E180" s="523" t="s">
        <v>188</v>
      </c>
      <c r="F180" s="414">
        <v>0.251</v>
      </c>
      <c r="G180" s="523" t="s">
        <v>188</v>
      </c>
      <c r="H180" s="557" t="s">
        <v>3139</v>
      </c>
      <c r="I180" s="523" t="s">
        <v>936</v>
      </c>
      <c r="J180" s="414">
        <v>21600</v>
      </c>
      <c r="M180" s="561"/>
      <c r="N180" s="557" t="s">
        <v>194</v>
      </c>
      <c r="O180" s="523">
        <v>7.5</v>
      </c>
      <c r="Q180" s="561"/>
      <c r="R180" s="557"/>
      <c r="T180" s="559"/>
      <c r="U180" s="559"/>
      <c r="V180" s="559"/>
      <c r="W180" s="560"/>
      <c r="X180" s="559" t="s">
        <v>3491</v>
      </c>
      <c r="Y180" s="414"/>
      <c r="Z180" s="414"/>
      <c r="AA180" s="414"/>
      <c r="AB180" s="557">
        <v>168</v>
      </c>
      <c r="AC180" s="414" t="s">
        <v>2060</v>
      </c>
      <c r="AD180" s="414" t="s">
        <v>2875</v>
      </c>
      <c r="AE180" s="523" t="s">
        <v>499</v>
      </c>
      <c r="AF180" s="414" t="s">
        <v>500</v>
      </c>
      <c r="AG180" s="557"/>
      <c r="AH180" s="523">
        <v>0</v>
      </c>
      <c r="AI180" s="438"/>
      <c r="AJ180" s="414"/>
      <c r="AK180" s="523" t="s">
        <v>1932</v>
      </c>
      <c r="AQ180" s="557"/>
      <c r="AV180" s="561"/>
      <c r="AW180" s="414" t="str">
        <f t="shared" si="15"/>
        <v>Benzene, Gravity</v>
      </c>
      <c r="AX180" s="414" t="b">
        <f t="shared" si="19"/>
        <v>0</v>
      </c>
      <c r="AY180" s="523" t="b">
        <f t="array" ref="AY180">AND(D180:G180=inp_used_minimal,A180=inp_used_usersel)</f>
        <v>0</v>
      </c>
      <c r="AZ180" s="523" t="b">
        <f t="array" ref="AZ180">AND(A180=inp_used_usersel,D180:R180=inp_used_nonvessel1,AB180:AV180=inp_used_nonvessel2,IF(B180=1,inp_used_pressure=inp_autosize_pressure,inp_used_gravity=inp_autosize_gravity))</f>
        <v>0</v>
      </c>
      <c r="BA180" s="523" t="b">
        <f t="array" ref="BA180">AND(D180:AV180=inp_used,A180=inp_used_usersel)</f>
        <v>0</v>
      </c>
    </row>
    <row r="181" spans="1:55" s="523" customFormat="1">
      <c r="A181" s="523">
        <v>11</v>
      </c>
      <c r="B181" s="523">
        <v>2</v>
      </c>
      <c r="C181" s="414">
        <v>5</v>
      </c>
      <c r="D181" s="529">
        <v>2.1520000000000001</v>
      </c>
      <c r="E181" s="523" t="s">
        <v>188</v>
      </c>
      <c r="F181" s="414">
        <v>0.81899999999999995</v>
      </c>
      <c r="G181" s="523" t="s">
        <v>188</v>
      </c>
      <c r="H181" s="557" t="s">
        <v>3139</v>
      </c>
      <c r="I181" s="523" t="s">
        <v>936</v>
      </c>
      <c r="J181" s="414">
        <v>21600</v>
      </c>
      <c r="M181" s="561"/>
      <c r="N181" s="557" t="s">
        <v>194</v>
      </c>
      <c r="O181" s="523">
        <v>7.5</v>
      </c>
      <c r="Q181" s="561"/>
      <c r="R181" s="557"/>
      <c r="T181" s="559"/>
      <c r="U181" s="559"/>
      <c r="V181" s="559"/>
      <c r="W181" s="560"/>
      <c r="X181" s="559" t="s">
        <v>3491</v>
      </c>
      <c r="Y181" s="414"/>
      <c r="Z181" s="414"/>
      <c r="AA181" s="414"/>
      <c r="AB181" s="557">
        <v>168</v>
      </c>
      <c r="AC181" s="414" t="s">
        <v>2060</v>
      </c>
      <c r="AD181" s="414" t="s">
        <v>2875</v>
      </c>
      <c r="AE181" s="523" t="s">
        <v>499</v>
      </c>
      <c r="AF181" s="414" t="s">
        <v>500</v>
      </c>
      <c r="AG181" s="557"/>
      <c r="AH181" s="523">
        <v>0</v>
      </c>
      <c r="AI181" s="438"/>
      <c r="AJ181" s="414"/>
      <c r="AK181" s="523" t="s">
        <v>1932</v>
      </c>
      <c r="AQ181" s="557"/>
      <c r="AV181" s="561"/>
      <c r="AW181" s="414" t="str">
        <f t="shared" si="15"/>
        <v>Benzene, Gravity</v>
      </c>
      <c r="AX181" s="414" t="b">
        <f t="shared" si="19"/>
        <v>0</v>
      </c>
      <c r="AY181" s="523" t="b">
        <f t="array" ref="AY181">AND(D181:G181=inp_used_minimal,A181=inp_used_usersel)</f>
        <v>0</v>
      </c>
      <c r="AZ181" s="523" t="b">
        <f t="array" ref="AZ181">AND(A181=inp_used_usersel,D181:R181=inp_used_nonvessel1,AB181:AV181=inp_used_nonvessel2,IF(B181=1,inp_used_pressure=inp_autosize_pressure,inp_used_gravity=inp_autosize_gravity))</f>
        <v>0</v>
      </c>
      <c r="BA181" s="523" t="b">
        <f t="array" ref="BA181">AND(D181:AV181=inp_used,A181=inp_used_usersel)</f>
        <v>0</v>
      </c>
    </row>
    <row r="182" spans="1:55" s="523" customFormat="1">
      <c r="A182" s="523">
        <v>11</v>
      </c>
      <c r="B182" s="523">
        <v>2</v>
      </c>
      <c r="C182" s="414">
        <v>6</v>
      </c>
      <c r="D182" s="529">
        <v>7.3650000000000002</v>
      </c>
      <c r="E182" s="523" t="s">
        <v>188</v>
      </c>
      <c r="F182" s="414">
        <v>3.2</v>
      </c>
      <c r="G182" s="523" t="s">
        <v>188</v>
      </c>
      <c r="H182" s="557" t="s">
        <v>3139</v>
      </c>
      <c r="I182" s="523" t="s">
        <v>936</v>
      </c>
      <c r="J182" s="414">
        <v>21600</v>
      </c>
      <c r="M182" s="561"/>
      <c r="N182" s="557" t="s">
        <v>194</v>
      </c>
      <c r="O182" s="523">
        <v>7.5</v>
      </c>
      <c r="Q182" s="561"/>
      <c r="R182" s="557"/>
      <c r="T182" s="559"/>
      <c r="U182" s="559"/>
      <c r="V182" s="559"/>
      <c r="W182" s="560"/>
      <c r="X182" s="559" t="s">
        <v>3491</v>
      </c>
      <c r="Y182" s="414"/>
      <c r="Z182" s="414"/>
      <c r="AA182" s="414"/>
      <c r="AB182" s="557">
        <v>168</v>
      </c>
      <c r="AC182" s="414" t="s">
        <v>2060</v>
      </c>
      <c r="AD182" s="414" t="s">
        <v>2875</v>
      </c>
      <c r="AE182" s="523" t="s">
        <v>2615</v>
      </c>
      <c r="AF182" s="414" t="s">
        <v>500</v>
      </c>
      <c r="AG182" s="557"/>
      <c r="AH182" s="523">
        <v>0</v>
      </c>
      <c r="AI182" s="438"/>
      <c r="AJ182" s="414"/>
      <c r="AK182" s="523" t="s">
        <v>1932</v>
      </c>
      <c r="AQ182" s="557"/>
      <c r="AV182" s="561"/>
      <c r="AW182" s="414" t="str">
        <f t="shared" si="15"/>
        <v>Benzene, Gravity</v>
      </c>
      <c r="AX182" s="414" t="b">
        <f t="shared" si="19"/>
        <v>0</v>
      </c>
      <c r="AY182" s="523" t="b">
        <f t="array" ref="AY182">AND(D182:G182=inp_used_minimal,A182=inp_used_usersel)</f>
        <v>0</v>
      </c>
      <c r="AZ182" s="523" t="b">
        <f t="array" ref="AZ182">AND(A182=inp_used_usersel,D182:R182=inp_used_nonvessel1,AB182:AV182=inp_used_nonvessel2,IF(B182=1,inp_used_pressure=inp_autosize_pressure,inp_used_gravity=inp_autosize_gravity))</f>
        <v>0</v>
      </c>
      <c r="BA182" s="523" t="b">
        <f t="array" ref="BA182">AND(D182:AV182=inp_used,A182=inp_used_usersel)</f>
        <v>0</v>
      </c>
    </row>
    <row r="183" spans="1:55" s="523" customFormat="1">
      <c r="A183" s="523">
        <v>11</v>
      </c>
      <c r="B183" s="523">
        <v>2</v>
      </c>
      <c r="C183" s="414">
        <v>7</v>
      </c>
      <c r="D183" s="529">
        <v>22.614000000000001</v>
      </c>
      <c r="E183" s="523" t="s">
        <v>188</v>
      </c>
      <c r="F183" s="414">
        <v>11.066000000000001</v>
      </c>
      <c r="G183" s="523" t="s">
        <v>188</v>
      </c>
      <c r="H183" s="557" t="s">
        <v>3139</v>
      </c>
      <c r="I183" s="523" t="s">
        <v>936</v>
      </c>
      <c r="J183" s="414">
        <v>21600</v>
      </c>
      <c r="M183" s="561"/>
      <c r="N183" s="557" t="s">
        <v>194</v>
      </c>
      <c r="O183" s="523">
        <v>7.5</v>
      </c>
      <c r="Q183" s="561"/>
      <c r="R183" s="557"/>
      <c r="T183" s="559"/>
      <c r="U183" s="559"/>
      <c r="V183" s="559"/>
      <c r="W183" s="560"/>
      <c r="X183" s="559" t="s">
        <v>3491</v>
      </c>
      <c r="Y183" s="414"/>
      <c r="Z183" s="414"/>
      <c r="AA183" s="414"/>
      <c r="AB183" s="557">
        <v>168</v>
      </c>
      <c r="AC183" s="414" t="s">
        <v>2060</v>
      </c>
      <c r="AD183" s="414" t="s">
        <v>2875</v>
      </c>
      <c r="AE183" s="523" t="s">
        <v>2615</v>
      </c>
      <c r="AF183" s="414" t="s">
        <v>500</v>
      </c>
      <c r="AG183" s="557"/>
      <c r="AH183" s="523">
        <v>0</v>
      </c>
      <c r="AI183" s="438"/>
      <c r="AJ183" s="414"/>
      <c r="AK183" s="523" t="s">
        <v>1932</v>
      </c>
      <c r="AQ183" s="557"/>
      <c r="AV183" s="561"/>
      <c r="AW183" s="414" t="str">
        <f t="shared" si="15"/>
        <v>Benzene, Gravity</v>
      </c>
      <c r="AX183" s="414" t="b">
        <f t="shared" si="19"/>
        <v>0</v>
      </c>
      <c r="AY183" s="523" t="b">
        <f t="array" ref="AY183">AND(D183:G183=inp_used_minimal,A183=inp_used_usersel)</f>
        <v>0</v>
      </c>
      <c r="AZ183" s="523" t="b">
        <f t="array" ref="AZ183">AND(A183=inp_used_usersel,D183:R183=inp_used_nonvessel1,AB183:AV183=inp_used_nonvessel2,IF(B183=1,inp_used_pressure=inp_autosize_pressure,inp_used_gravity=inp_autosize_gravity))</f>
        <v>0</v>
      </c>
      <c r="BA183" s="523" t="b">
        <f t="array" ref="BA183">AND(D183:AV183=inp_used,A183=inp_used_usersel)</f>
        <v>0</v>
      </c>
    </row>
    <row r="184" spans="1:55" s="563" customFormat="1">
      <c r="A184" s="563">
        <v>11</v>
      </c>
      <c r="B184" s="563">
        <v>2</v>
      </c>
      <c r="C184" s="564">
        <v>8</v>
      </c>
      <c r="D184" s="918">
        <v>75.072000000000003</v>
      </c>
      <c r="E184" s="563" t="s">
        <v>188</v>
      </c>
      <c r="F184" s="564">
        <v>37.536000000000001</v>
      </c>
      <c r="G184" s="563" t="s">
        <v>188</v>
      </c>
      <c r="H184" s="919" t="s">
        <v>3139</v>
      </c>
      <c r="I184" s="563" t="s">
        <v>936</v>
      </c>
      <c r="J184" s="564">
        <v>21600</v>
      </c>
      <c r="M184" s="565"/>
      <c r="N184" s="919" t="s">
        <v>194</v>
      </c>
      <c r="O184" s="563">
        <v>7.5</v>
      </c>
      <c r="Q184" s="565"/>
      <c r="R184" s="919"/>
      <c r="T184" s="566"/>
      <c r="U184" s="566"/>
      <c r="V184" s="566"/>
      <c r="W184" s="567"/>
      <c r="X184" s="566" t="s">
        <v>3491</v>
      </c>
      <c r="Y184" s="564"/>
      <c r="Z184" s="564"/>
      <c r="AA184" s="554"/>
      <c r="AB184" s="919">
        <v>168</v>
      </c>
      <c r="AC184" s="564" t="s">
        <v>2060</v>
      </c>
      <c r="AD184" s="564" t="s">
        <v>2875</v>
      </c>
      <c r="AE184" s="563" t="s">
        <v>2615</v>
      </c>
      <c r="AF184" s="564" t="s">
        <v>500</v>
      </c>
      <c r="AG184" s="919"/>
      <c r="AH184" s="563">
        <v>0</v>
      </c>
      <c r="AI184" s="568"/>
      <c r="AJ184" s="564"/>
      <c r="AK184" s="563" t="s">
        <v>1932</v>
      </c>
      <c r="AP184" s="565"/>
      <c r="AQ184" s="919"/>
      <c r="AV184" s="565"/>
      <c r="AW184" s="564" t="str">
        <f t="shared" si="15"/>
        <v>Benzene, Gravity</v>
      </c>
      <c r="AX184" s="564" t="b">
        <f t="shared" si="19"/>
        <v>0</v>
      </c>
      <c r="AY184" s="563" t="b">
        <f t="array" ref="AY184">AND(D184:G184=inp_used_minimal,A184=inp_used_usersel)</f>
        <v>0</v>
      </c>
      <c r="AZ184" s="563" t="b">
        <f t="array" ref="AZ184">AND(A184=inp_used_usersel,D184:R184=inp_used_nonvessel1,AB184:AV184=inp_used_nonvessel2,IF(B184=1,inp_used_pressure=inp_autosize_pressure,inp_used_gravity=inp_autosize_gravity))</f>
        <v>0</v>
      </c>
      <c r="BA184" s="563" t="b">
        <f t="array" ref="BA184">AND(D184:AV184=inp_used,A184=inp_used_usersel)</f>
        <v>0</v>
      </c>
    </row>
    <row r="185" spans="1:55" s="523" customFormat="1">
      <c r="A185" s="523">
        <v>12</v>
      </c>
      <c r="B185" s="523">
        <v>1</v>
      </c>
      <c r="C185" s="523">
        <v>1</v>
      </c>
      <c r="D185" s="917">
        <v>0.03</v>
      </c>
      <c r="E185" s="523" t="s">
        <v>188</v>
      </c>
      <c r="F185" s="414">
        <v>7.0000000000000001E-3</v>
      </c>
      <c r="G185" s="523" t="s">
        <v>188</v>
      </c>
      <c r="H185" s="917" t="s">
        <v>3139</v>
      </c>
      <c r="I185" s="523" t="s">
        <v>936</v>
      </c>
      <c r="J185" s="414">
        <v>21600</v>
      </c>
      <c r="M185" s="561"/>
      <c r="N185" s="917" t="s">
        <v>194</v>
      </c>
      <c r="O185" s="523">
        <v>7.5</v>
      </c>
      <c r="Q185" s="561"/>
      <c r="R185" s="917">
        <v>1</v>
      </c>
      <c r="S185" s="523" t="s">
        <v>3491</v>
      </c>
      <c r="T185" s="559"/>
      <c r="V185" s="559"/>
      <c r="W185" s="560"/>
      <c r="X185" s="559"/>
      <c r="Y185" s="559"/>
      <c r="Z185" s="559"/>
      <c r="AA185" s="559"/>
      <c r="AB185" s="917">
        <v>168</v>
      </c>
      <c r="AC185" s="414" t="s">
        <v>2060</v>
      </c>
      <c r="AD185" s="438" t="s">
        <v>497</v>
      </c>
      <c r="AE185" s="523" t="s">
        <v>499</v>
      </c>
      <c r="AF185" s="561"/>
      <c r="AG185" s="917"/>
      <c r="AH185" s="523">
        <v>0</v>
      </c>
      <c r="AI185" s="438"/>
      <c r="AJ185" s="414"/>
      <c r="AK185" s="523" t="s">
        <v>1932</v>
      </c>
      <c r="AQ185" s="917"/>
      <c r="AV185" s="561"/>
      <c r="AW185" s="414" t="str">
        <f t="shared" si="15"/>
        <v>1,2-Dichloropropane, Pressure</v>
      </c>
      <c r="AX185" s="414" t="b">
        <f t="shared" si="19"/>
        <v>0</v>
      </c>
      <c r="AY185" s="523" t="b">
        <f t="array" ref="AY185">AND(D185:G185=inp_used_minimal,A185=inp_used_usersel)</f>
        <v>0</v>
      </c>
      <c r="AZ185" s="523" t="b">
        <f t="array" ref="AZ185">AND(A185=inp_used_usersel,D185:R185=inp_used_nonvessel1,AB185:AV185=inp_used_nonvessel2,IF(B185=1,inp_used_pressure=inp_autosize_pressure,inp_used_gravity=inp_autosize_gravity))</f>
        <v>0</v>
      </c>
      <c r="BA185" s="523" t="b">
        <f t="array" ref="BA185">AND(D185:AV185=inp_used,A185=inp_used_usersel)</f>
        <v>0</v>
      </c>
      <c r="BB185" s="523" t="b">
        <f t="shared" ref="BB185:BC192" si="20">CHOOSE(design_type,AX185,AX193)</f>
        <v>0</v>
      </c>
      <c r="BC185" s="523" t="b">
        <f t="shared" si="20"/>
        <v>0</v>
      </c>
    </row>
    <row r="186" spans="1:55" s="523" customFormat="1">
      <c r="A186" s="523">
        <v>12</v>
      </c>
      <c r="B186" s="523">
        <v>1</v>
      </c>
      <c r="C186" s="523">
        <v>2</v>
      </c>
      <c r="D186" s="557">
        <v>0.124</v>
      </c>
      <c r="E186" s="523" t="s">
        <v>188</v>
      </c>
      <c r="F186" s="414">
        <v>3.5000000000000003E-2</v>
      </c>
      <c r="G186" s="523" t="s">
        <v>188</v>
      </c>
      <c r="H186" s="557" t="s">
        <v>3139</v>
      </c>
      <c r="I186" s="523" t="s">
        <v>936</v>
      </c>
      <c r="J186" s="414">
        <v>21600</v>
      </c>
      <c r="M186" s="561"/>
      <c r="N186" s="557" t="s">
        <v>194</v>
      </c>
      <c r="O186" s="523">
        <v>7.5</v>
      </c>
      <c r="Q186" s="561"/>
      <c r="R186" s="557">
        <v>1</v>
      </c>
      <c r="S186" s="523" t="s">
        <v>3491</v>
      </c>
      <c r="T186" s="559"/>
      <c r="V186" s="559"/>
      <c r="W186" s="560"/>
      <c r="X186" s="559"/>
      <c r="Y186" s="559"/>
      <c r="Z186" s="559"/>
      <c r="AA186" s="559"/>
      <c r="AB186" s="557">
        <v>168</v>
      </c>
      <c r="AC186" s="414" t="s">
        <v>2060</v>
      </c>
      <c r="AD186" s="438" t="s">
        <v>498</v>
      </c>
      <c r="AE186" s="523" t="s">
        <v>499</v>
      </c>
      <c r="AF186" s="562" t="s">
        <v>500</v>
      </c>
      <c r="AG186" s="557"/>
      <c r="AH186" s="523">
        <v>0</v>
      </c>
      <c r="AI186" s="438"/>
      <c r="AJ186" s="414"/>
      <c r="AK186" s="523" t="s">
        <v>1932</v>
      </c>
      <c r="AQ186" s="557"/>
      <c r="AV186" s="561"/>
      <c r="AW186" s="414" t="str">
        <f t="shared" si="15"/>
        <v>1,2-Dichloropropane, Pressure</v>
      </c>
      <c r="AX186" s="414" t="b">
        <f t="shared" si="19"/>
        <v>0</v>
      </c>
      <c r="AY186" s="523" t="b">
        <f t="array" ref="AY186">AND(D186:G186=inp_used_minimal,A186=inp_used_usersel)</f>
        <v>0</v>
      </c>
      <c r="AZ186" s="523" t="b">
        <f t="array" ref="AZ186">AND(A186=inp_used_usersel,D186:R186=inp_used_nonvessel1,AB186:AV186=inp_used_nonvessel2,IF(B186=1,inp_used_pressure=inp_autosize_pressure,inp_used_gravity=inp_autosize_gravity))</f>
        <v>0</v>
      </c>
      <c r="BA186" s="523" t="b">
        <f t="array" ref="BA186">AND(D186:AV186=inp_used,A186=inp_used_usersel)</f>
        <v>0</v>
      </c>
      <c r="BB186" s="523" t="b">
        <f t="shared" si="20"/>
        <v>0</v>
      </c>
      <c r="BC186" s="523" t="b">
        <f t="shared" si="20"/>
        <v>0</v>
      </c>
    </row>
    <row r="187" spans="1:55" s="523" customFormat="1">
      <c r="A187" s="523">
        <v>12</v>
      </c>
      <c r="B187" s="523">
        <v>1</v>
      </c>
      <c r="C187" s="523">
        <v>3</v>
      </c>
      <c r="D187" s="557">
        <v>0.30499999999999999</v>
      </c>
      <c r="E187" s="523" t="s">
        <v>188</v>
      </c>
      <c r="F187" s="414">
        <v>9.4E-2</v>
      </c>
      <c r="G187" s="523" t="s">
        <v>188</v>
      </c>
      <c r="H187" s="557" t="s">
        <v>3139</v>
      </c>
      <c r="I187" s="523" t="s">
        <v>936</v>
      </c>
      <c r="J187" s="414">
        <v>21600</v>
      </c>
      <c r="M187" s="561"/>
      <c r="N187" s="557" t="s">
        <v>194</v>
      </c>
      <c r="O187" s="523">
        <v>7.5</v>
      </c>
      <c r="Q187" s="561"/>
      <c r="R187" s="557">
        <v>1</v>
      </c>
      <c r="S187" s="523" t="s">
        <v>3491</v>
      </c>
      <c r="T187" s="559"/>
      <c r="V187" s="559"/>
      <c r="W187" s="560"/>
      <c r="X187" s="559"/>
      <c r="Y187" s="559"/>
      <c r="Z187" s="559"/>
      <c r="AA187" s="559"/>
      <c r="AB187" s="557">
        <v>168</v>
      </c>
      <c r="AC187" s="414" t="s">
        <v>2060</v>
      </c>
      <c r="AD187" s="438" t="s">
        <v>498</v>
      </c>
      <c r="AE187" s="523" t="s">
        <v>499</v>
      </c>
      <c r="AF187" s="562" t="s">
        <v>500</v>
      </c>
      <c r="AG187" s="557"/>
      <c r="AH187" s="523">
        <v>0</v>
      </c>
      <c r="AI187" s="438"/>
      <c r="AJ187" s="414"/>
      <c r="AK187" s="523" t="s">
        <v>1932</v>
      </c>
      <c r="AQ187" s="557"/>
      <c r="AV187" s="561"/>
      <c r="AW187" s="414" t="str">
        <f t="shared" si="15"/>
        <v>1,2-Dichloropropane, Pressure</v>
      </c>
      <c r="AX187" s="414" t="b">
        <f t="shared" si="19"/>
        <v>0</v>
      </c>
      <c r="AY187" s="523" t="b">
        <f t="array" ref="AY187">AND(D187:G187=inp_used_minimal,A187=inp_used_usersel)</f>
        <v>0</v>
      </c>
      <c r="AZ187" s="523" t="b">
        <f t="array" ref="AZ187">AND(A187=inp_used_usersel,D187:R187=inp_used_nonvessel1,AB187:AV187=inp_used_nonvessel2,IF(B187=1,inp_used_pressure=inp_autosize_pressure,inp_used_gravity=inp_autosize_gravity))</f>
        <v>0</v>
      </c>
      <c r="BA187" s="523" t="b">
        <f t="array" ref="BA187">AND(D187:AV187=inp_used,A187=inp_used_usersel)</f>
        <v>0</v>
      </c>
      <c r="BB187" s="523" t="b">
        <f t="shared" si="20"/>
        <v>0</v>
      </c>
      <c r="BC187" s="523" t="b">
        <f t="shared" si="20"/>
        <v>0</v>
      </c>
    </row>
    <row r="188" spans="1:55" s="523" customFormat="1">
      <c r="A188" s="523">
        <v>12</v>
      </c>
      <c r="B188" s="523">
        <v>1</v>
      </c>
      <c r="C188" s="523">
        <v>4</v>
      </c>
      <c r="D188" s="557">
        <v>0.74</v>
      </c>
      <c r="E188" s="523" t="s">
        <v>188</v>
      </c>
      <c r="F188" s="414">
        <v>0.251</v>
      </c>
      <c r="G188" s="523" t="s">
        <v>188</v>
      </c>
      <c r="H188" s="557" t="s">
        <v>3139</v>
      </c>
      <c r="I188" s="523" t="s">
        <v>936</v>
      </c>
      <c r="J188" s="414">
        <v>21600</v>
      </c>
      <c r="M188" s="561"/>
      <c r="N188" s="557" t="s">
        <v>194</v>
      </c>
      <c r="O188" s="523">
        <v>7.5</v>
      </c>
      <c r="Q188" s="561"/>
      <c r="R188" s="557">
        <v>1</v>
      </c>
      <c r="S188" s="523" t="s">
        <v>3491</v>
      </c>
      <c r="T188" s="559"/>
      <c r="V188" s="559"/>
      <c r="W188" s="560"/>
      <c r="X188" s="559"/>
      <c r="Y188" s="559"/>
      <c r="Z188" s="559"/>
      <c r="AA188" s="559"/>
      <c r="AB188" s="557">
        <v>168</v>
      </c>
      <c r="AC188" s="414" t="s">
        <v>2060</v>
      </c>
      <c r="AD188" s="438" t="s">
        <v>498</v>
      </c>
      <c r="AE188" s="523" t="s">
        <v>499</v>
      </c>
      <c r="AF188" s="562" t="s">
        <v>500</v>
      </c>
      <c r="AG188" s="557"/>
      <c r="AH188" s="523">
        <v>0</v>
      </c>
      <c r="AI188" s="438"/>
      <c r="AJ188" s="414"/>
      <c r="AK188" s="523" t="s">
        <v>1932</v>
      </c>
      <c r="AQ188" s="557"/>
      <c r="AV188" s="561"/>
      <c r="AW188" s="414" t="str">
        <f t="shared" si="15"/>
        <v>1,2-Dichloropropane, Pressure</v>
      </c>
      <c r="AX188" s="414" t="b">
        <f t="shared" si="19"/>
        <v>0</v>
      </c>
      <c r="AY188" s="523" t="b">
        <f t="array" ref="AY188">AND(D188:G188=inp_used_minimal,A188=inp_used_usersel)</f>
        <v>0</v>
      </c>
      <c r="AZ188" s="523" t="b">
        <f t="array" ref="AZ188">AND(A188=inp_used_usersel,D188:R188=inp_used_nonvessel1,AB188:AV188=inp_used_nonvessel2,IF(B188=1,inp_used_pressure=inp_autosize_pressure,inp_used_gravity=inp_autosize_gravity))</f>
        <v>0</v>
      </c>
      <c r="BA188" s="523" t="b">
        <f t="array" ref="BA188">AND(D188:AV188=inp_used,A188=inp_used_usersel)</f>
        <v>0</v>
      </c>
      <c r="BB188" s="523" t="b">
        <f t="shared" si="20"/>
        <v>0</v>
      </c>
      <c r="BC188" s="523" t="b">
        <f t="shared" si="20"/>
        <v>0</v>
      </c>
    </row>
    <row r="189" spans="1:55" s="523" customFormat="1">
      <c r="A189" s="523">
        <v>12</v>
      </c>
      <c r="B189" s="523">
        <v>1</v>
      </c>
      <c r="C189" s="414">
        <v>5</v>
      </c>
      <c r="D189" s="529">
        <v>2.1520000000000001</v>
      </c>
      <c r="E189" s="523" t="s">
        <v>188</v>
      </c>
      <c r="F189" s="414">
        <v>0.81899999999999995</v>
      </c>
      <c r="G189" s="523" t="s">
        <v>188</v>
      </c>
      <c r="H189" s="557" t="s">
        <v>3139</v>
      </c>
      <c r="I189" s="523" t="s">
        <v>936</v>
      </c>
      <c r="J189" s="414">
        <v>21600</v>
      </c>
      <c r="M189" s="561"/>
      <c r="N189" s="557" t="s">
        <v>194</v>
      </c>
      <c r="O189" s="523">
        <v>7.5</v>
      </c>
      <c r="Q189" s="561"/>
      <c r="R189" s="557">
        <v>1</v>
      </c>
      <c r="S189" s="523" t="s">
        <v>3491</v>
      </c>
      <c r="T189" s="559"/>
      <c r="V189" s="559"/>
      <c r="W189" s="560"/>
      <c r="X189" s="559"/>
      <c r="Y189" s="559"/>
      <c r="Z189" s="559"/>
      <c r="AA189" s="559"/>
      <c r="AB189" s="557">
        <v>168</v>
      </c>
      <c r="AC189" s="414" t="s">
        <v>2060</v>
      </c>
      <c r="AD189" s="438" t="s">
        <v>498</v>
      </c>
      <c r="AE189" s="523" t="s">
        <v>499</v>
      </c>
      <c r="AF189" s="562" t="s">
        <v>500</v>
      </c>
      <c r="AG189" s="557"/>
      <c r="AH189" s="523">
        <v>0</v>
      </c>
      <c r="AI189" s="438"/>
      <c r="AJ189" s="414"/>
      <c r="AK189" s="523" t="s">
        <v>1932</v>
      </c>
      <c r="AQ189" s="557"/>
      <c r="AV189" s="561"/>
      <c r="AW189" s="414" t="str">
        <f t="shared" si="15"/>
        <v>1,2-Dichloropropane, Pressure</v>
      </c>
      <c r="AX189" s="414" t="b">
        <f t="shared" si="19"/>
        <v>0</v>
      </c>
      <c r="AY189" s="523" t="b">
        <f t="array" ref="AY189">AND(D189:G189=inp_used_minimal,A189=inp_used_usersel)</f>
        <v>0</v>
      </c>
      <c r="AZ189" s="523" t="b">
        <f t="array" ref="AZ189">AND(A189=inp_used_usersel,D189:R189=inp_used_nonvessel1,AB189:AV189=inp_used_nonvessel2,IF(B189=1,inp_used_pressure=inp_autosize_pressure,inp_used_gravity=inp_autosize_gravity))</f>
        <v>0</v>
      </c>
      <c r="BA189" s="523" t="b">
        <f t="array" ref="BA189">AND(D189:AV189=inp_used,A189=inp_used_usersel)</f>
        <v>0</v>
      </c>
      <c r="BB189" s="523" t="b">
        <f t="shared" si="20"/>
        <v>0</v>
      </c>
      <c r="BC189" s="523" t="b">
        <f t="shared" si="20"/>
        <v>0</v>
      </c>
    </row>
    <row r="190" spans="1:55" s="523" customFormat="1">
      <c r="A190" s="523">
        <v>12</v>
      </c>
      <c r="B190" s="523">
        <v>1</v>
      </c>
      <c r="C190" s="414">
        <v>6</v>
      </c>
      <c r="D190" s="529">
        <v>7.3650000000000002</v>
      </c>
      <c r="E190" s="523" t="s">
        <v>188</v>
      </c>
      <c r="F190" s="414">
        <v>3.2</v>
      </c>
      <c r="G190" s="523" t="s">
        <v>188</v>
      </c>
      <c r="H190" s="557" t="s">
        <v>3139</v>
      </c>
      <c r="I190" s="523" t="s">
        <v>936</v>
      </c>
      <c r="J190" s="414">
        <v>21600</v>
      </c>
      <c r="M190" s="561"/>
      <c r="N190" s="557" t="s">
        <v>194</v>
      </c>
      <c r="O190" s="523">
        <v>7.5</v>
      </c>
      <c r="Q190" s="561"/>
      <c r="R190" s="557">
        <v>1</v>
      </c>
      <c r="S190" s="523" t="s">
        <v>3491</v>
      </c>
      <c r="T190" s="559"/>
      <c r="V190" s="559"/>
      <c r="W190" s="560"/>
      <c r="X190" s="559"/>
      <c r="Y190" s="559"/>
      <c r="Z190" s="559"/>
      <c r="AA190" s="559"/>
      <c r="AB190" s="557">
        <v>168</v>
      </c>
      <c r="AC190" s="414" t="s">
        <v>2060</v>
      </c>
      <c r="AD190" s="438" t="s">
        <v>498</v>
      </c>
      <c r="AE190" s="523" t="s">
        <v>2615</v>
      </c>
      <c r="AF190" s="562" t="s">
        <v>500</v>
      </c>
      <c r="AG190" s="557"/>
      <c r="AH190" s="523">
        <v>0</v>
      </c>
      <c r="AI190" s="438"/>
      <c r="AJ190" s="414"/>
      <c r="AK190" s="523" t="s">
        <v>1932</v>
      </c>
      <c r="AQ190" s="557"/>
      <c r="AV190" s="561"/>
      <c r="AW190" s="414" t="str">
        <f t="shared" si="15"/>
        <v>1,2-Dichloropropane, Pressure</v>
      </c>
      <c r="AX190" s="414" t="b">
        <f t="shared" si="19"/>
        <v>0</v>
      </c>
      <c r="AY190" s="523" t="b">
        <f t="array" ref="AY190">AND(D190:G190=inp_used_minimal,A190=inp_used_usersel)</f>
        <v>0</v>
      </c>
      <c r="AZ190" s="523" t="b">
        <f t="array" ref="AZ190">AND(A190=inp_used_usersel,D190:R190=inp_used_nonvessel1,AB190:AV190=inp_used_nonvessel2,IF(B190=1,inp_used_pressure=inp_autosize_pressure,inp_used_gravity=inp_autosize_gravity))</f>
        <v>0</v>
      </c>
      <c r="BA190" s="523" t="b">
        <f t="array" ref="BA190">AND(D190:AV190=inp_used,A190=inp_used_usersel)</f>
        <v>0</v>
      </c>
      <c r="BB190" s="523" t="b">
        <f t="shared" si="20"/>
        <v>0</v>
      </c>
      <c r="BC190" s="523" t="b">
        <f t="shared" si="20"/>
        <v>0</v>
      </c>
    </row>
    <row r="191" spans="1:55" s="523" customFormat="1">
      <c r="A191" s="523">
        <v>12</v>
      </c>
      <c r="B191" s="523">
        <v>1</v>
      </c>
      <c r="C191" s="414">
        <v>7</v>
      </c>
      <c r="D191" s="529">
        <v>22.614000000000001</v>
      </c>
      <c r="E191" s="523" t="s">
        <v>188</v>
      </c>
      <c r="F191" s="414">
        <v>11.066000000000001</v>
      </c>
      <c r="G191" s="523" t="s">
        <v>188</v>
      </c>
      <c r="H191" s="557" t="s">
        <v>3139</v>
      </c>
      <c r="I191" s="523" t="s">
        <v>936</v>
      </c>
      <c r="J191" s="414">
        <v>21600</v>
      </c>
      <c r="M191" s="561"/>
      <c r="N191" s="557" t="s">
        <v>194</v>
      </c>
      <c r="O191" s="523">
        <v>7.5</v>
      </c>
      <c r="Q191" s="561"/>
      <c r="R191" s="557">
        <v>1</v>
      </c>
      <c r="S191" s="523" t="s">
        <v>3491</v>
      </c>
      <c r="T191" s="559"/>
      <c r="V191" s="559"/>
      <c r="W191" s="560"/>
      <c r="X191" s="559"/>
      <c r="Y191" s="559"/>
      <c r="Z191" s="559"/>
      <c r="AA191" s="559"/>
      <c r="AB191" s="557">
        <v>168</v>
      </c>
      <c r="AC191" s="414" t="s">
        <v>2060</v>
      </c>
      <c r="AD191" s="438" t="s">
        <v>498</v>
      </c>
      <c r="AE191" s="523" t="s">
        <v>2615</v>
      </c>
      <c r="AF191" s="562" t="s">
        <v>500</v>
      </c>
      <c r="AG191" s="557"/>
      <c r="AH191" s="523">
        <v>0</v>
      </c>
      <c r="AI191" s="438"/>
      <c r="AJ191" s="414"/>
      <c r="AK191" s="523" t="s">
        <v>1932</v>
      </c>
      <c r="AQ191" s="557"/>
      <c r="AV191" s="561"/>
      <c r="AW191" s="414" t="str">
        <f t="shared" si="15"/>
        <v>1,2-Dichloropropane, Pressure</v>
      </c>
      <c r="AX191" s="414" t="b">
        <f t="shared" si="19"/>
        <v>0</v>
      </c>
      <c r="AY191" s="523" t="b">
        <f t="array" ref="AY191">AND(D191:G191=inp_used_minimal,A191=inp_used_usersel)</f>
        <v>0</v>
      </c>
      <c r="AZ191" s="523" t="b">
        <f t="array" ref="AZ191">AND(A191=inp_used_usersel,D191:R191=inp_used_nonvessel1,AB191:AV191=inp_used_nonvessel2,IF(B191=1,inp_used_pressure=inp_autosize_pressure,inp_used_gravity=inp_autosize_gravity))</f>
        <v>0</v>
      </c>
      <c r="BA191" s="523" t="b">
        <f t="array" ref="BA191">AND(D191:AV191=inp_used,A191=inp_used_usersel)</f>
        <v>0</v>
      </c>
      <c r="BB191" s="523" t="b">
        <f t="shared" si="20"/>
        <v>0</v>
      </c>
      <c r="BC191" s="523" t="b">
        <f t="shared" si="20"/>
        <v>0</v>
      </c>
    </row>
    <row r="192" spans="1:55" s="563" customFormat="1">
      <c r="A192" s="563">
        <v>12</v>
      </c>
      <c r="B192" s="563">
        <v>1</v>
      </c>
      <c r="C192" s="564">
        <v>8</v>
      </c>
      <c r="D192" s="918">
        <v>75.072000000000003</v>
      </c>
      <c r="E192" s="563" t="s">
        <v>188</v>
      </c>
      <c r="F192" s="564">
        <v>37.536000000000001</v>
      </c>
      <c r="G192" s="563" t="s">
        <v>188</v>
      </c>
      <c r="H192" s="919" t="s">
        <v>3139</v>
      </c>
      <c r="I192" s="563" t="s">
        <v>936</v>
      </c>
      <c r="J192" s="564">
        <v>21600</v>
      </c>
      <c r="M192" s="565"/>
      <c r="N192" s="919" t="s">
        <v>194</v>
      </c>
      <c r="O192" s="563">
        <v>7.5</v>
      </c>
      <c r="Q192" s="565"/>
      <c r="R192" s="919">
        <v>1</v>
      </c>
      <c r="S192" s="563" t="s">
        <v>3491</v>
      </c>
      <c r="T192" s="566"/>
      <c r="V192" s="566"/>
      <c r="W192" s="567"/>
      <c r="X192" s="566"/>
      <c r="Y192" s="566"/>
      <c r="Z192" s="566"/>
      <c r="AA192" s="567"/>
      <c r="AB192" s="919">
        <v>168</v>
      </c>
      <c r="AC192" s="564" t="s">
        <v>2060</v>
      </c>
      <c r="AD192" s="568" t="s">
        <v>498</v>
      </c>
      <c r="AE192" s="563" t="s">
        <v>2615</v>
      </c>
      <c r="AF192" s="554" t="s">
        <v>500</v>
      </c>
      <c r="AG192" s="919"/>
      <c r="AH192" s="563">
        <v>0</v>
      </c>
      <c r="AI192" s="568"/>
      <c r="AJ192" s="564"/>
      <c r="AK192" s="563" t="s">
        <v>1932</v>
      </c>
      <c r="AP192" s="565"/>
      <c r="AQ192" s="919"/>
      <c r="AV192" s="565"/>
      <c r="AW192" s="564" t="str">
        <f t="shared" si="15"/>
        <v>1,2-Dichloropropane, Pressure</v>
      </c>
      <c r="AX192" s="564" t="b">
        <f t="shared" si="19"/>
        <v>0</v>
      </c>
      <c r="AY192" s="563" t="b">
        <f t="array" ref="AY192">AND(D192:G192=inp_used_minimal,A192=inp_used_usersel)</f>
        <v>0</v>
      </c>
      <c r="AZ192" s="563" t="b">
        <f t="array" ref="AZ192">AND(A192=inp_used_usersel,D192:R192=inp_used_nonvessel1,AB192:AV192=inp_used_nonvessel2,IF(B192=1,inp_used_pressure=inp_autosize_pressure,inp_used_gravity=inp_autosize_gravity))</f>
        <v>0</v>
      </c>
      <c r="BA192" s="563" t="b">
        <f t="array" ref="BA192">AND(D192:AV192=inp_used,A192=inp_used_usersel)</f>
        <v>0</v>
      </c>
      <c r="BB192" s="563" t="b">
        <f t="shared" si="20"/>
        <v>0</v>
      </c>
      <c r="BC192" s="563" t="b">
        <f t="shared" si="20"/>
        <v>0</v>
      </c>
    </row>
    <row r="193" spans="1:55" s="523" customFormat="1">
      <c r="A193" s="523">
        <v>12</v>
      </c>
      <c r="B193" s="523">
        <v>2</v>
      </c>
      <c r="C193" s="523">
        <v>1</v>
      </c>
      <c r="D193" s="917">
        <v>0.03</v>
      </c>
      <c r="E193" s="523" t="s">
        <v>188</v>
      </c>
      <c r="F193" s="414">
        <v>7.0000000000000001E-3</v>
      </c>
      <c r="G193" s="523" t="s">
        <v>188</v>
      </c>
      <c r="H193" s="917" t="s">
        <v>3139</v>
      </c>
      <c r="I193" s="523" t="s">
        <v>936</v>
      </c>
      <c r="J193" s="414">
        <v>21600</v>
      </c>
      <c r="M193" s="561"/>
      <c r="N193" s="917" t="s">
        <v>194</v>
      </c>
      <c r="O193" s="523">
        <v>7.5</v>
      </c>
      <c r="Q193" s="561"/>
      <c r="R193" s="917"/>
      <c r="T193" s="559"/>
      <c r="U193" s="559"/>
      <c r="V193" s="559"/>
      <c r="W193" s="560"/>
      <c r="X193" s="559" t="s">
        <v>3491</v>
      </c>
      <c r="Y193" s="414"/>
      <c r="Z193" s="414"/>
      <c r="AA193" s="414"/>
      <c r="AB193" s="917">
        <v>168</v>
      </c>
      <c r="AC193" s="414" t="s">
        <v>2060</v>
      </c>
      <c r="AD193" s="414" t="s">
        <v>2875</v>
      </c>
      <c r="AE193" s="523" t="s">
        <v>499</v>
      </c>
      <c r="AF193" s="414" t="s">
        <v>500</v>
      </c>
      <c r="AG193" s="917"/>
      <c r="AH193" s="523">
        <v>0</v>
      </c>
      <c r="AI193" s="438"/>
      <c r="AJ193" s="414"/>
      <c r="AK193" s="523" t="s">
        <v>1932</v>
      </c>
      <c r="AQ193" s="917"/>
      <c r="AV193" s="561"/>
      <c r="AW193" s="414" t="str">
        <f t="shared" si="15"/>
        <v>1,2-Dichloropropane, Gravity</v>
      </c>
      <c r="AX193" s="414" t="b">
        <f t="shared" si="19"/>
        <v>0</v>
      </c>
      <c r="AY193" s="523" t="b">
        <f t="array" ref="AY193">AND(D193:G193=inp_used_minimal,A193=inp_used_usersel)</f>
        <v>0</v>
      </c>
      <c r="AZ193" s="523" t="b">
        <f t="array" ref="AZ193">AND(A193=inp_used_usersel,D193:R193=inp_used_nonvessel1,AB193:AV193=inp_used_nonvessel2,IF(B193=1,inp_used_pressure=inp_autosize_pressure,inp_used_gravity=inp_autosize_gravity))</f>
        <v>0</v>
      </c>
      <c r="BA193" s="523" t="b">
        <f t="array" ref="BA193">AND(D193:AV193=inp_used,A193=inp_used_usersel)</f>
        <v>0</v>
      </c>
    </row>
    <row r="194" spans="1:55" s="523" customFormat="1">
      <c r="A194" s="523">
        <v>12</v>
      </c>
      <c r="B194" s="523">
        <v>2</v>
      </c>
      <c r="C194" s="523">
        <v>2</v>
      </c>
      <c r="D194" s="557">
        <v>0.124</v>
      </c>
      <c r="E194" s="523" t="s">
        <v>188</v>
      </c>
      <c r="F194" s="414">
        <v>3.5000000000000003E-2</v>
      </c>
      <c r="G194" s="523" t="s">
        <v>188</v>
      </c>
      <c r="H194" s="557" t="s">
        <v>3139</v>
      </c>
      <c r="I194" s="523" t="s">
        <v>936</v>
      </c>
      <c r="J194" s="414">
        <v>21600</v>
      </c>
      <c r="M194" s="561"/>
      <c r="N194" s="557" t="s">
        <v>194</v>
      </c>
      <c r="O194" s="523">
        <v>7.5</v>
      </c>
      <c r="Q194" s="561"/>
      <c r="R194" s="557"/>
      <c r="T194" s="559"/>
      <c r="U194" s="559"/>
      <c r="V194" s="559"/>
      <c r="W194" s="560"/>
      <c r="X194" s="559" t="s">
        <v>3491</v>
      </c>
      <c r="Y194" s="414"/>
      <c r="Z194" s="414"/>
      <c r="AA194" s="414"/>
      <c r="AB194" s="557">
        <v>168</v>
      </c>
      <c r="AC194" s="414" t="s">
        <v>2060</v>
      </c>
      <c r="AD194" s="414" t="s">
        <v>2875</v>
      </c>
      <c r="AE194" s="523" t="s">
        <v>499</v>
      </c>
      <c r="AF194" s="414" t="s">
        <v>500</v>
      </c>
      <c r="AG194" s="557"/>
      <c r="AH194" s="523">
        <v>0</v>
      </c>
      <c r="AI194" s="438"/>
      <c r="AJ194" s="414"/>
      <c r="AK194" s="523" t="s">
        <v>1932</v>
      </c>
      <c r="AQ194" s="557"/>
      <c r="AV194" s="561"/>
      <c r="AW194" s="414" t="str">
        <f t="shared" si="15"/>
        <v>1,2-Dichloropropane, Gravity</v>
      </c>
      <c r="AX194" s="414" t="b">
        <f t="shared" si="19"/>
        <v>0</v>
      </c>
      <c r="AY194" s="523" t="b">
        <f t="array" ref="AY194">AND(D194:G194=inp_used_minimal,A194=inp_used_usersel)</f>
        <v>0</v>
      </c>
      <c r="AZ194" s="523" t="b">
        <f t="array" ref="AZ194">AND(A194=inp_used_usersel,D194:R194=inp_used_nonvessel1,AB194:AV194=inp_used_nonvessel2,IF(B194=1,inp_used_pressure=inp_autosize_pressure,inp_used_gravity=inp_autosize_gravity))</f>
        <v>0</v>
      </c>
      <c r="BA194" s="523" t="b">
        <f t="array" ref="BA194">AND(D194:AV194=inp_used,A194=inp_used_usersel)</f>
        <v>0</v>
      </c>
    </row>
    <row r="195" spans="1:55" s="523" customFormat="1">
      <c r="A195" s="523">
        <v>12</v>
      </c>
      <c r="B195" s="523">
        <v>2</v>
      </c>
      <c r="C195" s="523">
        <v>3</v>
      </c>
      <c r="D195" s="557">
        <v>0.30499999999999999</v>
      </c>
      <c r="E195" s="523" t="s">
        <v>188</v>
      </c>
      <c r="F195" s="414">
        <v>9.4E-2</v>
      </c>
      <c r="G195" s="523" t="s">
        <v>188</v>
      </c>
      <c r="H195" s="557" t="s">
        <v>3139</v>
      </c>
      <c r="I195" s="523" t="s">
        <v>936</v>
      </c>
      <c r="J195" s="414">
        <v>21600</v>
      </c>
      <c r="M195" s="561"/>
      <c r="N195" s="557" t="s">
        <v>194</v>
      </c>
      <c r="O195" s="523">
        <v>7.5</v>
      </c>
      <c r="Q195" s="561"/>
      <c r="R195" s="557"/>
      <c r="T195" s="559"/>
      <c r="U195" s="559"/>
      <c r="V195" s="559"/>
      <c r="W195" s="560"/>
      <c r="X195" s="559" t="s">
        <v>3491</v>
      </c>
      <c r="Y195" s="414"/>
      <c r="Z195" s="414"/>
      <c r="AA195" s="414"/>
      <c r="AB195" s="557">
        <v>168</v>
      </c>
      <c r="AC195" s="414" t="s">
        <v>2060</v>
      </c>
      <c r="AD195" s="414" t="s">
        <v>2875</v>
      </c>
      <c r="AE195" s="523" t="s">
        <v>499</v>
      </c>
      <c r="AF195" s="414" t="s">
        <v>500</v>
      </c>
      <c r="AG195" s="557"/>
      <c r="AH195" s="523">
        <v>0</v>
      </c>
      <c r="AI195" s="438"/>
      <c r="AJ195" s="414"/>
      <c r="AK195" s="523" t="s">
        <v>1932</v>
      </c>
      <c r="AQ195" s="557"/>
      <c r="AV195" s="561"/>
      <c r="AW195" s="414" t="str">
        <f t="shared" si="15"/>
        <v>1,2-Dichloropropane, Gravity</v>
      </c>
      <c r="AX195" s="414" t="b">
        <f t="shared" si="19"/>
        <v>0</v>
      </c>
      <c r="AY195" s="523" t="b">
        <f t="array" ref="AY195">AND(D195:G195=inp_used_minimal,A195=inp_used_usersel)</f>
        <v>0</v>
      </c>
      <c r="AZ195" s="523" t="b">
        <f t="array" ref="AZ195">AND(A195=inp_used_usersel,D195:R195=inp_used_nonvessel1,AB195:AV195=inp_used_nonvessel2,IF(B195=1,inp_used_pressure=inp_autosize_pressure,inp_used_gravity=inp_autosize_gravity))</f>
        <v>0</v>
      </c>
      <c r="BA195" s="523" t="b">
        <f t="array" ref="BA195">AND(D195:AV195=inp_used,A195=inp_used_usersel)</f>
        <v>0</v>
      </c>
    </row>
    <row r="196" spans="1:55" s="523" customFormat="1">
      <c r="A196" s="523">
        <v>12</v>
      </c>
      <c r="B196" s="523">
        <v>2</v>
      </c>
      <c r="C196" s="523">
        <v>4</v>
      </c>
      <c r="D196" s="557">
        <v>0.74</v>
      </c>
      <c r="E196" s="523" t="s">
        <v>188</v>
      </c>
      <c r="F196" s="414">
        <v>0.251</v>
      </c>
      <c r="G196" s="523" t="s">
        <v>188</v>
      </c>
      <c r="H196" s="557" t="s">
        <v>3139</v>
      </c>
      <c r="I196" s="523" t="s">
        <v>936</v>
      </c>
      <c r="J196" s="414">
        <v>21600</v>
      </c>
      <c r="M196" s="561"/>
      <c r="N196" s="557" t="s">
        <v>194</v>
      </c>
      <c r="O196" s="523">
        <v>7.5</v>
      </c>
      <c r="Q196" s="561"/>
      <c r="R196" s="557"/>
      <c r="T196" s="559"/>
      <c r="U196" s="559"/>
      <c r="V196" s="559"/>
      <c r="W196" s="560"/>
      <c r="X196" s="559" t="s">
        <v>3491</v>
      </c>
      <c r="Y196" s="414"/>
      <c r="Z196" s="414"/>
      <c r="AA196" s="414"/>
      <c r="AB196" s="557">
        <v>168</v>
      </c>
      <c r="AC196" s="414" t="s">
        <v>2060</v>
      </c>
      <c r="AD196" s="414" t="s">
        <v>2875</v>
      </c>
      <c r="AE196" s="523" t="s">
        <v>499</v>
      </c>
      <c r="AF196" s="414" t="s">
        <v>500</v>
      </c>
      <c r="AG196" s="557"/>
      <c r="AH196" s="523">
        <v>0</v>
      </c>
      <c r="AI196" s="438"/>
      <c r="AJ196" s="414"/>
      <c r="AK196" s="523" t="s">
        <v>1932</v>
      </c>
      <c r="AQ196" s="557"/>
      <c r="AV196" s="561"/>
      <c r="AW196" s="414" t="str">
        <f t="shared" si="15"/>
        <v>1,2-Dichloropropane, Gravity</v>
      </c>
      <c r="AX196" s="414" t="b">
        <f t="shared" si="19"/>
        <v>0</v>
      </c>
      <c r="AY196" s="523" t="b">
        <f t="array" ref="AY196">AND(D196:G196=inp_used_minimal,A196=inp_used_usersel)</f>
        <v>0</v>
      </c>
      <c r="AZ196" s="523" t="b">
        <f t="array" ref="AZ196">AND(A196=inp_used_usersel,D196:R196=inp_used_nonvessel1,AB196:AV196=inp_used_nonvessel2,IF(B196=1,inp_used_pressure=inp_autosize_pressure,inp_used_gravity=inp_autosize_gravity))</f>
        <v>0</v>
      </c>
      <c r="BA196" s="523" t="b">
        <f t="array" ref="BA196">AND(D196:AV196=inp_used,A196=inp_used_usersel)</f>
        <v>0</v>
      </c>
    </row>
    <row r="197" spans="1:55" s="523" customFormat="1">
      <c r="A197" s="523">
        <v>12</v>
      </c>
      <c r="B197" s="523">
        <v>2</v>
      </c>
      <c r="C197" s="414">
        <v>5</v>
      </c>
      <c r="D197" s="529">
        <v>2.1520000000000001</v>
      </c>
      <c r="E197" s="523" t="s">
        <v>188</v>
      </c>
      <c r="F197" s="414">
        <v>0.81899999999999995</v>
      </c>
      <c r="G197" s="523" t="s">
        <v>188</v>
      </c>
      <c r="H197" s="557" t="s">
        <v>3139</v>
      </c>
      <c r="I197" s="523" t="s">
        <v>936</v>
      </c>
      <c r="J197" s="414">
        <v>21600</v>
      </c>
      <c r="M197" s="561"/>
      <c r="N197" s="557" t="s">
        <v>194</v>
      </c>
      <c r="O197" s="523">
        <v>7.5</v>
      </c>
      <c r="Q197" s="561"/>
      <c r="R197" s="557"/>
      <c r="T197" s="559"/>
      <c r="U197" s="559"/>
      <c r="V197" s="559"/>
      <c r="W197" s="560"/>
      <c r="X197" s="559" t="s">
        <v>3491</v>
      </c>
      <c r="Y197" s="414"/>
      <c r="Z197" s="414"/>
      <c r="AA197" s="414"/>
      <c r="AB197" s="557">
        <v>168</v>
      </c>
      <c r="AC197" s="414" t="s">
        <v>2060</v>
      </c>
      <c r="AD197" s="414" t="s">
        <v>2875</v>
      </c>
      <c r="AE197" s="523" t="s">
        <v>499</v>
      </c>
      <c r="AF197" s="414" t="s">
        <v>500</v>
      </c>
      <c r="AG197" s="557"/>
      <c r="AH197" s="523">
        <v>0</v>
      </c>
      <c r="AI197" s="438"/>
      <c r="AJ197" s="414"/>
      <c r="AK197" s="523" t="s">
        <v>1932</v>
      </c>
      <c r="AQ197" s="557"/>
      <c r="AV197" s="561"/>
      <c r="AW197" s="414" t="str">
        <f t="shared" si="15"/>
        <v>1,2-Dichloropropane, Gravity</v>
      </c>
      <c r="AX197" s="414" t="b">
        <f t="shared" si="19"/>
        <v>0</v>
      </c>
      <c r="AY197" s="523" t="b">
        <f t="array" ref="AY197">AND(D197:G197=inp_used_minimal,A197=inp_used_usersel)</f>
        <v>0</v>
      </c>
      <c r="AZ197" s="523" t="b">
        <f t="array" ref="AZ197">AND(A197=inp_used_usersel,D197:R197=inp_used_nonvessel1,AB197:AV197=inp_used_nonvessel2,IF(B197=1,inp_used_pressure=inp_autosize_pressure,inp_used_gravity=inp_autosize_gravity))</f>
        <v>0</v>
      </c>
      <c r="BA197" s="523" t="b">
        <f t="array" ref="BA197">AND(D197:AV197=inp_used,A197=inp_used_usersel)</f>
        <v>0</v>
      </c>
    </row>
    <row r="198" spans="1:55" s="523" customFormat="1">
      <c r="A198" s="523">
        <v>12</v>
      </c>
      <c r="B198" s="523">
        <v>2</v>
      </c>
      <c r="C198" s="414">
        <v>6</v>
      </c>
      <c r="D198" s="529">
        <v>7.3650000000000002</v>
      </c>
      <c r="E198" s="523" t="s">
        <v>188</v>
      </c>
      <c r="F198" s="414">
        <v>3.2</v>
      </c>
      <c r="G198" s="523" t="s">
        <v>188</v>
      </c>
      <c r="H198" s="557" t="s">
        <v>3139</v>
      </c>
      <c r="I198" s="523" t="s">
        <v>936</v>
      </c>
      <c r="J198" s="414">
        <v>21600</v>
      </c>
      <c r="M198" s="561"/>
      <c r="N198" s="557" t="s">
        <v>194</v>
      </c>
      <c r="O198" s="523">
        <v>7.5</v>
      </c>
      <c r="Q198" s="561"/>
      <c r="R198" s="557"/>
      <c r="T198" s="559"/>
      <c r="U198" s="559"/>
      <c r="V198" s="559"/>
      <c r="W198" s="560"/>
      <c r="X198" s="559" t="s">
        <v>3491</v>
      </c>
      <c r="Y198" s="414"/>
      <c r="Z198" s="414"/>
      <c r="AA198" s="414"/>
      <c r="AB198" s="557">
        <v>168</v>
      </c>
      <c r="AC198" s="414" t="s">
        <v>2060</v>
      </c>
      <c r="AD198" s="414" t="s">
        <v>2875</v>
      </c>
      <c r="AE198" s="523" t="s">
        <v>2615</v>
      </c>
      <c r="AF198" s="414" t="s">
        <v>500</v>
      </c>
      <c r="AG198" s="557"/>
      <c r="AH198" s="523">
        <v>0</v>
      </c>
      <c r="AI198" s="438"/>
      <c r="AJ198" s="414"/>
      <c r="AK198" s="523" t="s">
        <v>1932</v>
      </c>
      <c r="AQ198" s="557"/>
      <c r="AV198" s="561"/>
      <c r="AW198" s="414" t="str">
        <f t="shared" si="15"/>
        <v>1,2-Dichloropropane, Gravity</v>
      </c>
      <c r="AX198" s="414" t="b">
        <f t="shared" si="19"/>
        <v>0</v>
      </c>
      <c r="AY198" s="523" t="b">
        <f t="array" ref="AY198">AND(D198:G198=inp_used_minimal,A198=inp_used_usersel)</f>
        <v>0</v>
      </c>
      <c r="AZ198" s="523" t="b">
        <f t="array" ref="AZ198">AND(A198=inp_used_usersel,D198:R198=inp_used_nonvessel1,AB198:AV198=inp_used_nonvessel2,IF(B198=1,inp_used_pressure=inp_autosize_pressure,inp_used_gravity=inp_autosize_gravity))</f>
        <v>0</v>
      </c>
      <c r="BA198" s="523" t="b">
        <f t="array" ref="BA198">AND(D198:AV198=inp_used,A198=inp_used_usersel)</f>
        <v>0</v>
      </c>
    </row>
    <row r="199" spans="1:55" s="523" customFormat="1">
      <c r="A199" s="523">
        <v>12</v>
      </c>
      <c r="B199" s="523">
        <v>2</v>
      </c>
      <c r="C199" s="414">
        <v>7</v>
      </c>
      <c r="D199" s="529">
        <v>22.614000000000001</v>
      </c>
      <c r="E199" s="523" t="s">
        <v>188</v>
      </c>
      <c r="F199" s="414">
        <v>11.066000000000001</v>
      </c>
      <c r="G199" s="523" t="s">
        <v>188</v>
      </c>
      <c r="H199" s="557" t="s">
        <v>3139</v>
      </c>
      <c r="I199" s="523" t="s">
        <v>936</v>
      </c>
      <c r="J199" s="414">
        <v>21600</v>
      </c>
      <c r="M199" s="561"/>
      <c r="N199" s="557" t="s">
        <v>194</v>
      </c>
      <c r="O199" s="523">
        <v>7.5</v>
      </c>
      <c r="Q199" s="561"/>
      <c r="R199" s="557"/>
      <c r="T199" s="559"/>
      <c r="U199" s="559"/>
      <c r="V199" s="559"/>
      <c r="W199" s="560"/>
      <c r="X199" s="559" t="s">
        <v>3491</v>
      </c>
      <c r="Y199" s="414"/>
      <c r="Z199" s="414"/>
      <c r="AA199" s="414"/>
      <c r="AB199" s="557">
        <v>168</v>
      </c>
      <c r="AC199" s="414" t="s">
        <v>2060</v>
      </c>
      <c r="AD199" s="414" t="s">
        <v>2875</v>
      </c>
      <c r="AE199" s="523" t="s">
        <v>2615</v>
      </c>
      <c r="AF199" s="414" t="s">
        <v>500</v>
      </c>
      <c r="AG199" s="557"/>
      <c r="AH199" s="523">
        <v>0</v>
      </c>
      <c r="AI199" s="438"/>
      <c r="AJ199" s="414"/>
      <c r="AK199" s="523" t="s">
        <v>1932</v>
      </c>
      <c r="AQ199" s="557"/>
      <c r="AV199" s="561"/>
      <c r="AW199" s="414" t="str">
        <f t="shared" si="15"/>
        <v>1,2-Dichloropropane, Gravity</v>
      </c>
      <c r="AX199" s="414" t="b">
        <f t="shared" si="19"/>
        <v>0</v>
      </c>
      <c r="AY199" s="523" t="b">
        <f t="array" ref="AY199">AND(D199:G199=inp_used_minimal,A199=inp_used_usersel)</f>
        <v>0</v>
      </c>
      <c r="AZ199" s="523" t="b">
        <f t="array" ref="AZ199">AND(A199=inp_used_usersel,D199:R199=inp_used_nonvessel1,AB199:AV199=inp_used_nonvessel2,IF(B199=1,inp_used_pressure=inp_autosize_pressure,inp_used_gravity=inp_autosize_gravity))</f>
        <v>0</v>
      </c>
      <c r="BA199" s="523" t="b">
        <f t="array" ref="BA199">AND(D199:AV199=inp_used,A199=inp_used_usersel)</f>
        <v>0</v>
      </c>
    </row>
    <row r="200" spans="1:55" s="563" customFormat="1">
      <c r="A200" s="563">
        <v>12</v>
      </c>
      <c r="B200" s="563">
        <v>2</v>
      </c>
      <c r="C200" s="564">
        <v>8</v>
      </c>
      <c r="D200" s="918">
        <v>75.072000000000003</v>
      </c>
      <c r="E200" s="563" t="s">
        <v>188</v>
      </c>
      <c r="F200" s="564">
        <v>37.536000000000001</v>
      </c>
      <c r="G200" s="563" t="s">
        <v>188</v>
      </c>
      <c r="H200" s="919" t="s">
        <v>3139</v>
      </c>
      <c r="I200" s="563" t="s">
        <v>936</v>
      </c>
      <c r="J200" s="564">
        <v>21600</v>
      </c>
      <c r="M200" s="565"/>
      <c r="N200" s="919" t="s">
        <v>194</v>
      </c>
      <c r="O200" s="563">
        <v>7.5</v>
      </c>
      <c r="Q200" s="565"/>
      <c r="R200" s="919"/>
      <c r="T200" s="566"/>
      <c r="U200" s="566"/>
      <c r="V200" s="566"/>
      <c r="W200" s="567"/>
      <c r="X200" s="566" t="s">
        <v>3491</v>
      </c>
      <c r="Y200" s="564"/>
      <c r="Z200" s="564"/>
      <c r="AA200" s="554"/>
      <c r="AB200" s="919">
        <v>168</v>
      </c>
      <c r="AC200" s="564" t="s">
        <v>2060</v>
      </c>
      <c r="AD200" s="564" t="s">
        <v>2875</v>
      </c>
      <c r="AE200" s="563" t="s">
        <v>2615</v>
      </c>
      <c r="AF200" s="564" t="s">
        <v>500</v>
      </c>
      <c r="AG200" s="919"/>
      <c r="AH200" s="563">
        <v>0</v>
      </c>
      <c r="AI200" s="568"/>
      <c r="AJ200" s="564"/>
      <c r="AK200" s="563" t="s">
        <v>1932</v>
      </c>
      <c r="AP200" s="565"/>
      <c r="AQ200" s="919"/>
      <c r="AV200" s="565"/>
      <c r="AW200" s="564" t="str">
        <f t="shared" si="15"/>
        <v>1,2-Dichloropropane, Gravity</v>
      </c>
      <c r="AX200" s="564" t="b">
        <f t="shared" si="19"/>
        <v>0</v>
      </c>
      <c r="AY200" s="563" t="b">
        <f t="array" ref="AY200">AND(D200:G200=inp_used_minimal,A200=inp_used_usersel)</f>
        <v>0</v>
      </c>
      <c r="AZ200" s="563" t="b">
        <f t="array" ref="AZ200">AND(A200=inp_used_usersel,D200:R200=inp_used_nonvessel1,AB200:AV200=inp_used_nonvessel2,IF(B200=1,inp_used_pressure=inp_autosize_pressure,inp_used_gravity=inp_autosize_gravity))</f>
        <v>0</v>
      </c>
      <c r="BA200" s="563" t="b">
        <f t="array" ref="BA200">AND(D200:AV200=inp_used,A200=inp_used_usersel)</f>
        <v>0</v>
      </c>
    </row>
    <row r="201" spans="1:55" s="523" customFormat="1">
      <c r="A201" s="523">
        <v>13</v>
      </c>
      <c r="B201" s="523">
        <v>1</v>
      </c>
      <c r="C201" s="523">
        <v>1</v>
      </c>
      <c r="D201" s="917">
        <v>0.03</v>
      </c>
      <c r="E201" s="523" t="s">
        <v>188</v>
      </c>
      <c r="F201" s="414">
        <v>7.0000000000000001E-3</v>
      </c>
      <c r="G201" s="523" t="s">
        <v>188</v>
      </c>
      <c r="H201" s="917" t="s">
        <v>3139</v>
      </c>
      <c r="I201" s="523" t="s">
        <v>936</v>
      </c>
      <c r="J201" s="414">
        <v>7940</v>
      </c>
      <c r="M201" s="561"/>
      <c r="N201" s="917" t="s">
        <v>194</v>
      </c>
      <c r="O201" s="523">
        <v>7.5</v>
      </c>
      <c r="Q201" s="561"/>
      <c r="R201" s="917">
        <v>1</v>
      </c>
      <c r="S201" s="523" t="s">
        <v>3491</v>
      </c>
      <c r="T201" s="559"/>
      <c r="V201" s="559"/>
      <c r="W201" s="560"/>
      <c r="X201" s="559"/>
      <c r="Y201" s="559"/>
      <c r="Z201" s="559"/>
      <c r="AA201" s="559"/>
      <c r="AB201" s="917">
        <v>168</v>
      </c>
      <c r="AC201" s="414" t="s">
        <v>2060</v>
      </c>
      <c r="AD201" s="438" t="s">
        <v>497</v>
      </c>
      <c r="AE201" s="523" t="s">
        <v>499</v>
      </c>
      <c r="AF201" s="561"/>
      <c r="AG201" s="917"/>
      <c r="AH201" s="523">
        <v>0</v>
      </c>
      <c r="AI201" s="438"/>
      <c r="AJ201" s="414"/>
      <c r="AK201" s="523" t="s">
        <v>1932</v>
      </c>
      <c r="AQ201" s="917"/>
      <c r="AV201" s="561"/>
      <c r="AW201" s="414" t="str">
        <f t="shared" ref="AW201:AW264" si="21">IF(VLOOKUP(A201,contam_lookup,2,FALSE)="","",VLOOKUP(A201,contam_lookup,2,FALSE))&amp;", "&amp;IF(B201=1,"Pressure","Gravity")</f>
        <v>1,2-Dichloroethane, Pressure</v>
      </c>
      <c r="AX201" s="414" t="b">
        <f t="shared" si="19"/>
        <v>0</v>
      </c>
      <c r="AY201" s="523" t="b">
        <f t="array" ref="AY201">AND(D201:G201=inp_used_minimal,A201=inp_used_usersel)</f>
        <v>0</v>
      </c>
      <c r="AZ201" s="523" t="b">
        <f t="array" ref="AZ201">AND(A201=inp_used_usersel,D201:R201=inp_used_nonvessel1,AB201:AV201=inp_used_nonvessel2,IF(B201=1,inp_used_pressure=inp_autosize_pressure,inp_used_gravity=inp_autosize_gravity))</f>
        <v>0</v>
      </c>
      <c r="BA201" s="523" t="b">
        <f t="array" ref="BA201">AND(D201:AV201=inp_used,A201=inp_used_usersel)</f>
        <v>0</v>
      </c>
      <c r="BB201" s="523" t="b">
        <f t="shared" ref="BB201:BC208" si="22">CHOOSE(design_type,AX201,AX209)</f>
        <v>0</v>
      </c>
      <c r="BC201" s="523" t="b">
        <f t="shared" si="22"/>
        <v>0</v>
      </c>
    </row>
    <row r="202" spans="1:55" s="523" customFormat="1">
      <c r="A202" s="523">
        <v>13</v>
      </c>
      <c r="B202" s="523">
        <v>1</v>
      </c>
      <c r="C202" s="523">
        <v>2</v>
      </c>
      <c r="D202" s="557">
        <v>0.124</v>
      </c>
      <c r="E202" s="523" t="s">
        <v>188</v>
      </c>
      <c r="F202" s="414">
        <v>3.5000000000000003E-2</v>
      </c>
      <c r="G202" s="523" t="s">
        <v>188</v>
      </c>
      <c r="H202" s="557" t="s">
        <v>3139</v>
      </c>
      <c r="I202" s="523" t="s">
        <v>936</v>
      </c>
      <c r="J202" s="414">
        <v>7940</v>
      </c>
      <c r="M202" s="561"/>
      <c r="N202" s="557" t="s">
        <v>194</v>
      </c>
      <c r="O202" s="523">
        <v>7.5</v>
      </c>
      <c r="Q202" s="561"/>
      <c r="R202" s="557">
        <v>1</v>
      </c>
      <c r="S202" s="523" t="s">
        <v>3491</v>
      </c>
      <c r="T202" s="559"/>
      <c r="V202" s="559"/>
      <c r="W202" s="560"/>
      <c r="X202" s="559"/>
      <c r="Y202" s="559"/>
      <c r="Z202" s="559"/>
      <c r="AA202" s="559"/>
      <c r="AB202" s="557">
        <v>168</v>
      </c>
      <c r="AC202" s="414" t="s">
        <v>2060</v>
      </c>
      <c r="AD202" s="438" t="s">
        <v>498</v>
      </c>
      <c r="AE202" s="523" t="s">
        <v>499</v>
      </c>
      <c r="AF202" s="562" t="s">
        <v>500</v>
      </c>
      <c r="AG202" s="557"/>
      <c r="AH202" s="523">
        <v>0</v>
      </c>
      <c r="AI202" s="438"/>
      <c r="AJ202" s="414"/>
      <c r="AK202" s="523" t="s">
        <v>1932</v>
      </c>
      <c r="AQ202" s="557"/>
      <c r="AV202" s="561"/>
      <c r="AW202" s="414" t="str">
        <f t="shared" si="21"/>
        <v>1,2-Dichloroethane, Pressure</v>
      </c>
      <c r="AX202" s="414" t="b">
        <f t="shared" si="19"/>
        <v>0</v>
      </c>
      <c r="AY202" s="523" t="b">
        <f t="array" ref="AY202">AND(D202:G202=inp_used_minimal,A202=inp_used_usersel)</f>
        <v>0</v>
      </c>
      <c r="AZ202" s="523" t="b">
        <f t="array" ref="AZ202">AND(A202=inp_used_usersel,D202:R202=inp_used_nonvessel1,AB202:AV202=inp_used_nonvessel2,IF(B202=1,inp_used_pressure=inp_autosize_pressure,inp_used_gravity=inp_autosize_gravity))</f>
        <v>0</v>
      </c>
      <c r="BA202" s="523" t="b">
        <f t="array" ref="BA202">AND(D202:AV202=inp_used,A202=inp_used_usersel)</f>
        <v>0</v>
      </c>
      <c r="BB202" s="523" t="b">
        <f t="shared" si="22"/>
        <v>0</v>
      </c>
      <c r="BC202" s="523" t="b">
        <f t="shared" si="22"/>
        <v>0</v>
      </c>
    </row>
    <row r="203" spans="1:55" s="523" customFormat="1">
      <c r="A203" s="523">
        <v>13</v>
      </c>
      <c r="B203" s="523">
        <v>1</v>
      </c>
      <c r="C203" s="523">
        <v>3</v>
      </c>
      <c r="D203" s="557">
        <v>0.30499999999999999</v>
      </c>
      <c r="E203" s="523" t="s">
        <v>188</v>
      </c>
      <c r="F203" s="414">
        <v>9.4E-2</v>
      </c>
      <c r="G203" s="523" t="s">
        <v>188</v>
      </c>
      <c r="H203" s="557" t="s">
        <v>3139</v>
      </c>
      <c r="I203" s="523" t="s">
        <v>936</v>
      </c>
      <c r="J203" s="414">
        <v>7940</v>
      </c>
      <c r="M203" s="561"/>
      <c r="N203" s="557" t="s">
        <v>194</v>
      </c>
      <c r="O203" s="523">
        <v>7.5</v>
      </c>
      <c r="Q203" s="561"/>
      <c r="R203" s="557">
        <v>1</v>
      </c>
      <c r="S203" s="523" t="s">
        <v>3491</v>
      </c>
      <c r="T203" s="559"/>
      <c r="V203" s="559"/>
      <c r="W203" s="560"/>
      <c r="X203" s="559"/>
      <c r="Y203" s="559"/>
      <c r="Z203" s="559"/>
      <c r="AA203" s="559"/>
      <c r="AB203" s="557">
        <v>168</v>
      </c>
      <c r="AC203" s="414" t="s">
        <v>2060</v>
      </c>
      <c r="AD203" s="438" t="s">
        <v>498</v>
      </c>
      <c r="AE203" s="523" t="s">
        <v>499</v>
      </c>
      <c r="AF203" s="562" t="s">
        <v>500</v>
      </c>
      <c r="AG203" s="557"/>
      <c r="AH203" s="523">
        <v>0</v>
      </c>
      <c r="AI203" s="438"/>
      <c r="AJ203" s="414"/>
      <c r="AK203" s="523" t="s">
        <v>1932</v>
      </c>
      <c r="AQ203" s="557"/>
      <c r="AV203" s="561"/>
      <c r="AW203" s="414" t="str">
        <f t="shared" si="21"/>
        <v>1,2-Dichloroethane, Pressure</v>
      </c>
      <c r="AX203" s="414" t="b">
        <f t="shared" si="19"/>
        <v>0</v>
      </c>
      <c r="AY203" s="523" t="b">
        <f t="array" ref="AY203">AND(D203:G203=inp_used_minimal,A203=inp_used_usersel)</f>
        <v>0</v>
      </c>
      <c r="AZ203" s="523" t="b">
        <f t="array" ref="AZ203">AND(A203=inp_used_usersel,D203:R203=inp_used_nonvessel1,AB203:AV203=inp_used_nonvessel2,IF(B203=1,inp_used_pressure=inp_autosize_pressure,inp_used_gravity=inp_autosize_gravity))</f>
        <v>0</v>
      </c>
      <c r="BA203" s="523" t="b">
        <f t="array" ref="BA203">AND(D203:AV203=inp_used,A203=inp_used_usersel)</f>
        <v>0</v>
      </c>
      <c r="BB203" s="523" t="b">
        <f t="shared" si="22"/>
        <v>0</v>
      </c>
      <c r="BC203" s="523" t="b">
        <f t="shared" si="22"/>
        <v>0</v>
      </c>
    </row>
    <row r="204" spans="1:55" s="523" customFormat="1">
      <c r="A204" s="523">
        <v>13</v>
      </c>
      <c r="B204" s="523">
        <v>1</v>
      </c>
      <c r="C204" s="523">
        <v>4</v>
      </c>
      <c r="D204" s="557">
        <v>0.74</v>
      </c>
      <c r="E204" s="523" t="s">
        <v>188</v>
      </c>
      <c r="F204" s="414">
        <v>0.251</v>
      </c>
      <c r="G204" s="523" t="s">
        <v>188</v>
      </c>
      <c r="H204" s="557" t="s">
        <v>3139</v>
      </c>
      <c r="I204" s="523" t="s">
        <v>936</v>
      </c>
      <c r="J204" s="414">
        <v>7940</v>
      </c>
      <c r="M204" s="561"/>
      <c r="N204" s="557" t="s">
        <v>194</v>
      </c>
      <c r="O204" s="523">
        <v>7.5</v>
      </c>
      <c r="Q204" s="561"/>
      <c r="R204" s="557">
        <v>1</v>
      </c>
      <c r="S204" s="523" t="s">
        <v>3491</v>
      </c>
      <c r="T204" s="559"/>
      <c r="V204" s="559"/>
      <c r="W204" s="560"/>
      <c r="X204" s="559"/>
      <c r="Y204" s="559"/>
      <c r="Z204" s="559"/>
      <c r="AA204" s="559"/>
      <c r="AB204" s="557">
        <v>168</v>
      </c>
      <c r="AC204" s="414" t="s">
        <v>2060</v>
      </c>
      <c r="AD204" s="438" t="s">
        <v>498</v>
      </c>
      <c r="AE204" s="523" t="s">
        <v>499</v>
      </c>
      <c r="AF204" s="562" t="s">
        <v>500</v>
      </c>
      <c r="AG204" s="557"/>
      <c r="AH204" s="523">
        <v>0</v>
      </c>
      <c r="AI204" s="438"/>
      <c r="AJ204" s="414"/>
      <c r="AK204" s="523" t="s">
        <v>1932</v>
      </c>
      <c r="AQ204" s="557"/>
      <c r="AV204" s="561"/>
      <c r="AW204" s="414" t="str">
        <f t="shared" si="21"/>
        <v>1,2-Dichloroethane, Pressure</v>
      </c>
      <c r="AX204" s="414" t="b">
        <f t="shared" si="19"/>
        <v>0</v>
      </c>
      <c r="AY204" s="523" t="b">
        <f t="array" ref="AY204">AND(D204:G204=inp_used_minimal,A204=inp_used_usersel)</f>
        <v>0</v>
      </c>
      <c r="AZ204" s="523" t="b">
        <f t="array" ref="AZ204">AND(A204=inp_used_usersel,D204:R204=inp_used_nonvessel1,AB204:AV204=inp_used_nonvessel2,IF(B204=1,inp_used_pressure=inp_autosize_pressure,inp_used_gravity=inp_autosize_gravity))</f>
        <v>0</v>
      </c>
      <c r="BA204" s="523" t="b">
        <f t="array" ref="BA204">AND(D204:AV204=inp_used,A204=inp_used_usersel)</f>
        <v>0</v>
      </c>
      <c r="BB204" s="523" t="b">
        <f t="shared" si="22"/>
        <v>0</v>
      </c>
      <c r="BC204" s="523" t="b">
        <f t="shared" si="22"/>
        <v>0</v>
      </c>
    </row>
    <row r="205" spans="1:55" s="523" customFormat="1">
      <c r="A205" s="523">
        <v>13</v>
      </c>
      <c r="B205" s="523">
        <v>1</v>
      </c>
      <c r="C205" s="414">
        <v>5</v>
      </c>
      <c r="D205" s="529">
        <v>2.1520000000000001</v>
      </c>
      <c r="E205" s="523" t="s">
        <v>188</v>
      </c>
      <c r="F205" s="414">
        <v>0.81899999999999995</v>
      </c>
      <c r="G205" s="523" t="s">
        <v>188</v>
      </c>
      <c r="H205" s="557" t="s">
        <v>3139</v>
      </c>
      <c r="I205" s="523" t="s">
        <v>936</v>
      </c>
      <c r="J205" s="414">
        <v>7940</v>
      </c>
      <c r="M205" s="561"/>
      <c r="N205" s="557" t="s">
        <v>194</v>
      </c>
      <c r="O205" s="523">
        <v>7.5</v>
      </c>
      <c r="Q205" s="561"/>
      <c r="R205" s="557">
        <v>1</v>
      </c>
      <c r="S205" s="523" t="s">
        <v>3491</v>
      </c>
      <c r="T205" s="559"/>
      <c r="V205" s="559"/>
      <c r="W205" s="560"/>
      <c r="X205" s="559"/>
      <c r="Y205" s="559"/>
      <c r="Z205" s="559"/>
      <c r="AA205" s="559"/>
      <c r="AB205" s="557">
        <v>168</v>
      </c>
      <c r="AC205" s="414" t="s">
        <v>2060</v>
      </c>
      <c r="AD205" s="438" t="s">
        <v>498</v>
      </c>
      <c r="AE205" s="523" t="s">
        <v>2615</v>
      </c>
      <c r="AF205" s="562" t="s">
        <v>500</v>
      </c>
      <c r="AG205" s="557"/>
      <c r="AH205" s="523">
        <v>0</v>
      </c>
      <c r="AI205" s="438"/>
      <c r="AJ205" s="414"/>
      <c r="AK205" s="523" t="s">
        <v>1932</v>
      </c>
      <c r="AQ205" s="557"/>
      <c r="AV205" s="561"/>
      <c r="AW205" s="414" t="str">
        <f t="shared" si="21"/>
        <v>1,2-Dichloroethane, Pressure</v>
      </c>
      <c r="AX205" s="414" t="b">
        <f t="shared" si="19"/>
        <v>0</v>
      </c>
      <c r="AY205" s="523" t="b">
        <f t="array" ref="AY205">AND(D205:G205=inp_used_minimal,A205=inp_used_usersel)</f>
        <v>0</v>
      </c>
      <c r="AZ205" s="523" t="b">
        <f t="array" ref="AZ205">AND(A205=inp_used_usersel,D205:R205=inp_used_nonvessel1,AB205:AV205=inp_used_nonvessel2,IF(B205=1,inp_used_pressure=inp_autosize_pressure,inp_used_gravity=inp_autosize_gravity))</f>
        <v>0</v>
      </c>
      <c r="BA205" s="523" t="b">
        <f t="array" ref="BA205">AND(D205:AV205=inp_used,A205=inp_used_usersel)</f>
        <v>0</v>
      </c>
      <c r="BB205" s="523" t="b">
        <f t="shared" si="22"/>
        <v>0</v>
      </c>
      <c r="BC205" s="523" t="b">
        <f t="shared" si="22"/>
        <v>0</v>
      </c>
    </row>
    <row r="206" spans="1:55" s="523" customFormat="1">
      <c r="A206" s="523">
        <v>13</v>
      </c>
      <c r="B206" s="523">
        <v>1</v>
      </c>
      <c r="C206" s="414">
        <v>6</v>
      </c>
      <c r="D206" s="529">
        <v>7.3650000000000002</v>
      </c>
      <c r="E206" s="523" t="s">
        <v>188</v>
      </c>
      <c r="F206" s="414">
        <v>3.2</v>
      </c>
      <c r="G206" s="523" t="s">
        <v>188</v>
      </c>
      <c r="H206" s="557" t="s">
        <v>3139</v>
      </c>
      <c r="I206" s="523" t="s">
        <v>936</v>
      </c>
      <c r="J206" s="414">
        <v>7940</v>
      </c>
      <c r="M206" s="561"/>
      <c r="N206" s="557" t="s">
        <v>194</v>
      </c>
      <c r="O206" s="523">
        <v>7.5</v>
      </c>
      <c r="Q206" s="561"/>
      <c r="R206" s="557">
        <v>1</v>
      </c>
      <c r="S206" s="523" t="s">
        <v>3491</v>
      </c>
      <c r="T206" s="559"/>
      <c r="V206" s="559"/>
      <c r="W206" s="560"/>
      <c r="X206" s="559"/>
      <c r="Y206" s="559"/>
      <c r="Z206" s="559"/>
      <c r="AA206" s="559"/>
      <c r="AB206" s="557">
        <v>168</v>
      </c>
      <c r="AC206" s="414" t="s">
        <v>2060</v>
      </c>
      <c r="AD206" s="438" t="s">
        <v>498</v>
      </c>
      <c r="AE206" s="523" t="s">
        <v>2615</v>
      </c>
      <c r="AF206" s="562" t="s">
        <v>500</v>
      </c>
      <c r="AG206" s="557"/>
      <c r="AH206" s="523">
        <v>0</v>
      </c>
      <c r="AI206" s="438"/>
      <c r="AJ206" s="414"/>
      <c r="AK206" s="523" t="s">
        <v>1932</v>
      </c>
      <c r="AQ206" s="557"/>
      <c r="AV206" s="561"/>
      <c r="AW206" s="414" t="str">
        <f t="shared" si="21"/>
        <v>1,2-Dichloroethane, Pressure</v>
      </c>
      <c r="AX206" s="414" t="b">
        <f t="shared" si="19"/>
        <v>0</v>
      </c>
      <c r="AY206" s="523" t="b">
        <f t="array" ref="AY206">AND(D206:G206=inp_used_minimal,A206=inp_used_usersel)</f>
        <v>0</v>
      </c>
      <c r="AZ206" s="523" t="b">
        <f t="array" ref="AZ206">AND(A206=inp_used_usersel,D206:R206=inp_used_nonvessel1,AB206:AV206=inp_used_nonvessel2,IF(B206=1,inp_used_pressure=inp_autosize_pressure,inp_used_gravity=inp_autosize_gravity))</f>
        <v>0</v>
      </c>
      <c r="BA206" s="523" t="b">
        <f t="array" ref="BA206">AND(D206:AV206=inp_used,A206=inp_used_usersel)</f>
        <v>0</v>
      </c>
      <c r="BB206" s="523" t="b">
        <f t="shared" si="22"/>
        <v>0</v>
      </c>
      <c r="BC206" s="523" t="b">
        <f t="shared" si="22"/>
        <v>0</v>
      </c>
    </row>
    <row r="207" spans="1:55" s="523" customFormat="1">
      <c r="A207" s="523">
        <v>13</v>
      </c>
      <c r="B207" s="523">
        <v>1</v>
      </c>
      <c r="C207" s="414">
        <v>7</v>
      </c>
      <c r="D207" s="529">
        <v>22.614000000000001</v>
      </c>
      <c r="E207" s="523" t="s">
        <v>188</v>
      </c>
      <c r="F207" s="414">
        <v>11.066000000000001</v>
      </c>
      <c r="G207" s="523" t="s">
        <v>188</v>
      </c>
      <c r="H207" s="557" t="s">
        <v>3139</v>
      </c>
      <c r="I207" s="523" t="s">
        <v>936</v>
      </c>
      <c r="J207" s="414">
        <v>7940</v>
      </c>
      <c r="M207" s="561"/>
      <c r="N207" s="557" t="s">
        <v>194</v>
      </c>
      <c r="O207" s="523">
        <v>7.5</v>
      </c>
      <c r="Q207" s="561"/>
      <c r="R207" s="557">
        <v>1</v>
      </c>
      <c r="S207" s="523" t="s">
        <v>3491</v>
      </c>
      <c r="T207" s="559"/>
      <c r="V207" s="559"/>
      <c r="W207" s="560"/>
      <c r="X207" s="559"/>
      <c r="Y207" s="559"/>
      <c r="Z207" s="559"/>
      <c r="AA207" s="559"/>
      <c r="AB207" s="557">
        <v>168</v>
      </c>
      <c r="AC207" s="414" t="s">
        <v>2060</v>
      </c>
      <c r="AD207" s="438" t="s">
        <v>498</v>
      </c>
      <c r="AE207" s="523" t="s">
        <v>2615</v>
      </c>
      <c r="AF207" s="562" t="s">
        <v>500</v>
      </c>
      <c r="AG207" s="557"/>
      <c r="AH207" s="523">
        <v>0</v>
      </c>
      <c r="AI207" s="438"/>
      <c r="AJ207" s="414"/>
      <c r="AK207" s="523" t="s">
        <v>1932</v>
      </c>
      <c r="AQ207" s="557"/>
      <c r="AV207" s="561"/>
      <c r="AW207" s="414" t="str">
        <f t="shared" si="21"/>
        <v>1,2-Dichloroethane, Pressure</v>
      </c>
      <c r="AX207" s="414" t="b">
        <f t="shared" si="19"/>
        <v>0</v>
      </c>
      <c r="AY207" s="523" t="b">
        <f t="array" ref="AY207">AND(D207:G207=inp_used_minimal,A207=inp_used_usersel)</f>
        <v>0</v>
      </c>
      <c r="AZ207" s="523" t="b">
        <f t="array" ref="AZ207">AND(A207=inp_used_usersel,D207:R207=inp_used_nonvessel1,AB207:AV207=inp_used_nonvessel2,IF(B207=1,inp_used_pressure=inp_autosize_pressure,inp_used_gravity=inp_autosize_gravity))</f>
        <v>0</v>
      </c>
      <c r="BA207" s="523" t="b">
        <f t="array" ref="BA207">AND(D207:AV207=inp_used,A207=inp_used_usersel)</f>
        <v>0</v>
      </c>
      <c r="BB207" s="523" t="b">
        <f t="shared" si="22"/>
        <v>0</v>
      </c>
      <c r="BC207" s="523" t="b">
        <f t="shared" si="22"/>
        <v>0</v>
      </c>
    </row>
    <row r="208" spans="1:55" s="563" customFormat="1">
      <c r="A208" s="563">
        <v>13</v>
      </c>
      <c r="B208" s="563">
        <v>1</v>
      </c>
      <c r="C208" s="564">
        <v>8</v>
      </c>
      <c r="D208" s="918">
        <v>75.072000000000003</v>
      </c>
      <c r="E208" s="563" t="s">
        <v>188</v>
      </c>
      <c r="F208" s="564">
        <v>37.536000000000001</v>
      </c>
      <c r="G208" s="563" t="s">
        <v>188</v>
      </c>
      <c r="H208" s="919" t="s">
        <v>3139</v>
      </c>
      <c r="I208" s="563" t="s">
        <v>936</v>
      </c>
      <c r="J208" s="564">
        <v>7940</v>
      </c>
      <c r="M208" s="565"/>
      <c r="N208" s="919" t="s">
        <v>194</v>
      </c>
      <c r="O208" s="563">
        <v>7.5</v>
      </c>
      <c r="Q208" s="565"/>
      <c r="R208" s="919">
        <v>1</v>
      </c>
      <c r="S208" s="563" t="s">
        <v>3491</v>
      </c>
      <c r="T208" s="566"/>
      <c r="V208" s="566"/>
      <c r="W208" s="567"/>
      <c r="X208" s="566"/>
      <c r="Y208" s="566"/>
      <c r="Z208" s="566"/>
      <c r="AA208" s="567"/>
      <c r="AB208" s="919">
        <v>168</v>
      </c>
      <c r="AC208" s="564" t="s">
        <v>2060</v>
      </c>
      <c r="AD208" s="568" t="s">
        <v>498</v>
      </c>
      <c r="AE208" s="563" t="s">
        <v>2615</v>
      </c>
      <c r="AF208" s="554" t="s">
        <v>500</v>
      </c>
      <c r="AG208" s="919"/>
      <c r="AH208" s="563">
        <v>0</v>
      </c>
      <c r="AI208" s="568"/>
      <c r="AJ208" s="564"/>
      <c r="AK208" s="563" t="s">
        <v>1932</v>
      </c>
      <c r="AP208" s="565"/>
      <c r="AQ208" s="919"/>
      <c r="AV208" s="565"/>
      <c r="AW208" s="564" t="str">
        <f t="shared" si="21"/>
        <v>1,2-Dichloroethane, Pressure</v>
      </c>
      <c r="AX208" s="564" t="b">
        <f t="shared" si="19"/>
        <v>0</v>
      </c>
      <c r="AY208" s="563" t="b">
        <f t="array" ref="AY208">AND(D208:G208=inp_used_minimal,A208=inp_used_usersel)</f>
        <v>0</v>
      </c>
      <c r="AZ208" s="563" t="b">
        <f t="array" ref="AZ208">AND(A208=inp_used_usersel,D208:R208=inp_used_nonvessel1,AB208:AV208=inp_used_nonvessel2,IF(B208=1,inp_used_pressure=inp_autosize_pressure,inp_used_gravity=inp_autosize_gravity))</f>
        <v>0</v>
      </c>
      <c r="BA208" s="563" t="b">
        <f t="array" ref="BA208">AND(D208:AV208=inp_used,A208=inp_used_usersel)</f>
        <v>0</v>
      </c>
      <c r="BB208" s="563" t="b">
        <f t="shared" si="22"/>
        <v>0</v>
      </c>
      <c r="BC208" s="563" t="b">
        <f t="shared" si="22"/>
        <v>0</v>
      </c>
    </row>
    <row r="209" spans="1:55" s="523" customFormat="1">
      <c r="A209" s="523">
        <v>13</v>
      </c>
      <c r="B209" s="523">
        <v>2</v>
      </c>
      <c r="C209" s="523">
        <v>1</v>
      </c>
      <c r="D209" s="917">
        <v>0.03</v>
      </c>
      <c r="E209" s="523" t="s">
        <v>188</v>
      </c>
      <c r="F209" s="414">
        <v>7.0000000000000001E-3</v>
      </c>
      <c r="G209" s="523" t="s">
        <v>188</v>
      </c>
      <c r="H209" s="917" t="s">
        <v>3139</v>
      </c>
      <c r="I209" s="523" t="s">
        <v>936</v>
      </c>
      <c r="J209" s="414">
        <v>7940</v>
      </c>
      <c r="M209" s="561"/>
      <c r="N209" s="917" t="s">
        <v>194</v>
      </c>
      <c r="O209" s="523">
        <v>7.5</v>
      </c>
      <c r="Q209" s="561"/>
      <c r="R209" s="917"/>
      <c r="T209" s="559"/>
      <c r="U209" s="559"/>
      <c r="V209" s="559"/>
      <c r="W209" s="560"/>
      <c r="X209" s="559" t="s">
        <v>3491</v>
      </c>
      <c r="Y209" s="414"/>
      <c r="Z209" s="414"/>
      <c r="AA209" s="414"/>
      <c r="AB209" s="917">
        <v>168</v>
      </c>
      <c r="AC209" s="414" t="s">
        <v>2060</v>
      </c>
      <c r="AD209" s="414" t="s">
        <v>2875</v>
      </c>
      <c r="AE209" s="523" t="s">
        <v>499</v>
      </c>
      <c r="AF209" s="414" t="s">
        <v>500</v>
      </c>
      <c r="AG209" s="917"/>
      <c r="AH209" s="523">
        <v>0</v>
      </c>
      <c r="AI209" s="438"/>
      <c r="AJ209" s="414"/>
      <c r="AK209" s="523" t="s">
        <v>1932</v>
      </c>
      <c r="AQ209" s="917"/>
      <c r="AV209" s="561"/>
      <c r="AW209" s="414" t="str">
        <f t="shared" si="21"/>
        <v>1,2-Dichloroethane, Gravity</v>
      </c>
      <c r="AX209" s="414" t="b">
        <f t="shared" si="19"/>
        <v>0</v>
      </c>
      <c r="AY209" s="523" t="b">
        <f t="array" ref="AY209">AND(D209:G209=inp_used_minimal,A209=inp_used_usersel)</f>
        <v>0</v>
      </c>
      <c r="AZ209" s="523" t="b">
        <f t="array" ref="AZ209">AND(A209=inp_used_usersel,D209:R209=inp_used_nonvessel1,AB209:AV209=inp_used_nonvessel2,IF(B209=1,inp_used_pressure=inp_autosize_pressure,inp_used_gravity=inp_autosize_gravity))</f>
        <v>0</v>
      </c>
      <c r="BA209" s="523" t="b">
        <f t="array" ref="BA209">AND(D209:AV209=inp_used,A209=inp_used_usersel)</f>
        <v>0</v>
      </c>
    </row>
    <row r="210" spans="1:55" s="523" customFormat="1">
      <c r="A210" s="523">
        <v>13</v>
      </c>
      <c r="B210" s="523">
        <v>2</v>
      </c>
      <c r="C210" s="523">
        <v>2</v>
      </c>
      <c r="D210" s="557">
        <v>0.124</v>
      </c>
      <c r="E210" s="523" t="s">
        <v>188</v>
      </c>
      <c r="F210" s="414">
        <v>3.5000000000000003E-2</v>
      </c>
      <c r="G210" s="523" t="s">
        <v>188</v>
      </c>
      <c r="H210" s="557" t="s">
        <v>3139</v>
      </c>
      <c r="I210" s="523" t="s">
        <v>936</v>
      </c>
      <c r="J210" s="414">
        <v>7940</v>
      </c>
      <c r="M210" s="561"/>
      <c r="N210" s="557" t="s">
        <v>194</v>
      </c>
      <c r="O210" s="523">
        <v>7.5</v>
      </c>
      <c r="Q210" s="561"/>
      <c r="R210" s="557"/>
      <c r="T210" s="559"/>
      <c r="U210" s="559"/>
      <c r="V210" s="559"/>
      <c r="W210" s="560"/>
      <c r="X210" s="559" t="s">
        <v>3491</v>
      </c>
      <c r="Y210" s="414"/>
      <c r="Z210" s="414"/>
      <c r="AA210" s="414"/>
      <c r="AB210" s="557">
        <v>168</v>
      </c>
      <c r="AC210" s="414" t="s">
        <v>2060</v>
      </c>
      <c r="AD210" s="414" t="s">
        <v>2875</v>
      </c>
      <c r="AE210" s="523" t="s">
        <v>499</v>
      </c>
      <c r="AF210" s="414" t="s">
        <v>500</v>
      </c>
      <c r="AG210" s="557"/>
      <c r="AH210" s="523">
        <v>0</v>
      </c>
      <c r="AI210" s="438"/>
      <c r="AJ210" s="414"/>
      <c r="AK210" s="523" t="s">
        <v>1932</v>
      </c>
      <c r="AQ210" s="557"/>
      <c r="AV210" s="561"/>
      <c r="AW210" s="414" t="str">
        <f t="shared" si="21"/>
        <v>1,2-Dichloroethane, Gravity</v>
      </c>
      <c r="AX210" s="414" t="b">
        <f t="shared" si="19"/>
        <v>0</v>
      </c>
      <c r="AY210" s="523" t="b">
        <f t="array" ref="AY210">AND(D210:G210=inp_used_minimal,A210=inp_used_usersel)</f>
        <v>0</v>
      </c>
      <c r="AZ210" s="523" t="b">
        <f t="array" ref="AZ210">AND(A210=inp_used_usersel,D210:R210=inp_used_nonvessel1,AB210:AV210=inp_used_nonvessel2,IF(B210=1,inp_used_pressure=inp_autosize_pressure,inp_used_gravity=inp_autosize_gravity))</f>
        <v>0</v>
      </c>
      <c r="BA210" s="523" t="b">
        <f t="array" ref="BA210">AND(D210:AV210=inp_used,A210=inp_used_usersel)</f>
        <v>0</v>
      </c>
    </row>
    <row r="211" spans="1:55" s="523" customFormat="1">
      <c r="A211" s="523">
        <v>13</v>
      </c>
      <c r="B211" s="523">
        <v>2</v>
      </c>
      <c r="C211" s="523">
        <v>3</v>
      </c>
      <c r="D211" s="557">
        <v>0.30499999999999999</v>
      </c>
      <c r="E211" s="523" t="s">
        <v>188</v>
      </c>
      <c r="F211" s="414">
        <v>9.4E-2</v>
      </c>
      <c r="G211" s="523" t="s">
        <v>188</v>
      </c>
      <c r="H211" s="557" t="s">
        <v>3139</v>
      </c>
      <c r="I211" s="523" t="s">
        <v>936</v>
      </c>
      <c r="J211" s="414">
        <v>7940</v>
      </c>
      <c r="M211" s="561"/>
      <c r="N211" s="557" t="s">
        <v>194</v>
      </c>
      <c r="O211" s="523">
        <v>7.5</v>
      </c>
      <c r="Q211" s="561"/>
      <c r="R211" s="557"/>
      <c r="T211" s="559"/>
      <c r="U211" s="559"/>
      <c r="V211" s="559"/>
      <c r="W211" s="560"/>
      <c r="X211" s="559" t="s">
        <v>3491</v>
      </c>
      <c r="Y211" s="414"/>
      <c r="Z211" s="414"/>
      <c r="AA211" s="414"/>
      <c r="AB211" s="557">
        <v>168</v>
      </c>
      <c r="AC211" s="414" t="s">
        <v>2060</v>
      </c>
      <c r="AD211" s="414" t="s">
        <v>2875</v>
      </c>
      <c r="AE211" s="523" t="s">
        <v>499</v>
      </c>
      <c r="AF211" s="414" t="s">
        <v>500</v>
      </c>
      <c r="AG211" s="557"/>
      <c r="AH211" s="523">
        <v>0</v>
      </c>
      <c r="AI211" s="438"/>
      <c r="AJ211" s="414"/>
      <c r="AK211" s="523" t="s">
        <v>1932</v>
      </c>
      <c r="AQ211" s="557"/>
      <c r="AV211" s="561"/>
      <c r="AW211" s="414" t="str">
        <f t="shared" si="21"/>
        <v>1,2-Dichloroethane, Gravity</v>
      </c>
      <c r="AX211" s="414" t="b">
        <f t="shared" si="19"/>
        <v>0</v>
      </c>
      <c r="AY211" s="523" t="b">
        <f t="array" ref="AY211">AND(D211:G211=inp_used_minimal,A211=inp_used_usersel)</f>
        <v>0</v>
      </c>
      <c r="AZ211" s="523" t="b">
        <f t="array" ref="AZ211">AND(A211=inp_used_usersel,D211:R211=inp_used_nonvessel1,AB211:AV211=inp_used_nonvessel2,IF(B211=1,inp_used_pressure=inp_autosize_pressure,inp_used_gravity=inp_autosize_gravity))</f>
        <v>0</v>
      </c>
      <c r="BA211" s="523" t="b">
        <f t="array" ref="BA211">AND(D211:AV211=inp_used,A211=inp_used_usersel)</f>
        <v>0</v>
      </c>
    </row>
    <row r="212" spans="1:55" s="523" customFormat="1">
      <c r="A212" s="523">
        <v>13</v>
      </c>
      <c r="B212" s="523">
        <v>2</v>
      </c>
      <c r="C212" s="523">
        <v>4</v>
      </c>
      <c r="D212" s="557">
        <v>0.74</v>
      </c>
      <c r="E212" s="523" t="s">
        <v>188</v>
      </c>
      <c r="F212" s="414">
        <v>0.251</v>
      </c>
      <c r="G212" s="523" t="s">
        <v>188</v>
      </c>
      <c r="H212" s="557" t="s">
        <v>3139</v>
      </c>
      <c r="I212" s="523" t="s">
        <v>936</v>
      </c>
      <c r="J212" s="414">
        <v>7940</v>
      </c>
      <c r="M212" s="561"/>
      <c r="N212" s="557" t="s">
        <v>194</v>
      </c>
      <c r="O212" s="523">
        <v>7.5</v>
      </c>
      <c r="Q212" s="561"/>
      <c r="R212" s="557"/>
      <c r="T212" s="559"/>
      <c r="U212" s="559"/>
      <c r="V212" s="559"/>
      <c r="W212" s="560"/>
      <c r="X212" s="559" t="s">
        <v>3491</v>
      </c>
      <c r="Y212" s="414"/>
      <c r="Z212" s="414"/>
      <c r="AA212" s="414"/>
      <c r="AB212" s="557">
        <v>168</v>
      </c>
      <c r="AC212" s="414" t="s">
        <v>2060</v>
      </c>
      <c r="AD212" s="414" t="s">
        <v>2875</v>
      </c>
      <c r="AE212" s="523" t="s">
        <v>499</v>
      </c>
      <c r="AF212" s="414" t="s">
        <v>500</v>
      </c>
      <c r="AG212" s="557"/>
      <c r="AH212" s="523">
        <v>0</v>
      </c>
      <c r="AI212" s="438"/>
      <c r="AJ212" s="414"/>
      <c r="AK212" s="523" t="s">
        <v>1932</v>
      </c>
      <c r="AQ212" s="557"/>
      <c r="AV212" s="561"/>
      <c r="AW212" s="414" t="str">
        <f t="shared" si="21"/>
        <v>1,2-Dichloroethane, Gravity</v>
      </c>
      <c r="AX212" s="414" t="b">
        <f t="shared" si="19"/>
        <v>0</v>
      </c>
      <c r="AY212" s="523" t="b">
        <f t="array" ref="AY212">AND(D212:G212=inp_used_minimal,A212=inp_used_usersel)</f>
        <v>0</v>
      </c>
      <c r="AZ212" s="523" t="b">
        <f t="array" ref="AZ212">AND(A212=inp_used_usersel,D212:R212=inp_used_nonvessel1,AB212:AV212=inp_used_nonvessel2,IF(B212=1,inp_used_pressure=inp_autosize_pressure,inp_used_gravity=inp_autosize_gravity))</f>
        <v>0</v>
      </c>
      <c r="BA212" s="523" t="b">
        <f t="array" ref="BA212">AND(D212:AV212=inp_used,A212=inp_used_usersel)</f>
        <v>0</v>
      </c>
    </row>
    <row r="213" spans="1:55" s="523" customFormat="1">
      <c r="A213" s="523">
        <v>13</v>
      </c>
      <c r="B213" s="523">
        <v>2</v>
      </c>
      <c r="C213" s="414">
        <v>5</v>
      </c>
      <c r="D213" s="529">
        <v>2.1520000000000001</v>
      </c>
      <c r="E213" s="523" t="s">
        <v>188</v>
      </c>
      <c r="F213" s="414">
        <v>0.81899999999999995</v>
      </c>
      <c r="G213" s="523" t="s">
        <v>188</v>
      </c>
      <c r="H213" s="557" t="s">
        <v>3139</v>
      </c>
      <c r="I213" s="523" t="s">
        <v>936</v>
      </c>
      <c r="J213" s="414">
        <v>7940</v>
      </c>
      <c r="M213" s="561"/>
      <c r="N213" s="557" t="s">
        <v>194</v>
      </c>
      <c r="O213" s="523">
        <v>7.5</v>
      </c>
      <c r="Q213" s="561"/>
      <c r="R213" s="557"/>
      <c r="T213" s="559"/>
      <c r="U213" s="559"/>
      <c r="V213" s="559"/>
      <c r="W213" s="560"/>
      <c r="X213" s="559" t="s">
        <v>3491</v>
      </c>
      <c r="Y213" s="414"/>
      <c r="Z213" s="414"/>
      <c r="AA213" s="414"/>
      <c r="AB213" s="557">
        <v>168</v>
      </c>
      <c r="AC213" s="414" t="s">
        <v>2060</v>
      </c>
      <c r="AD213" s="414" t="s">
        <v>2875</v>
      </c>
      <c r="AE213" s="523" t="s">
        <v>2615</v>
      </c>
      <c r="AF213" s="414" t="s">
        <v>500</v>
      </c>
      <c r="AG213" s="557"/>
      <c r="AH213" s="523">
        <v>0</v>
      </c>
      <c r="AI213" s="438"/>
      <c r="AJ213" s="414"/>
      <c r="AK213" s="523" t="s">
        <v>1932</v>
      </c>
      <c r="AQ213" s="557"/>
      <c r="AV213" s="561"/>
      <c r="AW213" s="414" t="str">
        <f t="shared" si="21"/>
        <v>1,2-Dichloroethane, Gravity</v>
      </c>
      <c r="AX213" s="414" t="b">
        <f t="shared" si="19"/>
        <v>0</v>
      </c>
      <c r="AY213" s="523" t="b">
        <f t="array" ref="AY213">AND(D213:G213=inp_used_minimal,A213=inp_used_usersel)</f>
        <v>0</v>
      </c>
      <c r="AZ213" s="523" t="b">
        <f t="array" ref="AZ213">AND(A213=inp_used_usersel,D213:R213=inp_used_nonvessel1,AB213:AV213=inp_used_nonvessel2,IF(B213=1,inp_used_pressure=inp_autosize_pressure,inp_used_gravity=inp_autosize_gravity))</f>
        <v>0</v>
      </c>
      <c r="BA213" s="523" t="b">
        <f t="array" ref="BA213">AND(D213:AV213=inp_used,A213=inp_used_usersel)</f>
        <v>0</v>
      </c>
    </row>
    <row r="214" spans="1:55" s="523" customFormat="1">
      <c r="A214" s="523">
        <v>13</v>
      </c>
      <c r="B214" s="523">
        <v>2</v>
      </c>
      <c r="C214" s="414">
        <v>6</v>
      </c>
      <c r="D214" s="529">
        <v>7.3650000000000002</v>
      </c>
      <c r="E214" s="523" t="s">
        <v>188</v>
      </c>
      <c r="F214" s="414">
        <v>3.2</v>
      </c>
      <c r="G214" s="523" t="s">
        <v>188</v>
      </c>
      <c r="H214" s="557" t="s">
        <v>3139</v>
      </c>
      <c r="I214" s="523" t="s">
        <v>936</v>
      </c>
      <c r="J214" s="414">
        <v>7940</v>
      </c>
      <c r="M214" s="561"/>
      <c r="N214" s="557" t="s">
        <v>194</v>
      </c>
      <c r="O214" s="523">
        <v>7.5</v>
      </c>
      <c r="Q214" s="561"/>
      <c r="R214" s="557"/>
      <c r="T214" s="559"/>
      <c r="U214" s="559"/>
      <c r="V214" s="559"/>
      <c r="W214" s="560"/>
      <c r="X214" s="559" t="s">
        <v>3491</v>
      </c>
      <c r="Y214" s="414"/>
      <c r="Z214" s="414"/>
      <c r="AA214" s="414"/>
      <c r="AB214" s="557">
        <v>168</v>
      </c>
      <c r="AC214" s="414" t="s">
        <v>2060</v>
      </c>
      <c r="AD214" s="414" t="s">
        <v>2875</v>
      </c>
      <c r="AE214" s="523" t="s">
        <v>2615</v>
      </c>
      <c r="AF214" s="414" t="s">
        <v>500</v>
      </c>
      <c r="AG214" s="557"/>
      <c r="AH214" s="523">
        <v>0</v>
      </c>
      <c r="AI214" s="438"/>
      <c r="AJ214" s="414"/>
      <c r="AK214" s="523" t="s">
        <v>1932</v>
      </c>
      <c r="AQ214" s="557"/>
      <c r="AV214" s="561"/>
      <c r="AW214" s="414" t="str">
        <f t="shared" si="21"/>
        <v>1,2-Dichloroethane, Gravity</v>
      </c>
      <c r="AX214" s="414" t="b">
        <f t="shared" si="19"/>
        <v>0</v>
      </c>
      <c r="AY214" s="523" t="b">
        <f t="array" ref="AY214">AND(D214:G214=inp_used_minimal,A214=inp_used_usersel)</f>
        <v>0</v>
      </c>
      <c r="AZ214" s="523" t="b">
        <f t="array" ref="AZ214">AND(A214=inp_used_usersel,D214:R214=inp_used_nonvessel1,AB214:AV214=inp_used_nonvessel2,IF(B214=1,inp_used_pressure=inp_autosize_pressure,inp_used_gravity=inp_autosize_gravity))</f>
        <v>0</v>
      </c>
      <c r="BA214" s="523" t="b">
        <f t="array" ref="BA214">AND(D214:AV214=inp_used,A214=inp_used_usersel)</f>
        <v>0</v>
      </c>
    </row>
    <row r="215" spans="1:55" s="523" customFormat="1">
      <c r="A215" s="523">
        <v>13</v>
      </c>
      <c r="B215" s="523">
        <v>2</v>
      </c>
      <c r="C215" s="414">
        <v>7</v>
      </c>
      <c r="D215" s="529">
        <v>22.614000000000001</v>
      </c>
      <c r="E215" s="523" t="s">
        <v>188</v>
      </c>
      <c r="F215" s="414">
        <v>11.066000000000001</v>
      </c>
      <c r="G215" s="523" t="s">
        <v>188</v>
      </c>
      <c r="H215" s="557" t="s">
        <v>3139</v>
      </c>
      <c r="I215" s="523" t="s">
        <v>936</v>
      </c>
      <c r="J215" s="414">
        <v>7940</v>
      </c>
      <c r="M215" s="561"/>
      <c r="N215" s="557" t="s">
        <v>194</v>
      </c>
      <c r="O215" s="523">
        <v>7.5</v>
      </c>
      <c r="Q215" s="561"/>
      <c r="R215" s="557"/>
      <c r="T215" s="559"/>
      <c r="U215" s="559"/>
      <c r="V215" s="559"/>
      <c r="W215" s="560"/>
      <c r="X215" s="559" t="s">
        <v>3491</v>
      </c>
      <c r="Y215" s="414"/>
      <c r="Z215" s="414"/>
      <c r="AA215" s="414"/>
      <c r="AB215" s="557">
        <v>168</v>
      </c>
      <c r="AC215" s="414" t="s">
        <v>2060</v>
      </c>
      <c r="AD215" s="414" t="s">
        <v>2875</v>
      </c>
      <c r="AE215" s="523" t="s">
        <v>2615</v>
      </c>
      <c r="AF215" s="414" t="s">
        <v>500</v>
      </c>
      <c r="AG215" s="557"/>
      <c r="AH215" s="523">
        <v>0</v>
      </c>
      <c r="AI215" s="438"/>
      <c r="AJ215" s="414"/>
      <c r="AK215" s="523" t="s">
        <v>1932</v>
      </c>
      <c r="AQ215" s="557"/>
      <c r="AV215" s="561"/>
      <c r="AW215" s="414" t="str">
        <f t="shared" si="21"/>
        <v>1,2-Dichloroethane, Gravity</v>
      </c>
      <c r="AX215" s="414" t="b">
        <f t="shared" si="19"/>
        <v>0</v>
      </c>
      <c r="AY215" s="523" t="b">
        <f t="array" ref="AY215">AND(D215:G215=inp_used_minimal,A215=inp_used_usersel)</f>
        <v>0</v>
      </c>
      <c r="AZ215" s="523" t="b">
        <f t="array" ref="AZ215">AND(A215=inp_used_usersel,D215:R215=inp_used_nonvessel1,AB215:AV215=inp_used_nonvessel2,IF(B215=1,inp_used_pressure=inp_autosize_pressure,inp_used_gravity=inp_autosize_gravity))</f>
        <v>0</v>
      </c>
      <c r="BA215" s="523" t="b">
        <f t="array" ref="BA215">AND(D215:AV215=inp_used,A215=inp_used_usersel)</f>
        <v>0</v>
      </c>
    </row>
    <row r="216" spans="1:55" s="563" customFormat="1">
      <c r="A216" s="563">
        <v>13</v>
      </c>
      <c r="B216" s="563">
        <v>2</v>
      </c>
      <c r="C216" s="564">
        <v>8</v>
      </c>
      <c r="D216" s="918">
        <v>75.072000000000003</v>
      </c>
      <c r="E216" s="563" t="s">
        <v>188</v>
      </c>
      <c r="F216" s="564">
        <v>37.536000000000001</v>
      </c>
      <c r="G216" s="563" t="s">
        <v>188</v>
      </c>
      <c r="H216" s="919" t="s">
        <v>3139</v>
      </c>
      <c r="I216" s="563" t="s">
        <v>936</v>
      </c>
      <c r="J216" s="564">
        <v>7940</v>
      </c>
      <c r="M216" s="565"/>
      <c r="N216" s="919" t="s">
        <v>194</v>
      </c>
      <c r="O216" s="563">
        <v>7.5</v>
      </c>
      <c r="Q216" s="565"/>
      <c r="R216" s="919"/>
      <c r="T216" s="566"/>
      <c r="U216" s="566"/>
      <c r="V216" s="566"/>
      <c r="W216" s="567"/>
      <c r="X216" s="566" t="s">
        <v>3491</v>
      </c>
      <c r="Y216" s="564"/>
      <c r="Z216" s="564"/>
      <c r="AA216" s="554"/>
      <c r="AB216" s="919">
        <v>168</v>
      </c>
      <c r="AC216" s="564" t="s">
        <v>2060</v>
      </c>
      <c r="AD216" s="564" t="s">
        <v>2875</v>
      </c>
      <c r="AE216" s="563" t="s">
        <v>2615</v>
      </c>
      <c r="AF216" s="564" t="s">
        <v>500</v>
      </c>
      <c r="AG216" s="919"/>
      <c r="AH216" s="563">
        <v>0</v>
      </c>
      <c r="AI216" s="568"/>
      <c r="AJ216" s="564"/>
      <c r="AK216" s="563" t="s">
        <v>1932</v>
      </c>
      <c r="AP216" s="565"/>
      <c r="AQ216" s="919"/>
      <c r="AV216" s="565"/>
      <c r="AW216" s="564" t="str">
        <f t="shared" si="21"/>
        <v>1,2-Dichloroethane, Gravity</v>
      </c>
      <c r="AX216" s="564" t="b">
        <f t="shared" si="19"/>
        <v>0</v>
      </c>
      <c r="AY216" s="563" t="b">
        <f t="array" ref="AY216">AND(D216:G216=inp_used_minimal,A216=inp_used_usersel)</f>
        <v>0</v>
      </c>
      <c r="AZ216" s="563" t="b">
        <f t="array" ref="AZ216">AND(A216=inp_used_usersel,D216:R216=inp_used_nonvessel1,AB216:AV216=inp_used_nonvessel2,IF(B216=1,inp_used_pressure=inp_autosize_pressure,inp_used_gravity=inp_autosize_gravity))</f>
        <v>0</v>
      </c>
      <c r="BA216" s="563" t="b">
        <f t="array" ref="BA216">AND(D216:AV216=inp_used,A216=inp_used_usersel)</f>
        <v>0</v>
      </c>
    </row>
    <row r="217" spans="1:55" s="523" customFormat="1">
      <c r="A217" s="523">
        <v>14</v>
      </c>
      <c r="B217" s="523">
        <v>1</v>
      </c>
      <c r="C217" s="523">
        <v>1</v>
      </c>
      <c r="D217" s="917">
        <v>0.03</v>
      </c>
      <c r="E217" s="523" t="s">
        <v>188</v>
      </c>
      <c r="F217" s="414">
        <v>7.0000000000000001E-3</v>
      </c>
      <c r="G217" s="523" t="s">
        <v>188</v>
      </c>
      <c r="H217" s="917" t="s">
        <v>3139</v>
      </c>
      <c r="I217" s="523" t="s">
        <v>936</v>
      </c>
      <c r="J217" s="414">
        <v>16900</v>
      </c>
      <c r="M217" s="561"/>
      <c r="N217" s="917" t="s">
        <v>194</v>
      </c>
      <c r="O217" s="523">
        <v>7.5</v>
      </c>
      <c r="Q217" s="561"/>
      <c r="R217" s="917">
        <v>1</v>
      </c>
      <c r="S217" s="523" t="s">
        <v>3491</v>
      </c>
      <c r="T217" s="559"/>
      <c r="V217" s="559"/>
      <c r="W217" s="560"/>
      <c r="X217" s="559"/>
      <c r="Y217" s="559"/>
      <c r="Z217" s="559"/>
      <c r="AA217" s="559"/>
      <c r="AB217" s="917">
        <v>168</v>
      </c>
      <c r="AC217" s="414" t="s">
        <v>2060</v>
      </c>
      <c r="AD217" s="438" t="s">
        <v>497</v>
      </c>
      <c r="AE217" s="523" t="s">
        <v>499</v>
      </c>
      <c r="AF217" s="561"/>
      <c r="AG217" s="917"/>
      <c r="AH217" s="523">
        <v>0</v>
      </c>
      <c r="AI217" s="438"/>
      <c r="AJ217" s="414"/>
      <c r="AK217" s="523" t="s">
        <v>1932</v>
      </c>
      <c r="AQ217" s="917"/>
      <c r="AV217" s="561"/>
      <c r="AW217" s="414" t="str">
        <f t="shared" si="21"/>
        <v>1,3-Butadiene, Pressure</v>
      </c>
      <c r="AX217" s="414" t="b">
        <f t="shared" si="19"/>
        <v>0</v>
      </c>
      <c r="AY217" s="523" t="b">
        <f t="array" ref="AY217">AND(D217:G217=inp_used_minimal,A217=inp_used_usersel)</f>
        <v>0</v>
      </c>
      <c r="AZ217" s="523" t="b">
        <f t="array" ref="AZ217">AND(A217=inp_used_usersel,D217:R217=inp_used_nonvessel1,AB217:AV217=inp_used_nonvessel2,IF(B217=1,inp_used_pressure=inp_autosize_pressure,inp_used_gravity=inp_autosize_gravity))</f>
        <v>0</v>
      </c>
      <c r="BA217" s="523" t="b">
        <f t="array" ref="BA217">AND(D217:AV217=inp_used,A217=inp_used_usersel)</f>
        <v>0</v>
      </c>
      <c r="BB217" s="523" t="b">
        <f t="shared" ref="BB217:BC224" si="23">CHOOSE(design_type,AX217,AX225)</f>
        <v>0</v>
      </c>
      <c r="BC217" s="523" t="b">
        <f t="shared" si="23"/>
        <v>0</v>
      </c>
    </row>
    <row r="218" spans="1:55" s="523" customFormat="1">
      <c r="A218" s="523">
        <v>14</v>
      </c>
      <c r="B218" s="523">
        <v>1</v>
      </c>
      <c r="C218" s="523">
        <v>2</v>
      </c>
      <c r="D218" s="557">
        <v>0.124</v>
      </c>
      <c r="E218" s="523" t="s">
        <v>188</v>
      </c>
      <c r="F218" s="414">
        <v>3.5000000000000003E-2</v>
      </c>
      <c r="G218" s="523" t="s">
        <v>188</v>
      </c>
      <c r="H218" s="557" t="s">
        <v>3139</v>
      </c>
      <c r="I218" s="523" t="s">
        <v>936</v>
      </c>
      <c r="J218" s="414">
        <v>16900</v>
      </c>
      <c r="M218" s="561"/>
      <c r="N218" s="557" t="s">
        <v>194</v>
      </c>
      <c r="O218" s="523">
        <v>7.5</v>
      </c>
      <c r="Q218" s="561"/>
      <c r="R218" s="557">
        <v>1</v>
      </c>
      <c r="S218" s="523" t="s">
        <v>3491</v>
      </c>
      <c r="T218" s="559"/>
      <c r="V218" s="559"/>
      <c r="W218" s="560"/>
      <c r="X218" s="559"/>
      <c r="Y218" s="559"/>
      <c r="Z218" s="559"/>
      <c r="AA218" s="559"/>
      <c r="AB218" s="557">
        <v>168</v>
      </c>
      <c r="AC218" s="414" t="s">
        <v>2060</v>
      </c>
      <c r="AD218" s="438" t="s">
        <v>498</v>
      </c>
      <c r="AE218" s="523" t="s">
        <v>499</v>
      </c>
      <c r="AF218" s="562" t="s">
        <v>500</v>
      </c>
      <c r="AG218" s="557"/>
      <c r="AH218" s="523">
        <v>0</v>
      </c>
      <c r="AI218" s="438"/>
      <c r="AJ218" s="414"/>
      <c r="AK218" s="523" t="s">
        <v>1932</v>
      </c>
      <c r="AQ218" s="557"/>
      <c r="AV218" s="561"/>
      <c r="AW218" s="414" t="str">
        <f t="shared" si="21"/>
        <v>1,3-Butadiene, Pressure</v>
      </c>
      <c r="AX218" s="414" t="b">
        <f t="shared" si="19"/>
        <v>0</v>
      </c>
      <c r="AY218" s="523" t="b">
        <f t="array" ref="AY218">AND(D218:G218=inp_used_minimal,A218=inp_used_usersel)</f>
        <v>0</v>
      </c>
      <c r="AZ218" s="523" t="b">
        <f t="array" ref="AZ218">AND(A218=inp_used_usersel,D218:R218=inp_used_nonvessel1,AB218:AV218=inp_used_nonvessel2,IF(B218=1,inp_used_pressure=inp_autosize_pressure,inp_used_gravity=inp_autosize_gravity))</f>
        <v>0</v>
      </c>
      <c r="BA218" s="523" t="b">
        <f t="array" ref="BA218">AND(D218:AV218=inp_used,A218=inp_used_usersel)</f>
        <v>0</v>
      </c>
      <c r="BB218" s="523" t="b">
        <f t="shared" si="23"/>
        <v>0</v>
      </c>
      <c r="BC218" s="523" t="b">
        <f t="shared" si="23"/>
        <v>0</v>
      </c>
    </row>
    <row r="219" spans="1:55" s="523" customFormat="1">
      <c r="A219" s="523">
        <v>14</v>
      </c>
      <c r="B219" s="523">
        <v>1</v>
      </c>
      <c r="C219" s="523">
        <v>3</v>
      </c>
      <c r="D219" s="557">
        <v>0.30499999999999999</v>
      </c>
      <c r="E219" s="523" t="s">
        <v>188</v>
      </c>
      <c r="F219" s="414">
        <v>9.4E-2</v>
      </c>
      <c r="G219" s="523" t="s">
        <v>188</v>
      </c>
      <c r="H219" s="557" t="s">
        <v>3139</v>
      </c>
      <c r="I219" s="523" t="s">
        <v>936</v>
      </c>
      <c r="J219" s="414">
        <v>16900</v>
      </c>
      <c r="M219" s="561"/>
      <c r="N219" s="557" t="s">
        <v>194</v>
      </c>
      <c r="O219" s="523">
        <v>7.5</v>
      </c>
      <c r="Q219" s="561"/>
      <c r="R219" s="557">
        <v>1</v>
      </c>
      <c r="S219" s="523" t="s">
        <v>3491</v>
      </c>
      <c r="T219" s="559"/>
      <c r="V219" s="559"/>
      <c r="W219" s="560"/>
      <c r="X219" s="559"/>
      <c r="Y219" s="559"/>
      <c r="Z219" s="559"/>
      <c r="AA219" s="559"/>
      <c r="AB219" s="557">
        <v>168</v>
      </c>
      <c r="AC219" s="414" t="s">
        <v>2060</v>
      </c>
      <c r="AD219" s="438" t="s">
        <v>498</v>
      </c>
      <c r="AE219" s="523" t="s">
        <v>499</v>
      </c>
      <c r="AF219" s="562" t="s">
        <v>500</v>
      </c>
      <c r="AG219" s="557"/>
      <c r="AH219" s="523">
        <v>0</v>
      </c>
      <c r="AI219" s="438"/>
      <c r="AJ219" s="414"/>
      <c r="AK219" s="523" t="s">
        <v>1932</v>
      </c>
      <c r="AQ219" s="557"/>
      <c r="AV219" s="561"/>
      <c r="AW219" s="414" t="str">
        <f t="shared" si="21"/>
        <v>1,3-Butadiene, Pressure</v>
      </c>
      <c r="AX219" s="414" t="b">
        <f t="shared" si="19"/>
        <v>0</v>
      </c>
      <c r="AY219" s="523" t="b">
        <f t="array" ref="AY219">AND(D219:G219=inp_used_minimal,A219=inp_used_usersel)</f>
        <v>0</v>
      </c>
      <c r="AZ219" s="523" t="b">
        <f t="array" ref="AZ219">AND(A219=inp_used_usersel,D219:R219=inp_used_nonvessel1,AB219:AV219=inp_used_nonvessel2,IF(B219=1,inp_used_pressure=inp_autosize_pressure,inp_used_gravity=inp_autosize_gravity))</f>
        <v>0</v>
      </c>
      <c r="BA219" s="523" t="b">
        <f t="array" ref="BA219">AND(D219:AV219=inp_used,A219=inp_used_usersel)</f>
        <v>0</v>
      </c>
      <c r="BB219" s="523" t="b">
        <f t="shared" si="23"/>
        <v>0</v>
      </c>
      <c r="BC219" s="523" t="b">
        <f t="shared" si="23"/>
        <v>0</v>
      </c>
    </row>
    <row r="220" spans="1:55" s="523" customFormat="1">
      <c r="A220" s="523">
        <v>14</v>
      </c>
      <c r="B220" s="523">
        <v>1</v>
      </c>
      <c r="C220" s="523">
        <v>4</v>
      </c>
      <c r="D220" s="557">
        <v>0.74</v>
      </c>
      <c r="E220" s="523" t="s">
        <v>188</v>
      </c>
      <c r="F220" s="414">
        <v>0.251</v>
      </c>
      <c r="G220" s="523" t="s">
        <v>188</v>
      </c>
      <c r="H220" s="557" t="s">
        <v>3139</v>
      </c>
      <c r="I220" s="523" t="s">
        <v>936</v>
      </c>
      <c r="J220" s="414">
        <v>16900</v>
      </c>
      <c r="M220" s="561"/>
      <c r="N220" s="557" t="s">
        <v>194</v>
      </c>
      <c r="O220" s="523">
        <v>7.5</v>
      </c>
      <c r="Q220" s="561"/>
      <c r="R220" s="557">
        <v>1</v>
      </c>
      <c r="S220" s="523" t="s">
        <v>3491</v>
      </c>
      <c r="T220" s="559"/>
      <c r="V220" s="559"/>
      <c r="W220" s="560"/>
      <c r="X220" s="559"/>
      <c r="Y220" s="559"/>
      <c r="Z220" s="559"/>
      <c r="AA220" s="559"/>
      <c r="AB220" s="557">
        <v>168</v>
      </c>
      <c r="AC220" s="414" t="s">
        <v>2060</v>
      </c>
      <c r="AD220" s="438" t="s">
        <v>498</v>
      </c>
      <c r="AE220" s="523" t="s">
        <v>499</v>
      </c>
      <c r="AF220" s="562" t="s">
        <v>500</v>
      </c>
      <c r="AG220" s="557"/>
      <c r="AH220" s="523">
        <v>0</v>
      </c>
      <c r="AI220" s="438"/>
      <c r="AJ220" s="414"/>
      <c r="AK220" s="523" t="s">
        <v>1932</v>
      </c>
      <c r="AQ220" s="557"/>
      <c r="AV220" s="561"/>
      <c r="AW220" s="414" t="str">
        <f t="shared" si="21"/>
        <v>1,3-Butadiene, Pressure</v>
      </c>
      <c r="AX220" s="414" t="b">
        <f t="shared" si="19"/>
        <v>0</v>
      </c>
      <c r="AY220" s="523" t="b">
        <f t="array" ref="AY220">AND(D220:G220=inp_used_minimal,A220=inp_used_usersel)</f>
        <v>0</v>
      </c>
      <c r="AZ220" s="523" t="b">
        <f t="array" ref="AZ220">AND(A220=inp_used_usersel,D220:R220=inp_used_nonvessel1,AB220:AV220=inp_used_nonvessel2,IF(B220=1,inp_used_pressure=inp_autosize_pressure,inp_used_gravity=inp_autosize_gravity))</f>
        <v>0</v>
      </c>
      <c r="BA220" s="523" t="b">
        <f t="array" ref="BA220">AND(D220:AV220=inp_used,A220=inp_used_usersel)</f>
        <v>0</v>
      </c>
      <c r="BB220" s="523" t="b">
        <f t="shared" si="23"/>
        <v>0</v>
      </c>
      <c r="BC220" s="523" t="b">
        <f t="shared" si="23"/>
        <v>0</v>
      </c>
    </row>
    <row r="221" spans="1:55" s="523" customFormat="1">
      <c r="A221" s="523">
        <v>14</v>
      </c>
      <c r="B221" s="523">
        <v>1</v>
      </c>
      <c r="C221" s="414">
        <v>5</v>
      </c>
      <c r="D221" s="529">
        <v>2.1520000000000001</v>
      </c>
      <c r="E221" s="523" t="s">
        <v>188</v>
      </c>
      <c r="F221" s="414">
        <v>0.81899999999999995</v>
      </c>
      <c r="G221" s="523" t="s">
        <v>188</v>
      </c>
      <c r="H221" s="557" t="s">
        <v>3139</v>
      </c>
      <c r="I221" s="523" t="s">
        <v>936</v>
      </c>
      <c r="J221" s="414">
        <v>16900</v>
      </c>
      <c r="M221" s="561"/>
      <c r="N221" s="557" t="s">
        <v>194</v>
      </c>
      <c r="O221" s="523">
        <v>7.5</v>
      </c>
      <c r="Q221" s="561"/>
      <c r="R221" s="557">
        <v>1</v>
      </c>
      <c r="S221" s="523" t="s">
        <v>3491</v>
      </c>
      <c r="T221" s="559"/>
      <c r="V221" s="559"/>
      <c r="W221" s="560"/>
      <c r="X221" s="559"/>
      <c r="Y221" s="559"/>
      <c r="Z221" s="559"/>
      <c r="AA221" s="559"/>
      <c r="AB221" s="557">
        <v>168</v>
      </c>
      <c r="AC221" s="414" t="s">
        <v>2060</v>
      </c>
      <c r="AD221" s="438" t="s">
        <v>498</v>
      </c>
      <c r="AE221" s="523" t="s">
        <v>2615</v>
      </c>
      <c r="AF221" s="562" t="s">
        <v>500</v>
      </c>
      <c r="AG221" s="557"/>
      <c r="AH221" s="523">
        <v>0</v>
      </c>
      <c r="AI221" s="438"/>
      <c r="AJ221" s="414"/>
      <c r="AK221" s="523" t="s">
        <v>1932</v>
      </c>
      <c r="AQ221" s="557"/>
      <c r="AV221" s="561"/>
      <c r="AW221" s="414" t="str">
        <f t="shared" si="21"/>
        <v>1,3-Butadiene, Pressure</v>
      </c>
      <c r="AX221" s="414" t="b">
        <f t="shared" si="19"/>
        <v>0</v>
      </c>
      <c r="AY221" s="523" t="b">
        <f t="array" ref="AY221">AND(D221:G221=inp_used_minimal,A221=inp_used_usersel)</f>
        <v>0</v>
      </c>
      <c r="AZ221" s="523" t="b">
        <f t="array" ref="AZ221">AND(A221=inp_used_usersel,D221:R221=inp_used_nonvessel1,AB221:AV221=inp_used_nonvessel2,IF(B221=1,inp_used_pressure=inp_autosize_pressure,inp_used_gravity=inp_autosize_gravity))</f>
        <v>0</v>
      </c>
      <c r="BA221" s="523" t="b">
        <f t="array" ref="BA221">AND(D221:AV221=inp_used,A221=inp_used_usersel)</f>
        <v>0</v>
      </c>
      <c r="BB221" s="523" t="b">
        <f t="shared" si="23"/>
        <v>0</v>
      </c>
      <c r="BC221" s="523" t="b">
        <f t="shared" si="23"/>
        <v>0</v>
      </c>
    </row>
    <row r="222" spans="1:55" s="523" customFormat="1">
      <c r="A222" s="523">
        <v>14</v>
      </c>
      <c r="B222" s="523">
        <v>1</v>
      </c>
      <c r="C222" s="414">
        <v>6</v>
      </c>
      <c r="D222" s="529">
        <v>7.3650000000000002</v>
      </c>
      <c r="E222" s="523" t="s">
        <v>188</v>
      </c>
      <c r="F222" s="414">
        <v>3.2</v>
      </c>
      <c r="G222" s="523" t="s">
        <v>188</v>
      </c>
      <c r="H222" s="557" t="s">
        <v>3139</v>
      </c>
      <c r="I222" s="523" t="s">
        <v>936</v>
      </c>
      <c r="J222" s="414">
        <v>16900</v>
      </c>
      <c r="M222" s="561"/>
      <c r="N222" s="557" t="s">
        <v>194</v>
      </c>
      <c r="O222" s="523">
        <v>7.5</v>
      </c>
      <c r="Q222" s="561"/>
      <c r="R222" s="557">
        <v>1</v>
      </c>
      <c r="S222" s="523" t="s">
        <v>3491</v>
      </c>
      <c r="T222" s="559"/>
      <c r="V222" s="559"/>
      <c r="W222" s="560"/>
      <c r="X222" s="559"/>
      <c r="Y222" s="559"/>
      <c r="Z222" s="559"/>
      <c r="AA222" s="559"/>
      <c r="AB222" s="557">
        <v>168</v>
      </c>
      <c r="AC222" s="414" t="s">
        <v>2060</v>
      </c>
      <c r="AD222" s="438" t="s">
        <v>498</v>
      </c>
      <c r="AE222" s="523" t="s">
        <v>2615</v>
      </c>
      <c r="AF222" s="562" t="s">
        <v>500</v>
      </c>
      <c r="AG222" s="557"/>
      <c r="AH222" s="523">
        <v>0</v>
      </c>
      <c r="AI222" s="438"/>
      <c r="AJ222" s="414"/>
      <c r="AK222" s="523" t="s">
        <v>1932</v>
      </c>
      <c r="AQ222" s="557"/>
      <c r="AV222" s="561"/>
      <c r="AW222" s="414" t="str">
        <f t="shared" si="21"/>
        <v>1,3-Butadiene, Pressure</v>
      </c>
      <c r="AX222" s="414" t="b">
        <f t="shared" si="19"/>
        <v>0</v>
      </c>
      <c r="AY222" s="523" t="b">
        <f t="array" ref="AY222">AND(D222:G222=inp_used_minimal,A222=inp_used_usersel)</f>
        <v>0</v>
      </c>
      <c r="AZ222" s="523" t="b">
        <f t="array" ref="AZ222">AND(A222=inp_used_usersel,D222:R222=inp_used_nonvessel1,AB222:AV222=inp_used_nonvessel2,IF(B222=1,inp_used_pressure=inp_autosize_pressure,inp_used_gravity=inp_autosize_gravity))</f>
        <v>0</v>
      </c>
      <c r="BA222" s="523" t="b">
        <f t="array" ref="BA222">AND(D222:AV222=inp_used,A222=inp_used_usersel)</f>
        <v>0</v>
      </c>
      <c r="BB222" s="523" t="b">
        <f t="shared" si="23"/>
        <v>0</v>
      </c>
      <c r="BC222" s="523" t="b">
        <f t="shared" si="23"/>
        <v>0</v>
      </c>
    </row>
    <row r="223" spans="1:55" s="523" customFormat="1">
      <c r="A223" s="523">
        <v>14</v>
      </c>
      <c r="B223" s="523">
        <v>1</v>
      </c>
      <c r="C223" s="414">
        <v>7</v>
      </c>
      <c r="D223" s="529">
        <v>22.614000000000001</v>
      </c>
      <c r="E223" s="523" t="s">
        <v>188</v>
      </c>
      <c r="F223" s="414">
        <v>11.066000000000001</v>
      </c>
      <c r="G223" s="523" t="s">
        <v>188</v>
      </c>
      <c r="H223" s="557" t="s">
        <v>3139</v>
      </c>
      <c r="I223" s="523" t="s">
        <v>936</v>
      </c>
      <c r="J223" s="414">
        <v>16900</v>
      </c>
      <c r="M223" s="561"/>
      <c r="N223" s="557" t="s">
        <v>194</v>
      </c>
      <c r="O223" s="523">
        <v>7.5</v>
      </c>
      <c r="Q223" s="561"/>
      <c r="R223" s="557">
        <v>1</v>
      </c>
      <c r="S223" s="523" t="s">
        <v>3491</v>
      </c>
      <c r="T223" s="559"/>
      <c r="V223" s="559"/>
      <c r="W223" s="560"/>
      <c r="X223" s="559"/>
      <c r="Y223" s="559"/>
      <c r="Z223" s="559"/>
      <c r="AA223" s="559"/>
      <c r="AB223" s="557">
        <v>168</v>
      </c>
      <c r="AC223" s="414" t="s">
        <v>2060</v>
      </c>
      <c r="AD223" s="438" t="s">
        <v>498</v>
      </c>
      <c r="AE223" s="523" t="s">
        <v>2615</v>
      </c>
      <c r="AF223" s="562" t="s">
        <v>500</v>
      </c>
      <c r="AG223" s="557"/>
      <c r="AH223" s="523">
        <v>0</v>
      </c>
      <c r="AI223" s="438"/>
      <c r="AJ223" s="414"/>
      <c r="AK223" s="523" t="s">
        <v>1932</v>
      </c>
      <c r="AQ223" s="557"/>
      <c r="AV223" s="561"/>
      <c r="AW223" s="414" t="str">
        <f t="shared" si="21"/>
        <v>1,3-Butadiene, Pressure</v>
      </c>
      <c r="AX223" s="414" t="b">
        <f t="shared" si="19"/>
        <v>0</v>
      </c>
      <c r="AY223" s="523" t="b">
        <f t="array" ref="AY223">AND(D223:G223=inp_used_minimal,A223=inp_used_usersel)</f>
        <v>0</v>
      </c>
      <c r="AZ223" s="523" t="b">
        <f t="array" ref="AZ223">AND(A223=inp_used_usersel,D223:R223=inp_used_nonvessel1,AB223:AV223=inp_used_nonvessel2,IF(B223=1,inp_used_pressure=inp_autosize_pressure,inp_used_gravity=inp_autosize_gravity))</f>
        <v>0</v>
      </c>
      <c r="BA223" s="523" t="b">
        <f t="array" ref="BA223">AND(D223:AV223=inp_used,A223=inp_used_usersel)</f>
        <v>0</v>
      </c>
      <c r="BB223" s="523" t="b">
        <f t="shared" si="23"/>
        <v>0</v>
      </c>
      <c r="BC223" s="523" t="b">
        <f t="shared" si="23"/>
        <v>0</v>
      </c>
    </row>
    <row r="224" spans="1:55" s="563" customFormat="1">
      <c r="A224" s="563">
        <v>14</v>
      </c>
      <c r="B224" s="563">
        <v>1</v>
      </c>
      <c r="C224" s="564">
        <v>8</v>
      </c>
      <c r="D224" s="918">
        <v>75.072000000000003</v>
      </c>
      <c r="E224" s="563" t="s">
        <v>188</v>
      </c>
      <c r="F224" s="564">
        <v>37.536000000000001</v>
      </c>
      <c r="G224" s="563" t="s">
        <v>188</v>
      </c>
      <c r="H224" s="919" t="s">
        <v>3139</v>
      </c>
      <c r="I224" s="563" t="s">
        <v>936</v>
      </c>
      <c r="J224" s="564">
        <v>16900</v>
      </c>
      <c r="M224" s="565"/>
      <c r="N224" s="919" t="s">
        <v>194</v>
      </c>
      <c r="O224" s="563">
        <v>7.5</v>
      </c>
      <c r="Q224" s="565"/>
      <c r="R224" s="919">
        <v>1</v>
      </c>
      <c r="S224" s="563" t="s">
        <v>3491</v>
      </c>
      <c r="T224" s="566"/>
      <c r="V224" s="566"/>
      <c r="W224" s="567"/>
      <c r="X224" s="566"/>
      <c r="Y224" s="566"/>
      <c r="Z224" s="566"/>
      <c r="AA224" s="567"/>
      <c r="AB224" s="919">
        <v>168</v>
      </c>
      <c r="AC224" s="564" t="s">
        <v>2060</v>
      </c>
      <c r="AD224" s="568" t="s">
        <v>498</v>
      </c>
      <c r="AE224" s="563" t="s">
        <v>2615</v>
      </c>
      <c r="AF224" s="554" t="s">
        <v>500</v>
      </c>
      <c r="AG224" s="919"/>
      <c r="AH224" s="563">
        <v>0</v>
      </c>
      <c r="AI224" s="568"/>
      <c r="AJ224" s="564"/>
      <c r="AK224" s="563" t="s">
        <v>1932</v>
      </c>
      <c r="AP224" s="565"/>
      <c r="AQ224" s="919"/>
      <c r="AV224" s="565"/>
      <c r="AW224" s="564" t="str">
        <f t="shared" si="21"/>
        <v>1,3-Butadiene, Pressure</v>
      </c>
      <c r="AX224" s="564" t="b">
        <f t="shared" si="19"/>
        <v>0</v>
      </c>
      <c r="AY224" s="563" t="b">
        <f t="array" ref="AY224">AND(D224:G224=inp_used_minimal,A224=inp_used_usersel)</f>
        <v>0</v>
      </c>
      <c r="AZ224" s="563" t="b">
        <f t="array" ref="AZ224">AND(A224=inp_used_usersel,D224:R224=inp_used_nonvessel1,AB224:AV224=inp_used_nonvessel2,IF(B224=1,inp_used_pressure=inp_autosize_pressure,inp_used_gravity=inp_autosize_gravity))</f>
        <v>0</v>
      </c>
      <c r="BA224" s="563" t="b">
        <f t="array" ref="BA224">AND(D224:AV224=inp_used,A224=inp_used_usersel)</f>
        <v>0</v>
      </c>
      <c r="BB224" s="563" t="b">
        <f t="shared" si="23"/>
        <v>0</v>
      </c>
      <c r="BC224" s="563" t="b">
        <f t="shared" si="23"/>
        <v>0</v>
      </c>
    </row>
    <row r="225" spans="1:55" s="523" customFormat="1">
      <c r="A225" s="523">
        <v>14</v>
      </c>
      <c r="B225" s="523">
        <v>2</v>
      </c>
      <c r="C225" s="523">
        <v>1</v>
      </c>
      <c r="D225" s="917">
        <v>0.03</v>
      </c>
      <c r="E225" s="523" t="s">
        <v>188</v>
      </c>
      <c r="F225" s="414">
        <v>7.0000000000000001E-3</v>
      </c>
      <c r="G225" s="523" t="s">
        <v>188</v>
      </c>
      <c r="H225" s="917" t="s">
        <v>3139</v>
      </c>
      <c r="I225" s="523" t="s">
        <v>936</v>
      </c>
      <c r="J225" s="414">
        <v>16900</v>
      </c>
      <c r="M225" s="561"/>
      <c r="N225" s="917" t="s">
        <v>194</v>
      </c>
      <c r="O225" s="523">
        <v>7.5</v>
      </c>
      <c r="Q225" s="561"/>
      <c r="R225" s="917"/>
      <c r="T225" s="559"/>
      <c r="U225" s="559"/>
      <c r="V225" s="559"/>
      <c r="W225" s="560"/>
      <c r="X225" s="559" t="s">
        <v>3491</v>
      </c>
      <c r="Y225" s="414"/>
      <c r="Z225" s="414"/>
      <c r="AA225" s="414"/>
      <c r="AB225" s="917">
        <v>168</v>
      </c>
      <c r="AC225" s="414" t="s">
        <v>2060</v>
      </c>
      <c r="AD225" s="414" t="s">
        <v>2875</v>
      </c>
      <c r="AE225" s="523" t="s">
        <v>499</v>
      </c>
      <c r="AF225" s="414" t="s">
        <v>500</v>
      </c>
      <c r="AG225" s="917"/>
      <c r="AH225" s="523">
        <v>0</v>
      </c>
      <c r="AI225" s="438"/>
      <c r="AJ225" s="414"/>
      <c r="AK225" s="523" t="s">
        <v>1932</v>
      </c>
      <c r="AQ225" s="917"/>
      <c r="AV225" s="561"/>
      <c r="AW225" s="414" t="str">
        <f t="shared" si="21"/>
        <v>1,3-Butadiene, Gravity</v>
      </c>
      <c r="AX225" s="414" t="b">
        <f t="shared" si="19"/>
        <v>0</v>
      </c>
      <c r="AY225" s="523" t="b">
        <f t="array" ref="AY225">AND(D225:G225=inp_used_minimal,A225=inp_used_usersel)</f>
        <v>0</v>
      </c>
      <c r="AZ225" s="523" t="b">
        <f t="array" ref="AZ225">AND(A225=inp_used_usersel,D225:R225=inp_used_nonvessel1,AB225:AV225=inp_used_nonvessel2,IF(B225=1,inp_used_pressure=inp_autosize_pressure,inp_used_gravity=inp_autosize_gravity))</f>
        <v>0</v>
      </c>
      <c r="BA225" s="523" t="b">
        <f t="array" ref="BA225">AND(D225:AV225=inp_used,A225=inp_used_usersel)</f>
        <v>0</v>
      </c>
    </row>
    <row r="226" spans="1:55" s="523" customFormat="1">
      <c r="A226" s="523">
        <v>14</v>
      </c>
      <c r="B226" s="523">
        <v>2</v>
      </c>
      <c r="C226" s="523">
        <v>2</v>
      </c>
      <c r="D226" s="557">
        <v>0.124</v>
      </c>
      <c r="E226" s="523" t="s">
        <v>188</v>
      </c>
      <c r="F226" s="414">
        <v>3.5000000000000003E-2</v>
      </c>
      <c r="G226" s="523" t="s">
        <v>188</v>
      </c>
      <c r="H226" s="557" t="s">
        <v>3139</v>
      </c>
      <c r="I226" s="523" t="s">
        <v>936</v>
      </c>
      <c r="J226" s="414">
        <v>16900</v>
      </c>
      <c r="M226" s="561"/>
      <c r="N226" s="557" t="s">
        <v>194</v>
      </c>
      <c r="O226" s="523">
        <v>7.5</v>
      </c>
      <c r="Q226" s="561"/>
      <c r="R226" s="557"/>
      <c r="T226" s="559"/>
      <c r="U226" s="559"/>
      <c r="V226" s="559"/>
      <c r="W226" s="560"/>
      <c r="X226" s="559" t="s">
        <v>3491</v>
      </c>
      <c r="Y226" s="414"/>
      <c r="Z226" s="414"/>
      <c r="AA226" s="414"/>
      <c r="AB226" s="557">
        <v>168</v>
      </c>
      <c r="AC226" s="414" t="s">
        <v>2060</v>
      </c>
      <c r="AD226" s="414" t="s">
        <v>2875</v>
      </c>
      <c r="AE226" s="523" t="s">
        <v>499</v>
      </c>
      <c r="AF226" s="414" t="s">
        <v>500</v>
      </c>
      <c r="AG226" s="557"/>
      <c r="AH226" s="523">
        <v>0</v>
      </c>
      <c r="AI226" s="438"/>
      <c r="AJ226" s="414"/>
      <c r="AK226" s="523" t="s">
        <v>1932</v>
      </c>
      <c r="AQ226" s="557"/>
      <c r="AV226" s="561"/>
      <c r="AW226" s="414" t="str">
        <f t="shared" si="21"/>
        <v>1,3-Butadiene, Gravity</v>
      </c>
      <c r="AX226" s="414" t="b">
        <f t="shared" si="19"/>
        <v>0</v>
      </c>
      <c r="AY226" s="523" t="b">
        <f t="array" ref="AY226">AND(D226:G226=inp_used_minimal,A226=inp_used_usersel)</f>
        <v>0</v>
      </c>
      <c r="AZ226" s="523" t="b">
        <f t="array" ref="AZ226">AND(A226=inp_used_usersel,D226:R226=inp_used_nonvessel1,AB226:AV226=inp_used_nonvessel2,IF(B226=1,inp_used_pressure=inp_autosize_pressure,inp_used_gravity=inp_autosize_gravity))</f>
        <v>0</v>
      </c>
      <c r="BA226" s="523" t="b">
        <f t="array" ref="BA226">AND(D226:AV226=inp_used,A226=inp_used_usersel)</f>
        <v>0</v>
      </c>
    </row>
    <row r="227" spans="1:55" s="523" customFormat="1">
      <c r="A227" s="523">
        <v>14</v>
      </c>
      <c r="B227" s="523">
        <v>2</v>
      </c>
      <c r="C227" s="523">
        <v>3</v>
      </c>
      <c r="D227" s="557">
        <v>0.30499999999999999</v>
      </c>
      <c r="E227" s="523" t="s">
        <v>188</v>
      </c>
      <c r="F227" s="414">
        <v>9.4E-2</v>
      </c>
      <c r="G227" s="523" t="s">
        <v>188</v>
      </c>
      <c r="H227" s="557" t="s">
        <v>3139</v>
      </c>
      <c r="I227" s="523" t="s">
        <v>936</v>
      </c>
      <c r="J227" s="414">
        <v>16900</v>
      </c>
      <c r="M227" s="561"/>
      <c r="N227" s="557" t="s">
        <v>194</v>
      </c>
      <c r="O227" s="523">
        <v>7.5</v>
      </c>
      <c r="Q227" s="561"/>
      <c r="R227" s="557"/>
      <c r="T227" s="559"/>
      <c r="U227" s="559"/>
      <c r="V227" s="559"/>
      <c r="W227" s="560"/>
      <c r="X227" s="559" t="s">
        <v>3491</v>
      </c>
      <c r="Y227" s="414"/>
      <c r="Z227" s="414"/>
      <c r="AA227" s="414"/>
      <c r="AB227" s="557">
        <v>168</v>
      </c>
      <c r="AC227" s="414" t="s">
        <v>2060</v>
      </c>
      <c r="AD227" s="414" t="s">
        <v>2875</v>
      </c>
      <c r="AE227" s="523" t="s">
        <v>499</v>
      </c>
      <c r="AF227" s="414" t="s">
        <v>500</v>
      </c>
      <c r="AG227" s="557"/>
      <c r="AH227" s="523">
        <v>0</v>
      </c>
      <c r="AI227" s="438"/>
      <c r="AJ227" s="414"/>
      <c r="AK227" s="523" t="s">
        <v>1932</v>
      </c>
      <c r="AQ227" s="557"/>
      <c r="AV227" s="561"/>
      <c r="AW227" s="414" t="str">
        <f t="shared" si="21"/>
        <v>1,3-Butadiene, Gravity</v>
      </c>
      <c r="AX227" s="414" t="b">
        <f t="shared" si="19"/>
        <v>0</v>
      </c>
      <c r="AY227" s="523" t="b">
        <f t="array" ref="AY227">AND(D227:G227=inp_used_minimal,A227=inp_used_usersel)</f>
        <v>0</v>
      </c>
      <c r="AZ227" s="523" t="b">
        <f t="array" ref="AZ227">AND(A227=inp_used_usersel,D227:R227=inp_used_nonvessel1,AB227:AV227=inp_used_nonvessel2,IF(B227=1,inp_used_pressure=inp_autosize_pressure,inp_used_gravity=inp_autosize_gravity))</f>
        <v>0</v>
      </c>
      <c r="BA227" s="523" t="b">
        <f t="array" ref="BA227">AND(D227:AV227=inp_used,A227=inp_used_usersel)</f>
        <v>0</v>
      </c>
    </row>
    <row r="228" spans="1:55" s="523" customFormat="1">
      <c r="A228" s="523">
        <v>14</v>
      </c>
      <c r="B228" s="523">
        <v>2</v>
      </c>
      <c r="C228" s="523">
        <v>4</v>
      </c>
      <c r="D228" s="557">
        <v>0.74</v>
      </c>
      <c r="E228" s="523" t="s">
        <v>188</v>
      </c>
      <c r="F228" s="414">
        <v>0.251</v>
      </c>
      <c r="G228" s="523" t="s">
        <v>188</v>
      </c>
      <c r="H228" s="557" t="s">
        <v>3139</v>
      </c>
      <c r="I228" s="523" t="s">
        <v>936</v>
      </c>
      <c r="J228" s="414">
        <v>16900</v>
      </c>
      <c r="M228" s="561"/>
      <c r="N228" s="557" t="s">
        <v>194</v>
      </c>
      <c r="O228" s="523">
        <v>7.5</v>
      </c>
      <c r="Q228" s="561"/>
      <c r="R228" s="557"/>
      <c r="T228" s="559"/>
      <c r="U228" s="559"/>
      <c r="V228" s="559"/>
      <c r="W228" s="560"/>
      <c r="X228" s="559" t="s">
        <v>3491</v>
      </c>
      <c r="Y228" s="414"/>
      <c r="Z228" s="414"/>
      <c r="AA228" s="414"/>
      <c r="AB228" s="557">
        <v>168</v>
      </c>
      <c r="AC228" s="414" t="s">
        <v>2060</v>
      </c>
      <c r="AD228" s="414" t="s">
        <v>2875</v>
      </c>
      <c r="AE228" s="523" t="s">
        <v>499</v>
      </c>
      <c r="AF228" s="414" t="s">
        <v>500</v>
      </c>
      <c r="AG228" s="557"/>
      <c r="AH228" s="523">
        <v>0</v>
      </c>
      <c r="AI228" s="438"/>
      <c r="AJ228" s="414"/>
      <c r="AK228" s="523" t="s">
        <v>1932</v>
      </c>
      <c r="AQ228" s="557"/>
      <c r="AV228" s="561"/>
      <c r="AW228" s="414" t="str">
        <f t="shared" si="21"/>
        <v>1,3-Butadiene, Gravity</v>
      </c>
      <c r="AX228" s="414" t="b">
        <f t="shared" si="19"/>
        <v>0</v>
      </c>
      <c r="AY228" s="523" t="b">
        <f t="array" ref="AY228">AND(D228:G228=inp_used_minimal,A228=inp_used_usersel)</f>
        <v>0</v>
      </c>
      <c r="AZ228" s="523" t="b">
        <f t="array" ref="AZ228">AND(A228=inp_used_usersel,D228:R228=inp_used_nonvessel1,AB228:AV228=inp_used_nonvessel2,IF(B228=1,inp_used_pressure=inp_autosize_pressure,inp_used_gravity=inp_autosize_gravity))</f>
        <v>0</v>
      </c>
      <c r="BA228" s="523" t="b">
        <f t="array" ref="BA228">AND(D228:AV228=inp_used,A228=inp_used_usersel)</f>
        <v>0</v>
      </c>
    </row>
    <row r="229" spans="1:55" s="523" customFormat="1">
      <c r="A229" s="523">
        <v>14</v>
      </c>
      <c r="B229" s="523">
        <v>2</v>
      </c>
      <c r="C229" s="414">
        <v>5</v>
      </c>
      <c r="D229" s="529">
        <v>2.1520000000000001</v>
      </c>
      <c r="E229" s="523" t="s">
        <v>188</v>
      </c>
      <c r="F229" s="414">
        <v>0.81899999999999995</v>
      </c>
      <c r="G229" s="523" t="s">
        <v>188</v>
      </c>
      <c r="H229" s="557" t="s">
        <v>3139</v>
      </c>
      <c r="I229" s="523" t="s">
        <v>936</v>
      </c>
      <c r="J229" s="414">
        <v>16900</v>
      </c>
      <c r="M229" s="561"/>
      <c r="N229" s="557" t="s">
        <v>194</v>
      </c>
      <c r="O229" s="523">
        <v>7.5</v>
      </c>
      <c r="Q229" s="561"/>
      <c r="R229" s="557"/>
      <c r="T229" s="559"/>
      <c r="U229" s="559"/>
      <c r="V229" s="559"/>
      <c r="W229" s="560"/>
      <c r="X229" s="559" t="s">
        <v>3491</v>
      </c>
      <c r="Y229" s="414"/>
      <c r="Z229" s="414"/>
      <c r="AA229" s="414"/>
      <c r="AB229" s="557">
        <v>168</v>
      </c>
      <c r="AC229" s="414" t="s">
        <v>2060</v>
      </c>
      <c r="AD229" s="414" t="s">
        <v>2875</v>
      </c>
      <c r="AE229" s="523" t="s">
        <v>2615</v>
      </c>
      <c r="AF229" s="414" t="s">
        <v>500</v>
      </c>
      <c r="AG229" s="557"/>
      <c r="AH229" s="523">
        <v>0</v>
      </c>
      <c r="AI229" s="438"/>
      <c r="AJ229" s="414"/>
      <c r="AK229" s="523" t="s">
        <v>1932</v>
      </c>
      <c r="AQ229" s="557"/>
      <c r="AV229" s="561"/>
      <c r="AW229" s="414" t="str">
        <f t="shared" si="21"/>
        <v>1,3-Butadiene, Gravity</v>
      </c>
      <c r="AX229" s="414" t="b">
        <f t="shared" si="19"/>
        <v>0</v>
      </c>
      <c r="AY229" s="523" t="b">
        <f t="array" ref="AY229">AND(D229:G229=inp_used_minimal,A229=inp_used_usersel)</f>
        <v>0</v>
      </c>
      <c r="AZ229" s="523" t="b">
        <f t="array" ref="AZ229">AND(A229=inp_used_usersel,D229:R229=inp_used_nonvessel1,AB229:AV229=inp_used_nonvessel2,IF(B229=1,inp_used_pressure=inp_autosize_pressure,inp_used_gravity=inp_autosize_gravity))</f>
        <v>0</v>
      </c>
      <c r="BA229" s="523" t="b">
        <f t="array" ref="BA229">AND(D229:AV229=inp_used,A229=inp_used_usersel)</f>
        <v>0</v>
      </c>
    </row>
    <row r="230" spans="1:55" s="523" customFormat="1">
      <c r="A230" s="523">
        <v>14</v>
      </c>
      <c r="B230" s="523">
        <v>2</v>
      </c>
      <c r="C230" s="414">
        <v>6</v>
      </c>
      <c r="D230" s="529">
        <v>7.3650000000000002</v>
      </c>
      <c r="E230" s="523" t="s">
        <v>188</v>
      </c>
      <c r="F230" s="414">
        <v>3.2</v>
      </c>
      <c r="G230" s="523" t="s">
        <v>188</v>
      </c>
      <c r="H230" s="557" t="s">
        <v>3139</v>
      </c>
      <c r="I230" s="523" t="s">
        <v>936</v>
      </c>
      <c r="J230" s="414">
        <v>16900</v>
      </c>
      <c r="M230" s="561"/>
      <c r="N230" s="557" t="s">
        <v>194</v>
      </c>
      <c r="O230" s="523">
        <v>7.5</v>
      </c>
      <c r="Q230" s="561"/>
      <c r="R230" s="557"/>
      <c r="T230" s="559"/>
      <c r="U230" s="559"/>
      <c r="V230" s="559"/>
      <c r="W230" s="560"/>
      <c r="X230" s="559" t="s">
        <v>3491</v>
      </c>
      <c r="Y230" s="414"/>
      <c r="Z230" s="414"/>
      <c r="AA230" s="414"/>
      <c r="AB230" s="557">
        <v>168</v>
      </c>
      <c r="AC230" s="414" t="s">
        <v>2060</v>
      </c>
      <c r="AD230" s="414" t="s">
        <v>2875</v>
      </c>
      <c r="AE230" s="523" t="s">
        <v>2615</v>
      </c>
      <c r="AF230" s="414" t="s">
        <v>500</v>
      </c>
      <c r="AG230" s="557"/>
      <c r="AH230" s="523">
        <v>0</v>
      </c>
      <c r="AI230" s="438"/>
      <c r="AJ230" s="414"/>
      <c r="AK230" s="523" t="s">
        <v>1932</v>
      </c>
      <c r="AQ230" s="557"/>
      <c r="AV230" s="561"/>
      <c r="AW230" s="414" t="str">
        <f t="shared" si="21"/>
        <v>1,3-Butadiene, Gravity</v>
      </c>
      <c r="AX230" s="414" t="b">
        <f t="shared" si="19"/>
        <v>0</v>
      </c>
      <c r="AY230" s="523" t="b">
        <f t="array" ref="AY230">AND(D230:G230=inp_used_minimal,A230=inp_used_usersel)</f>
        <v>0</v>
      </c>
      <c r="AZ230" s="523" t="b">
        <f t="array" ref="AZ230">AND(A230=inp_used_usersel,D230:R230=inp_used_nonvessel1,AB230:AV230=inp_used_nonvessel2,IF(B230=1,inp_used_pressure=inp_autosize_pressure,inp_used_gravity=inp_autosize_gravity))</f>
        <v>0</v>
      </c>
      <c r="BA230" s="523" t="b">
        <f t="array" ref="BA230">AND(D230:AV230=inp_used,A230=inp_used_usersel)</f>
        <v>0</v>
      </c>
    </row>
    <row r="231" spans="1:55" s="523" customFormat="1">
      <c r="A231" s="523">
        <v>14</v>
      </c>
      <c r="B231" s="523">
        <v>2</v>
      </c>
      <c r="C231" s="414">
        <v>7</v>
      </c>
      <c r="D231" s="529">
        <v>22.614000000000001</v>
      </c>
      <c r="E231" s="523" t="s">
        <v>188</v>
      </c>
      <c r="F231" s="414">
        <v>11.066000000000001</v>
      </c>
      <c r="G231" s="523" t="s">
        <v>188</v>
      </c>
      <c r="H231" s="557" t="s">
        <v>3139</v>
      </c>
      <c r="I231" s="523" t="s">
        <v>936</v>
      </c>
      <c r="J231" s="414">
        <v>16900</v>
      </c>
      <c r="M231" s="561"/>
      <c r="N231" s="557" t="s">
        <v>194</v>
      </c>
      <c r="O231" s="523">
        <v>7.5</v>
      </c>
      <c r="Q231" s="561"/>
      <c r="R231" s="557"/>
      <c r="T231" s="559"/>
      <c r="U231" s="559"/>
      <c r="V231" s="559"/>
      <c r="W231" s="560"/>
      <c r="X231" s="559" t="s">
        <v>3491</v>
      </c>
      <c r="Y231" s="414"/>
      <c r="Z231" s="414"/>
      <c r="AA231" s="414"/>
      <c r="AB231" s="557">
        <v>168</v>
      </c>
      <c r="AC231" s="414" t="s">
        <v>2060</v>
      </c>
      <c r="AD231" s="414" t="s">
        <v>2875</v>
      </c>
      <c r="AE231" s="523" t="s">
        <v>2615</v>
      </c>
      <c r="AF231" s="414" t="s">
        <v>500</v>
      </c>
      <c r="AG231" s="557"/>
      <c r="AH231" s="523">
        <v>0</v>
      </c>
      <c r="AI231" s="438"/>
      <c r="AJ231" s="414"/>
      <c r="AK231" s="523" t="s">
        <v>1932</v>
      </c>
      <c r="AQ231" s="557"/>
      <c r="AV231" s="561"/>
      <c r="AW231" s="414" t="str">
        <f t="shared" si="21"/>
        <v>1,3-Butadiene, Gravity</v>
      </c>
      <c r="AX231" s="414" t="b">
        <f t="shared" si="19"/>
        <v>0</v>
      </c>
      <c r="AY231" s="523" t="b">
        <f t="array" ref="AY231">AND(D231:G231=inp_used_minimal,A231=inp_used_usersel)</f>
        <v>0</v>
      </c>
      <c r="AZ231" s="523" t="b">
        <f t="array" ref="AZ231">AND(A231=inp_used_usersel,D231:R231=inp_used_nonvessel1,AB231:AV231=inp_used_nonvessel2,IF(B231=1,inp_used_pressure=inp_autosize_pressure,inp_used_gravity=inp_autosize_gravity))</f>
        <v>0</v>
      </c>
      <c r="BA231" s="523" t="b">
        <f t="array" ref="BA231">AND(D231:AV231=inp_used,A231=inp_used_usersel)</f>
        <v>0</v>
      </c>
    </row>
    <row r="232" spans="1:55" s="563" customFormat="1">
      <c r="A232" s="563">
        <v>14</v>
      </c>
      <c r="B232" s="563">
        <v>2</v>
      </c>
      <c r="C232" s="564">
        <v>8</v>
      </c>
      <c r="D232" s="918">
        <v>75.072000000000003</v>
      </c>
      <c r="E232" s="563" t="s">
        <v>188</v>
      </c>
      <c r="F232" s="564">
        <v>37.536000000000001</v>
      </c>
      <c r="G232" s="563" t="s">
        <v>188</v>
      </c>
      <c r="H232" s="919" t="s">
        <v>3139</v>
      </c>
      <c r="I232" s="563" t="s">
        <v>936</v>
      </c>
      <c r="J232" s="564">
        <v>16900</v>
      </c>
      <c r="M232" s="565"/>
      <c r="N232" s="919" t="s">
        <v>194</v>
      </c>
      <c r="O232" s="563">
        <v>7.5</v>
      </c>
      <c r="Q232" s="565"/>
      <c r="R232" s="919"/>
      <c r="T232" s="566"/>
      <c r="U232" s="566"/>
      <c r="V232" s="566"/>
      <c r="W232" s="567"/>
      <c r="X232" s="566" t="s">
        <v>3491</v>
      </c>
      <c r="Y232" s="564"/>
      <c r="Z232" s="564"/>
      <c r="AA232" s="554"/>
      <c r="AB232" s="919">
        <v>168</v>
      </c>
      <c r="AC232" s="564" t="s">
        <v>2060</v>
      </c>
      <c r="AD232" s="564" t="s">
        <v>2875</v>
      </c>
      <c r="AE232" s="563" t="s">
        <v>2615</v>
      </c>
      <c r="AF232" s="564" t="s">
        <v>500</v>
      </c>
      <c r="AG232" s="919"/>
      <c r="AH232" s="563">
        <v>0</v>
      </c>
      <c r="AI232" s="568"/>
      <c r="AJ232" s="564"/>
      <c r="AK232" s="563" t="s">
        <v>1932</v>
      </c>
      <c r="AP232" s="565"/>
      <c r="AQ232" s="919"/>
      <c r="AV232" s="565"/>
      <c r="AW232" s="564" t="str">
        <f t="shared" si="21"/>
        <v>1,3-Butadiene, Gravity</v>
      </c>
      <c r="AX232" s="564" t="b">
        <f t="shared" si="19"/>
        <v>0</v>
      </c>
      <c r="AY232" s="563" t="b">
        <f t="array" ref="AY232">AND(D232:G232=inp_used_minimal,A232=inp_used_usersel)</f>
        <v>0</v>
      </c>
      <c r="AZ232" s="563" t="b">
        <f t="array" ref="AZ232">AND(A232=inp_used_usersel,D232:R232=inp_used_nonvessel1,AB232:AV232=inp_used_nonvessel2,IF(B232=1,inp_used_pressure=inp_autosize_pressure,inp_used_gravity=inp_autosize_gravity))</f>
        <v>0</v>
      </c>
      <c r="BA232" s="563" t="b">
        <f t="array" ref="BA232">AND(D232:AV232=inp_used,A232=inp_used_usersel)</f>
        <v>0</v>
      </c>
    </row>
    <row r="233" spans="1:55" s="523" customFormat="1">
      <c r="A233" s="523">
        <v>15</v>
      </c>
      <c r="B233" s="523">
        <v>1</v>
      </c>
      <c r="C233" s="523">
        <v>1</v>
      </c>
      <c r="D233" s="917">
        <v>0.03</v>
      </c>
      <c r="E233" s="523" t="s">
        <v>188</v>
      </c>
      <c r="F233" s="414">
        <v>7.0000000000000001E-3</v>
      </c>
      <c r="G233" s="523" t="s">
        <v>188</v>
      </c>
      <c r="H233" s="917" t="s">
        <v>3139</v>
      </c>
      <c r="I233" s="523" t="s">
        <v>936</v>
      </c>
      <c r="J233" s="414">
        <v>5560</v>
      </c>
      <c r="M233" s="561"/>
      <c r="N233" s="917" t="s">
        <v>194</v>
      </c>
      <c r="O233" s="523">
        <v>7.5</v>
      </c>
      <c r="Q233" s="561"/>
      <c r="R233" s="917">
        <v>1</v>
      </c>
      <c r="S233" s="523" t="s">
        <v>3491</v>
      </c>
      <c r="T233" s="559"/>
      <c r="V233" s="559"/>
      <c r="W233" s="560"/>
      <c r="X233" s="559"/>
      <c r="Y233" s="559"/>
      <c r="Z233" s="559"/>
      <c r="AA233" s="559"/>
      <c r="AB233" s="917">
        <v>168</v>
      </c>
      <c r="AC233" s="414" t="s">
        <v>2060</v>
      </c>
      <c r="AD233" s="438" t="s">
        <v>497</v>
      </c>
      <c r="AE233" s="523" t="s">
        <v>499</v>
      </c>
      <c r="AF233" s="561"/>
      <c r="AG233" s="917"/>
      <c r="AH233" s="523">
        <v>0</v>
      </c>
      <c r="AI233" s="438"/>
      <c r="AJ233" s="414"/>
      <c r="AK233" s="523" t="s">
        <v>1932</v>
      </c>
      <c r="AQ233" s="917"/>
      <c r="AV233" s="561"/>
      <c r="AW233" s="414" t="str">
        <f t="shared" si="21"/>
        <v>1,1-Dichloroethane, Pressure</v>
      </c>
      <c r="AX233" s="414" t="b">
        <f t="shared" si="19"/>
        <v>0</v>
      </c>
      <c r="AY233" s="523" t="b">
        <f t="array" ref="AY233">AND(D233:G233=inp_used_minimal,A233=inp_used_usersel)</f>
        <v>0</v>
      </c>
      <c r="AZ233" s="523" t="b">
        <f t="array" ref="AZ233">AND(A233=inp_used_usersel,D233:R233=inp_used_nonvessel1,AB233:AV233=inp_used_nonvessel2,IF(B233=1,inp_used_pressure=inp_autosize_pressure,inp_used_gravity=inp_autosize_gravity))</f>
        <v>0</v>
      </c>
      <c r="BA233" s="523" t="b">
        <f t="array" ref="BA233">AND(D233:AV233=inp_used,A233=inp_used_usersel)</f>
        <v>0</v>
      </c>
      <c r="BB233" s="523" t="b">
        <f t="shared" ref="BB233:BC240" si="24">CHOOSE(design_type,AX233,AX241)</f>
        <v>0</v>
      </c>
      <c r="BC233" s="523" t="b">
        <f t="shared" si="24"/>
        <v>0</v>
      </c>
    </row>
    <row r="234" spans="1:55" s="523" customFormat="1">
      <c r="A234" s="523">
        <v>15</v>
      </c>
      <c r="B234" s="523">
        <v>1</v>
      </c>
      <c r="C234" s="523">
        <v>2</v>
      </c>
      <c r="D234" s="557">
        <v>0.124</v>
      </c>
      <c r="E234" s="523" t="s">
        <v>188</v>
      </c>
      <c r="F234" s="414">
        <v>3.5000000000000003E-2</v>
      </c>
      <c r="G234" s="523" t="s">
        <v>188</v>
      </c>
      <c r="H234" s="557" t="s">
        <v>3139</v>
      </c>
      <c r="I234" s="523" t="s">
        <v>936</v>
      </c>
      <c r="J234" s="414">
        <v>5560</v>
      </c>
      <c r="M234" s="561"/>
      <c r="N234" s="557" t="s">
        <v>194</v>
      </c>
      <c r="O234" s="523">
        <v>7.5</v>
      </c>
      <c r="Q234" s="561"/>
      <c r="R234" s="557">
        <v>1</v>
      </c>
      <c r="S234" s="523" t="s">
        <v>3491</v>
      </c>
      <c r="T234" s="559"/>
      <c r="V234" s="559"/>
      <c r="W234" s="560"/>
      <c r="X234" s="559"/>
      <c r="Y234" s="559"/>
      <c r="Z234" s="559"/>
      <c r="AA234" s="559"/>
      <c r="AB234" s="557">
        <v>168</v>
      </c>
      <c r="AC234" s="414" t="s">
        <v>2060</v>
      </c>
      <c r="AD234" s="438" t="s">
        <v>498</v>
      </c>
      <c r="AE234" s="523" t="s">
        <v>499</v>
      </c>
      <c r="AF234" s="562" t="s">
        <v>500</v>
      </c>
      <c r="AG234" s="557"/>
      <c r="AH234" s="523">
        <v>0</v>
      </c>
      <c r="AI234" s="438"/>
      <c r="AJ234" s="414"/>
      <c r="AK234" s="523" t="s">
        <v>1932</v>
      </c>
      <c r="AQ234" s="557"/>
      <c r="AV234" s="561"/>
      <c r="AW234" s="414" t="str">
        <f t="shared" si="21"/>
        <v>1,1-Dichloroethane, Pressure</v>
      </c>
      <c r="AX234" s="414" t="b">
        <f t="shared" ref="AX234:AX297" si="25">IF(OR(S234="yes",X234="yes"),AZ234,BA234)</f>
        <v>0</v>
      </c>
      <c r="AY234" s="523" t="b">
        <f t="array" ref="AY234">AND(D234:G234=inp_used_minimal,A234=inp_used_usersel)</f>
        <v>0</v>
      </c>
      <c r="AZ234" s="523" t="b">
        <f t="array" ref="AZ234">AND(A234=inp_used_usersel,D234:R234=inp_used_nonvessel1,AB234:AV234=inp_used_nonvessel2,IF(B234=1,inp_used_pressure=inp_autosize_pressure,inp_used_gravity=inp_autosize_gravity))</f>
        <v>0</v>
      </c>
      <c r="BA234" s="523" t="b">
        <f t="array" ref="BA234">AND(D234:AV234=inp_used,A234=inp_used_usersel)</f>
        <v>0</v>
      </c>
      <c r="BB234" s="523" t="b">
        <f t="shared" si="24"/>
        <v>0</v>
      </c>
      <c r="BC234" s="523" t="b">
        <f t="shared" si="24"/>
        <v>0</v>
      </c>
    </row>
    <row r="235" spans="1:55" s="523" customFormat="1">
      <c r="A235" s="523">
        <v>15</v>
      </c>
      <c r="B235" s="523">
        <v>1</v>
      </c>
      <c r="C235" s="523">
        <v>3</v>
      </c>
      <c r="D235" s="557">
        <v>0.30499999999999999</v>
      </c>
      <c r="E235" s="523" t="s">
        <v>188</v>
      </c>
      <c r="F235" s="414">
        <v>9.4E-2</v>
      </c>
      <c r="G235" s="523" t="s">
        <v>188</v>
      </c>
      <c r="H235" s="557" t="s">
        <v>3139</v>
      </c>
      <c r="I235" s="523" t="s">
        <v>936</v>
      </c>
      <c r="J235" s="414">
        <v>5560</v>
      </c>
      <c r="M235" s="561"/>
      <c r="N235" s="557" t="s">
        <v>194</v>
      </c>
      <c r="O235" s="523">
        <v>7.5</v>
      </c>
      <c r="Q235" s="561"/>
      <c r="R235" s="557">
        <v>1</v>
      </c>
      <c r="S235" s="523" t="s">
        <v>3491</v>
      </c>
      <c r="T235" s="559"/>
      <c r="V235" s="559"/>
      <c r="W235" s="560"/>
      <c r="X235" s="559"/>
      <c r="Y235" s="559"/>
      <c r="Z235" s="559"/>
      <c r="AA235" s="559"/>
      <c r="AB235" s="557">
        <v>168</v>
      </c>
      <c r="AC235" s="414" t="s">
        <v>2060</v>
      </c>
      <c r="AD235" s="438" t="s">
        <v>498</v>
      </c>
      <c r="AE235" s="523" t="s">
        <v>499</v>
      </c>
      <c r="AF235" s="562" t="s">
        <v>500</v>
      </c>
      <c r="AG235" s="557"/>
      <c r="AH235" s="523">
        <v>0</v>
      </c>
      <c r="AI235" s="438"/>
      <c r="AJ235" s="414"/>
      <c r="AK235" s="523" t="s">
        <v>1932</v>
      </c>
      <c r="AQ235" s="557"/>
      <c r="AV235" s="561"/>
      <c r="AW235" s="414" t="str">
        <f t="shared" si="21"/>
        <v>1,1-Dichloroethane, Pressure</v>
      </c>
      <c r="AX235" s="414" t="b">
        <f t="shared" si="25"/>
        <v>0</v>
      </c>
      <c r="AY235" s="523" t="b">
        <f t="array" ref="AY235">AND(D235:G235=inp_used_minimal,A235=inp_used_usersel)</f>
        <v>0</v>
      </c>
      <c r="AZ235" s="523" t="b">
        <f t="array" ref="AZ235">AND(A235=inp_used_usersel,D235:R235=inp_used_nonvessel1,AB235:AV235=inp_used_nonvessel2,IF(B235=1,inp_used_pressure=inp_autosize_pressure,inp_used_gravity=inp_autosize_gravity))</f>
        <v>0</v>
      </c>
      <c r="BA235" s="523" t="b">
        <f t="array" ref="BA235">AND(D235:AV235=inp_used,A235=inp_used_usersel)</f>
        <v>0</v>
      </c>
      <c r="BB235" s="523" t="b">
        <f t="shared" si="24"/>
        <v>0</v>
      </c>
      <c r="BC235" s="523" t="b">
        <f t="shared" si="24"/>
        <v>0</v>
      </c>
    </row>
    <row r="236" spans="1:55" s="523" customFormat="1">
      <c r="A236" s="523">
        <v>15</v>
      </c>
      <c r="B236" s="523">
        <v>1</v>
      </c>
      <c r="C236" s="523">
        <v>4</v>
      </c>
      <c r="D236" s="557">
        <v>0.74</v>
      </c>
      <c r="E236" s="523" t="s">
        <v>188</v>
      </c>
      <c r="F236" s="414">
        <v>0.251</v>
      </c>
      <c r="G236" s="523" t="s">
        <v>188</v>
      </c>
      <c r="H236" s="557" t="s">
        <v>3139</v>
      </c>
      <c r="I236" s="523" t="s">
        <v>936</v>
      </c>
      <c r="J236" s="414">
        <v>5560</v>
      </c>
      <c r="M236" s="561"/>
      <c r="N236" s="557" t="s">
        <v>194</v>
      </c>
      <c r="O236" s="523">
        <v>7.5</v>
      </c>
      <c r="Q236" s="561"/>
      <c r="R236" s="557">
        <v>1</v>
      </c>
      <c r="S236" s="523" t="s">
        <v>3491</v>
      </c>
      <c r="T236" s="559"/>
      <c r="V236" s="559"/>
      <c r="W236" s="560"/>
      <c r="X236" s="559"/>
      <c r="Y236" s="559"/>
      <c r="Z236" s="559"/>
      <c r="AA236" s="559"/>
      <c r="AB236" s="557">
        <v>168</v>
      </c>
      <c r="AC236" s="414" t="s">
        <v>2060</v>
      </c>
      <c r="AD236" s="438" t="s">
        <v>498</v>
      </c>
      <c r="AE236" s="523" t="s">
        <v>499</v>
      </c>
      <c r="AF236" s="562" t="s">
        <v>500</v>
      </c>
      <c r="AG236" s="557"/>
      <c r="AH236" s="523">
        <v>0</v>
      </c>
      <c r="AI236" s="438"/>
      <c r="AJ236" s="414"/>
      <c r="AK236" s="523" t="s">
        <v>1932</v>
      </c>
      <c r="AQ236" s="557"/>
      <c r="AV236" s="561"/>
      <c r="AW236" s="414" t="str">
        <f t="shared" si="21"/>
        <v>1,1-Dichloroethane, Pressure</v>
      </c>
      <c r="AX236" s="414" t="b">
        <f t="shared" si="25"/>
        <v>0</v>
      </c>
      <c r="AY236" s="523" t="b">
        <f t="array" ref="AY236">AND(D236:G236=inp_used_minimal,A236=inp_used_usersel)</f>
        <v>0</v>
      </c>
      <c r="AZ236" s="523" t="b">
        <f t="array" ref="AZ236">AND(A236=inp_used_usersel,D236:R236=inp_used_nonvessel1,AB236:AV236=inp_used_nonvessel2,IF(B236=1,inp_used_pressure=inp_autosize_pressure,inp_used_gravity=inp_autosize_gravity))</f>
        <v>0</v>
      </c>
      <c r="BA236" s="523" t="b">
        <f t="array" ref="BA236">AND(D236:AV236=inp_used,A236=inp_used_usersel)</f>
        <v>0</v>
      </c>
      <c r="BB236" s="523" t="b">
        <f t="shared" si="24"/>
        <v>0</v>
      </c>
      <c r="BC236" s="523" t="b">
        <f t="shared" si="24"/>
        <v>0</v>
      </c>
    </row>
    <row r="237" spans="1:55" s="523" customFormat="1">
      <c r="A237" s="523">
        <v>15</v>
      </c>
      <c r="B237" s="523">
        <v>1</v>
      </c>
      <c r="C237" s="414">
        <v>5</v>
      </c>
      <c r="D237" s="529">
        <v>2.1520000000000001</v>
      </c>
      <c r="E237" s="523" t="s">
        <v>188</v>
      </c>
      <c r="F237" s="414">
        <v>0.81899999999999995</v>
      </c>
      <c r="G237" s="523" t="s">
        <v>188</v>
      </c>
      <c r="H237" s="557" t="s">
        <v>3139</v>
      </c>
      <c r="I237" s="523" t="s">
        <v>936</v>
      </c>
      <c r="J237" s="414">
        <v>5560</v>
      </c>
      <c r="M237" s="561"/>
      <c r="N237" s="557" t="s">
        <v>194</v>
      </c>
      <c r="O237" s="523">
        <v>7.5</v>
      </c>
      <c r="Q237" s="561"/>
      <c r="R237" s="557">
        <v>1</v>
      </c>
      <c r="S237" s="523" t="s">
        <v>3491</v>
      </c>
      <c r="T237" s="559"/>
      <c r="V237" s="559"/>
      <c r="W237" s="560"/>
      <c r="X237" s="559"/>
      <c r="Y237" s="559"/>
      <c r="Z237" s="559"/>
      <c r="AA237" s="559"/>
      <c r="AB237" s="557">
        <v>168</v>
      </c>
      <c r="AC237" s="414" t="s">
        <v>2060</v>
      </c>
      <c r="AD237" s="438" t="s">
        <v>498</v>
      </c>
      <c r="AE237" s="523" t="s">
        <v>2615</v>
      </c>
      <c r="AF237" s="562" t="s">
        <v>500</v>
      </c>
      <c r="AG237" s="557"/>
      <c r="AH237" s="523">
        <v>0</v>
      </c>
      <c r="AI237" s="438"/>
      <c r="AJ237" s="414"/>
      <c r="AK237" s="523" t="s">
        <v>1932</v>
      </c>
      <c r="AQ237" s="557"/>
      <c r="AV237" s="561"/>
      <c r="AW237" s="414" t="str">
        <f t="shared" si="21"/>
        <v>1,1-Dichloroethane, Pressure</v>
      </c>
      <c r="AX237" s="414" t="b">
        <f t="shared" si="25"/>
        <v>0</v>
      </c>
      <c r="AY237" s="523" t="b">
        <f t="array" ref="AY237">AND(D237:G237=inp_used_minimal,A237=inp_used_usersel)</f>
        <v>0</v>
      </c>
      <c r="AZ237" s="523" t="b">
        <f t="array" ref="AZ237">AND(A237=inp_used_usersel,D237:R237=inp_used_nonvessel1,AB237:AV237=inp_used_nonvessel2,IF(B237=1,inp_used_pressure=inp_autosize_pressure,inp_used_gravity=inp_autosize_gravity))</f>
        <v>0</v>
      </c>
      <c r="BA237" s="523" t="b">
        <f t="array" ref="BA237">AND(D237:AV237=inp_used,A237=inp_used_usersel)</f>
        <v>0</v>
      </c>
      <c r="BB237" s="523" t="b">
        <f t="shared" si="24"/>
        <v>0</v>
      </c>
      <c r="BC237" s="523" t="b">
        <f t="shared" si="24"/>
        <v>0</v>
      </c>
    </row>
    <row r="238" spans="1:55" s="523" customFormat="1">
      <c r="A238" s="523">
        <v>15</v>
      </c>
      <c r="B238" s="523">
        <v>1</v>
      </c>
      <c r="C238" s="414">
        <v>6</v>
      </c>
      <c r="D238" s="529">
        <v>7.3650000000000002</v>
      </c>
      <c r="E238" s="523" t="s">
        <v>188</v>
      </c>
      <c r="F238" s="414">
        <v>3.2</v>
      </c>
      <c r="G238" s="523" t="s">
        <v>188</v>
      </c>
      <c r="H238" s="557" t="s">
        <v>3139</v>
      </c>
      <c r="I238" s="523" t="s">
        <v>936</v>
      </c>
      <c r="J238" s="414">
        <v>5560</v>
      </c>
      <c r="M238" s="561"/>
      <c r="N238" s="557" t="s">
        <v>194</v>
      </c>
      <c r="O238" s="523">
        <v>7.5</v>
      </c>
      <c r="Q238" s="561"/>
      <c r="R238" s="557">
        <v>1</v>
      </c>
      <c r="S238" s="523" t="s">
        <v>3491</v>
      </c>
      <c r="T238" s="559"/>
      <c r="V238" s="559"/>
      <c r="W238" s="560"/>
      <c r="X238" s="559"/>
      <c r="Y238" s="559"/>
      <c r="Z238" s="559"/>
      <c r="AA238" s="559"/>
      <c r="AB238" s="557">
        <v>168</v>
      </c>
      <c r="AC238" s="414" t="s">
        <v>2060</v>
      </c>
      <c r="AD238" s="438" t="s">
        <v>498</v>
      </c>
      <c r="AE238" s="523" t="s">
        <v>2615</v>
      </c>
      <c r="AF238" s="562" t="s">
        <v>500</v>
      </c>
      <c r="AG238" s="557"/>
      <c r="AH238" s="523">
        <v>0</v>
      </c>
      <c r="AI238" s="438"/>
      <c r="AJ238" s="414"/>
      <c r="AK238" s="523" t="s">
        <v>1932</v>
      </c>
      <c r="AQ238" s="557"/>
      <c r="AV238" s="561"/>
      <c r="AW238" s="414" t="str">
        <f t="shared" si="21"/>
        <v>1,1-Dichloroethane, Pressure</v>
      </c>
      <c r="AX238" s="414" t="b">
        <f t="shared" si="25"/>
        <v>0</v>
      </c>
      <c r="AY238" s="523" t="b">
        <f t="array" ref="AY238">AND(D238:G238=inp_used_minimal,A238=inp_used_usersel)</f>
        <v>0</v>
      </c>
      <c r="AZ238" s="523" t="b">
        <f t="array" ref="AZ238">AND(A238=inp_used_usersel,D238:R238=inp_used_nonvessel1,AB238:AV238=inp_used_nonvessel2,IF(B238=1,inp_used_pressure=inp_autosize_pressure,inp_used_gravity=inp_autosize_gravity))</f>
        <v>0</v>
      </c>
      <c r="BA238" s="523" t="b">
        <f t="array" ref="BA238">AND(D238:AV238=inp_used,A238=inp_used_usersel)</f>
        <v>0</v>
      </c>
      <c r="BB238" s="523" t="b">
        <f t="shared" si="24"/>
        <v>0</v>
      </c>
      <c r="BC238" s="523" t="b">
        <f t="shared" si="24"/>
        <v>0</v>
      </c>
    </row>
    <row r="239" spans="1:55" s="523" customFormat="1">
      <c r="A239" s="523">
        <v>15</v>
      </c>
      <c r="B239" s="523">
        <v>1</v>
      </c>
      <c r="C239" s="414">
        <v>7</v>
      </c>
      <c r="D239" s="529">
        <v>22.614000000000001</v>
      </c>
      <c r="E239" s="523" t="s">
        <v>188</v>
      </c>
      <c r="F239" s="414">
        <v>11.066000000000001</v>
      </c>
      <c r="G239" s="523" t="s">
        <v>188</v>
      </c>
      <c r="H239" s="557" t="s">
        <v>3139</v>
      </c>
      <c r="I239" s="523" t="s">
        <v>936</v>
      </c>
      <c r="J239" s="414">
        <v>5560</v>
      </c>
      <c r="M239" s="561"/>
      <c r="N239" s="557" t="s">
        <v>194</v>
      </c>
      <c r="O239" s="523">
        <v>7.5</v>
      </c>
      <c r="Q239" s="561"/>
      <c r="R239" s="557">
        <v>1</v>
      </c>
      <c r="S239" s="523" t="s">
        <v>3491</v>
      </c>
      <c r="T239" s="559"/>
      <c r="V239" s="559"/>
      <c r="W239" s="560"/>
      <c r="X239" s="559"/>
      <c r="Y239" s="559"/>
      <c r="Z239" s="559"/>
      <c r="AA239" s="559"/>
      <c r="AB239" s="557">
        <v>168</v>
      </c>
      <c r="AC239" s="414" t="s">
        <v>2060</v>
      </c>
      <c r="AD239" s="438" t="s">
        <v>498</v>
      </c>
      <c r="AE239" s="523" t="s">
        <v>2615</v>
      </c>
      <c r="AF239" s="562" t="s">
        <v>500</v>
      </c>
      <c r="AG239" s="557"/>
      <c r="AH239" s="523">
        <v>0</v>
      </c>
      <c r="AI239" s="438"/>
      <c r="AJ239" s="414"/>
      <c r="AK239" s="523" t="s">
        <v>1932</v>
      </c>
      <c r="AQ239" s="557"/>
      <c r="AV239" s="561"/>
      <c r="AW239" s="414" t="str">
        <f t="shared" si="21"/>
        <v>1,1-Dichloroethane, Pressure</v>
      </c>
      <c r="AX239" s="414" t="b">
        <f t="shared" si="25"/>
        <v>0</v>
      </c>
      <c r="AY239" s="523" t="b">
        <f t="array" ref="AY239">AND(D239:G239=inp_used_minimal,A239=inp_used_usersel)</f>
        <v>0</v>
      </c>
      <c r="AZ239" s="523" t="b">
        <f t="array" ref="AZ239">AND(A239=inp_used_usersel,D239:R239=inp_used_nonvessel1,AB239:AV239=inp_used_nonvessel2,IF(B239=1,inp_used_pressure=inp_autosize_pressure,inp_used_gravity=inp_autosize_gravity))</f>
        <v>0</v>
      </c>
      <c r="BA239" s="523" t="b">
        <f t="array" ref="BA239">AND(D239:AV239=inp_used,A239=inp_used_usersel)</f>
        <v>0</v>
      </c>
      <c r="BB239" s="523" t="b">
        <f t="shared" si="24"/>
        <v>0</v>
      </c>
      <c r="BC239" s="523" t="b">
        <f t="shared" si="24"/>
        <v>0</v>
      </c>
    </row>
    <row r="240" spans="1:55" s="563" customFormat="1">
      <c r="A240" s="563">
        <v>15</v>
      </c>
      <c r="B240" s="563">
        <v>1</v>
      </c>
      <c r="C240" s="564">
        <v>8</v>
      </c>
      <c r="D240" s="918">
        <v>75.072000000000003</v>
      </c>
      <c r="E240" s="563" t="s">
        <v>188</v>
      </c>
      <c r="F240" s="564">
        <v>37.536000000000001</v>
      </c>
      <c r="G240" s="563" t="s">
        <v>188</v>
      </c>
      <c r="H240" s="919" t="s">
        <v>3139</v>
      </c>
      <c r="I240" s="563" t="s">
        <v>936</v>
      </c>
      <c r="J240" s="564">
        <v>5560</v>
      </c>
      <c r="M240" s="565"/>
      <c r="N240" s="919" t="s">
        <v>194</v>
      </c>
      <c r="O240" s="563">
        <v>7.5</v>
      </c>
      <c r="Q240" s="565"/>
      <c r="R240" s="919">
        <v>1</v>
      </c>
      <c r="S240" s="563" t="s">
        <v>3491</v>
      </c>
      <c r="T240" s="566"/>
      <c r="V240" s="566"/>
      <c r="W240" s="567"/>
      <c r="X240" s="566"/>
      <c r="Y240" s="566"/>
      <c r="Z240" s="566"/>
      <c r="AA240" s="567"/>
      <c r="AB240" s="919">
        <v>168</v>
      </c>
      <c r="AC240" s="564" t="s">
        <v>2060</v>
      </c>
      <c r="AD240" s="568" t="s">
        <v>498</v>
      </c>
      <c r="AE240" s="563" t="s">
        <v>2615</v>
      </c>
      <c r="AF240" s="554" t="s">
        <v>500</v>
      </c>
      <c r="AG240" s="919"/>
      <c r="AH240" s="563">
        <v>0</v>
      </c>
      <c r="AI240" s="568"/>
      <c r="AJ240" s="564"/>
      <c r="AK240" s="563" t="s">
        <v>1932</v>
      </c>
      <c r="AP240" s="565"/>
      <c r="AQ240" s="919"/>
      <c r="AV240" s="565"/>
      <c r="AW240" s="564" t="str">
        <f t="shared" si="21"/>
        <v>1,1-Dichloroethane, Pressure</v>
      </c>
      <c r="AX240" s="564" t="b">
        <f t="shared" si="25"/>
        <v>0</v>
      </c>
      <c r="AY240" s="563" t="b">
        <f t="array" ref="AY240">AND(D240:G240=inp_used_minimal,A240=inp_used_usersel)</f>
        <v>0</v>
      </c>
      <c r="AZ240" s="563" t="b">
        <f t="array" ref="AZ240">AND(A240=inp_used_usersel,D240:R240=inp_used_nonvessel1,AB240:AV240=inp_used_nonvessel2,IF(B240=1,inp_used_pressure=inp_autosize_pressure,inp_used_gravity=inp_autosize_gravity))</f>
        <v>0</v>
      </c>
      <c r="BA240" s="563" t="b">
        <f t="array" ref="BA240">AND(D240:AV240=inp_used,A240=inp_used_usersel)</f>
        <v>0</v>
      </c>
      <c r="BB240" s="563" t="b">
        <f t="shared" si="24"/>
        <v>0</v>
      </c>
      <c r="BC240" s="563" t="b">
        <f t="shared" si="24"/>
        <v>0</v>
      </c>
    </row>
    <row r="241" spans="1:55" s="523" customFormat="1">
      <c r="A241" s="523">
        <v>15</v>
      </c>
      <c r="B241" s="523">
        <v>2</v>
      </c>
      <c r="C241" s="523">
        <v>1</v>
      </c>
      <c r="D241" s="917">
        <v>0.03</v>
      </c>
      <c r="E241" s="523" t="s">
        <v>188</v>
      </c>
      <c r="F241" s="414">
        <v>7.0000000000000001E-3</v>
      </c>
      <c r="G241" s="523" t="s">
        <v>188</v>
      </c>
      <c r="H241" s="917" t="s">
        <v>3139</v>
      </c>
      <c r="I241" s="523" t="s">
        <v>936</v>
      </c>
      <c r="J241" s="414">
        <v>5560</v>
      </c>
      <c r="M241" s="561"/>
      <c r="N241" s="917" t="s">
        <v>194</v>
      </c>
      <c r="O241" s="523">
        <v>7.5</v>
      </c>
      <c r="Q241" s="561"/>
      <c r="R241" s="917"/>
      <c r="T241" s="559"/>
      <c r="U241" s="559"/>
      <c r="V241" s="559"/>
      <c r="W241" s="560"/>
      <c r="X241" s="559" t="s">
        <v>3491</v>
      </c>
      <c r="Y241" s="414"/>
      <c r="Z241" s="414"/>
      <c r="AA241" s="414"/>
      <c r="AB241" s="917">
        <v>168</v>
      </c>
      <c r="AC241" s="414" t="s">
        <v>2060</v>
      </c>
      <c r="AD241" s="414" t="s">
        <v>2875</v>
      </c>
      <c r="AE241" s="523" t="s">
        <v>499</v>
      </c>
      <c r="AF241" s="414" t="s">
        <v>500</v>
      </c>
      <c r="AG241" s="917"/>
      <c r="AH241" s="523">
        <v>0</v>
      </c>
      <c r="AI241" s="438"/>
      <c r="AJ241" s="414"/>
      <c r="AK241" s="523" t="s">
        <v>1932</v>
      </c>
      <c r="AQ241" s="917"/>
      <c r="AV241" s="561"/>
      <c r="AW241" s="414" t="str">
        <f t="shared" si="21"/>
        <v>1,1-Dichloroethane, Gravity</v>
      </c>
      <c r="AX241" s="414" t="b">
        <f t="shared" si="25"/>
        <v>0</v>
      </c>
      <c r="AY241" s="523" t="b">
        <f t="array" ref="AY241">AND(D241:G241=inp_used_minimal,A241=inp_used_usersel)</f>
        <v>0</v>
      </c>
      <c r="AZ241" s="523" t="b">
        <f t="array" ref="AZ241">AND(A241=inp_used_usersel,D241:R241=inp_used_nonvessel1,AB241:AV241=inp_used_nonvessel2,IF(B241=1,inp_used_pressure=inp_autosize_pressure,inp_used_gravity=inp_autosize_gravity))</f>
        <v>0</v>
      </c>
      <c r="BA241" s="523" t="b">
        <f t="array" ref="BA241">AND(D241:AV241=inp_used,A241=inp_used_usersel)</f>
        <v>0</v>
      </c>
    </row>
    <row r="242" spans="1:55" s="523" customFormat="1">
      <c r="A242" s="523">
        <v>15</v>
      </c>
      <c r="B242" s="523">
        <v>2</v>
      </c>
      <c r="C242" s="523">
        <v>2</v>
      </c>
      <c r="D242" s="557">
        <v>0.124</v>
      </c>
      <c r="E242" s="523" t="s">
        <v>188</v>
      </c>
      <c r="F242" s="414">
        <v>3.5000000000000003E-2</v>
      </c>
      <c r="G242" s="523" t="s">
        <v>188</v>
      </c>
      <c r="H242" s="557" t="s">
        <v>3139</v>
      </c>
      <c r="I242" s="523" t="s">
        <v>936</v>
      </c>
      <c r="J242" s="414">
        <v>5560</v>
      </c>
      <c r="M242" s="561"/>
      <c r="N242" s="557" t="s">
        <v>194</v>
      </c>
      <c r="O242" s="523">
        <v>7.5</v>
      </c>
      <c r="Q242" s="561"/>
      <c r="R242" s="557"/>
      <c r="T242" s="559"/>
      <c r="U242" s="559"/>
      <c r="V242" s="559"/>
      <c r="W242" s="560"/>
      <c r="X242" s="559" t="s">
        <v>3491</v>
      </c>
      <c r="Y242" s="414"/>
      <c r="Z242" s="414"/>
      <c r="AA242" s="414"/>
      <c r="AB242" s="557">
        <v>168</v>
      </c>
      <c r="AC242" s="414" t="s">
        <v>2060</v>
      </c>
      <c r="AD242" s="414" t="s">
        <v>2875</v>
      </c>
      <c r="AE242" s="523" t="s">
        <v>499</v>
      </c>
      <c r="AF242" s="414" t="s">
        <v>500</v>
      </c>
      <c r="AG242" s="557"/>
      <c r="AH242" s="523">
        <v>0</v>
      </c>
      <c r="AI242" s="438"/>
      <c r="AJ242" s="414"/>
      <c r="AK242" s="523" t="s">
        <v>1932</v>
      </c>
      <c r="AQ242" s="557"/>
      <c r="AV242" s="561"/>
      <c r="AW242" s="414" t="str">
        <f t="shared" si="21"/>
        <v>1,1-Dichloroethane, Gravity</v>
      </c>
      <c r="AX242" s="414" t="b">
        <f t="shared" si="25"/>
        <v>0</v>
      </c>
      <c r="AY242" s="523" t="b">
        <f t="array" ref="AY242">AND(D242:G242=inp_used_minimal,A242=inp_used_usersel)</f>
        <v>0</v>
      </c>
      <c r="AZ242" s="523" t="b">
        <f t="array" ref="AZ242">AND(A242=inp_used_usersel,D242:R242=inp_used_nonvessel1,AB242:AV242=inp_used_nonvessel2,IF(B242=1,inp_used_pressure=inp_autosize_pressure,inp_used_gravity=inp_autosize_gravity))</f>
        <v>0</v>
      </c>
      <c r="BA242" s="523" t="b">
        <f t="array" ref="BA242">AND(D242:AV242=inp_used,A242=inp_used_usersel)</f>
        <v>0</v>
      </c>
    </row>
    <row r="243" spans="1:55" s="523" customFormat="1">
      <c r="A243" s="523">
        <v>15</v>
      </c>
      <c r="B243" s="523">
        <v>2</v>
      </c>
      <c r="C243" s="523">
        <v>3</v>
      </c>
      <c r="D243" s="557">
        <v>0.30499999999999999</v>
      </c>
      <c r="E243" s="523" t="s">
        <v>188</v>
      </c>
      <c r="F243" s="414">
        <v>9.4E-2</v>
      </c>
      <c r="G243" s="523" t="s">
        <v>188</v>
      </c>
      <c r="H243" s="557" t="s">
        <v>3139</v>
      </c>
      <c r="I243" s="523" t="s">
        <v>936</v>
      </c>
      <c r="J243" s="414">
        <v>5560</v>
      </c>
      <c r="M243" s="561"/>
      <c r="N243" s="557" t="s">
        <v>194</v>
      </c>
      <c r="O243" s="523">
        <v>7.5</v>
      </c>
      <c r="Q243" s="561"/>
      <c r="R243" s="557"/>
      <c r="T243" s="559"/>
      <c r="U243" s="559"/>
      <c r="V243" s="559"/>
      <c r="W243" s="560"/>
      <c r="X243" s="559" t="s">
        <v>3491</v>
      </c>
      <c r="Y243" s="414"/>
      <c r="Z243" s="414"/>
      <c r="AA243" s="414"/>
      <c r="AB243" s="557">
        <v>168</v>
      </c>
      <c r="AC243" s="414" t="s">
        <v>2060</v>
      </c>
      <c r="AD243" s="414" t="s">
        <v>2875</v>
      </c>
      <c r="AE243" s="523" t="s">
        <v>499</v>
      </c>
      <c r="AF243" s="414" t="s">
        <v>500</v>
      </c>
      <c r="AG243" s="557"/>
      <c r="AH243" s="523">
        <v>0</v>
      </c>
      <c r="AI243" s="438"/>
      <c r="AJ243" s="414"/>
      <c r="AK243" s="523" t="s">
        <v>1932</v>
      </c>
      <c r="AQ243" s="557"/>
      <c r="AV243" s="561"/>
      <c r="AW243" s="414" t="str">
        <f t="shared" si="21"/>
        <v>1,1-Dichloroethane, Gravity</v>
      </c>
      <c r="AX243" s="414" t="b">
        <f t="shared" si="25"/>
        <v>0</v>
      </c>
      <c r="AY243" s="523" t="b">
        <f t="array" ref="AY243">AND(D243:G243=inp_used_minimal,A243=inp_used_usersel)</f>
        <v>0</v>
      </c>
      <c r="AZ243" s="523" t="b">
        <f t="array" ref="AZ243">AND(A243=inp_used_usersel,D243:R243=inp_used_nonvessel1,AB243:AV243=inp_used_nonvessel2,IF(B243=1,inp_used_pressure=inp_autosize_pressure,inp_used_gravity=inp_autosize_gravity))</f>
        <v>0</v>
      </c>
      <c r="BA243" s="523" t="b">
        <f t="array" ref="BA243">AND(D243:AV243=inp_used,A243=inp_used_usersel)</f>
        <v>0</v>
      </c>
    </row>
    <row r="244" spans="1:55" s="523" customFormat="1">
      <c r="A244" s="523">
        <v>15</v>
      </c>
      <c r="B244" s="523">
        <v>2</v>
      </c>
      <c r="C244" s="523">
        <v>4</v>
      </c>
      <c r="D244" s="557">
        <v>0.74</v>
      </c>
      <c r="E244" s="523" t="s">
        <v>188</v>
      </c>
      <c r="F244" s="414">
        <v>0.251</v>
      </c>
      <c r="G244" s="523" t="s">
        <v>188</v>
      </c>
      <c r="H244" s="557" t="s">
        <v>3139</v>
      </c>
      <c r="I244" s="523" t="s">
        <v>936</v>
      </c>
      <c r="J244" s="414">
        <v>5560</v>
      </c>
      <c r="M244" s="561"/>
      <c r="N244" s="557" t="s">
        <v>194</v>
      </c>
      <c r="O244" s="523">
        <v>7.5</v>
      </c>
      <c r="Q244" s="561"/>
      <c r="R244" s="557"/>
      <c r="T244" s="559"/>
      <c r="U244" s="559"/>
      <c r="V244" s="559"/>
      <c r="W244" s="560"/>
      <c r="X244" s="559" t="s">
        <v>3491</v>
      </c>
      <c r="Y244" s="414"/>
      <c r="Z244" s="414"/>
      <c r="AA244" s="414"/>
      <c r="AB244" s="557">
        <v>168</v>
      </c>
      <c r="AC244" s="414" t="s">
        <v>2060</v>
      </c>
      <c r="AD244" s="414" t="s">
        <v>2875</v>
      </c>
      <c r="AE244" s="523" t="s">
        <v>499</v>
      </c>
      <c r="AF244" s="414" t="s">
        <v>500</v>
      </c>
      <c r="AG244" s="557"/>
      <c r="AH244" s="523">
        <v>0</v>
      </c>
      <c r="AI244" s="438"/>
      <c r="AJ244" s="414"/>
      <c r="AK244" s="523" t="s">
        <v>1932</v>
      </c>
      <c r="AQ244" s="557"/>
      <c r="AV244" s="561"/>
      <c r="AW244" s="414" t="str">
        <f t="shared" si="21"/>
        <v>1,1-Dichloroethane, Gravity</v>
      </c>
      <c r="AX244" s="414" t="b">
        <f t="shared" si="25"/>
        <v>0</v>
      </c>
      <c r="AY244" s="523" t="b">
        <f t="array" ref="AY244">AND(D244:G244=inp_used_minimal,A244=inp_used_usersel)</f>
        <v>0</v>
      </c>
      <c r="AZ244" s="523" t="b">
        <f t="array" ref="AZ244">AND(A244=inp_used_usersel,D244:R244=inp_used_nonvessel1,AB244:AV244=inp_used_nonvessel2,IF(B244=1,inp_used_pressure=inp_autosize_pressure,inp_used_gravity=inp_autosize_gravity))</f>
        <v>0</v>
      </c>
      <c r="BA244" s="523" t="b">
        <f t="array" ref="BA244">AND(D244:AV244=inp_used,A244=inp_used_usersel)</f>
        <v>0</v>
      </c>
    </row>
    <row r="245" spans="1:55" s="523" customFormat="1">
      <c r="A245" s="523">
        <v>15</v>
      </c>
      <c r="B245" s="523">
        <v>2</v>
      </c>
      <c r="C245" s="414">
        <v>5</v>
      </c>
      <c r="D245" s="529">
        <v>2.1520000000000001</v>
      </c>
      <c r="E245" s="523" t="s">
        <v>188</v>
      </c>
      <c r="F245" s="414">
        <v>0.81899999999999995</v>
      </c>
      <c r="G245" s="523" t="s">
        <v>188</v>
      </c>
      <c r="H245" s="557" t="s">
        <v>3139</v>
      </c>
      <c r="I245" s="523" t="s">
        <v>936</v>
      </c>
      <c r="J245" s="414">
        <v>5560</v>
      </c>
      <c r="M245" s="561"/>
      <c r="N245" s="557" t="s">
        <v>194</v>
      </c>
      <c r="O245" s="523">
        <v>7.5</v>
      </c>
      <c r="Q245" s="561"/>
      <c r="R245" s="557"/>
      <c r="T245" s="559"/>
      <c r="U245" s="559"/>
      <c r="V245" s="559"/>
      <c r="W245" s="560"/>
      <c r="X245" s="559" t="s">
        <v>3491</v>
      </c>
      <c r="Y245" s="414"/>
      <c r="Z245" s="414"/>
      <c r="AA245" s="414"/>
      <c r="AB245" s="557">
        <v>168</v>
      </c>
      <c r="AC245" s="414" t="s">
        <v>2060</v>
      </c>
      <c r="AD245" s="414" t="s">
        <v>2875</v>
      </c>
      <c r="AE245" s="523" t="s">
        <v>2615</v>
      </c>
      <c r="AF245" s="414" t="s">
        <v>500</v>
      </c>
      <c r="AG245" s="557"/>
      <c r="AH245" s="523">
        <v>0</v>
      </c>
      <c r="AI245" s="438"/>
      <c r="AJ245" s="414"/>
      <c r="AK245" s="523" t="s">
        <v>1932</v>
      </c>
      <c r="AQ245" s="557"/>
      <c r="AV245" s="561"/>
      <c r="AW245" s="414" t="str">
        <f t="shared" si="21"/>
        <v>1,1-Dichloroethane, Gravity</v>
      </c>
      <c r="AX245" s="414" t="b">
        <f t="shared" si="25"/>
        <v>0</v>
      </c>
      <c r="AY245" s="523" t="b">
        <f t="array" ref="AY245">AND(D245:G245=inp_used_minimal,A245=inp_used_usersel)</f>
        <v>0</v>
      </c>
      <c r="AZ245" s="523" t="b">
        <f t="array" ref="AZ245">AND(A245=inp_used_usersel,D245:R245=inp_used_nonvessel1,AB245:AV245=inp_used_nonvessel2,IF(B245=1,inp_used_pressure=inp_autosize_pressure,inp_used_gravity=inp_autosize_gravity))</f>
        <v>0</v>
      </c>
      <c r="BA245" s="523" t="b">
        <f t="array" ref="BA245">AND(D245:AV245=inp_used,A245=inp_used_usersel)</f>
        <v>0</v>
      </c>
    </row>
    <row r="246" spans="1:55" s="523" customFormat="1">
      <c r="A246" s="523">
        <v>15</v>
      </c>
      <c r="B246" s="523">
        <v>2</v>
      </c>
      <c r="C246" s="414">
        <v>6</v>
      </c>
      <c r="D246" s="529">
        <v>7.3650000000000002</v>
      </c>
      <c r="E246" s="523" t="s">
        <v>188</v>
      </c>
      <c r="F246" s="414">
        <v>3.2</v>
      </c>
      <c r="G246" s="523" t="s">
        <v>188</v>
      </c>
      <c r="H246" s="557" t="s">
        <v>3139</v>
      </c>
      <c r="I246" s="523" t="s">
        <v>936</v>
      </c>
      <c r="J246" s="414">
        <v>5560</v>
      </c>
      <c r="M246" s="561"/>
      <c r="N246" s="557" t="s">
        <v>194</v>
      </c>
      <c r="O246" s="523">
        <v>7.5</v>
      </c>
      <c r="Q246" s="561"/>
      <c r="R246" s="557"/>
      <c r="T246" s="559"/>
      <c r="U246" s="559"/>
      <c r="V246" s="559"/>
      <c r="W246" s="560"/>
      <c r="X246" s="559" t="s">
        <v>3491</v>
      </c>
      <c r="Y246" s="414"/>
      <c r="Z246" s="414"/>
      <c r="AA246" s="414"/>
      <c r="AB246" s="557">
        <v>168</v>
      </c>
      <c r="AC246" s="414" t="s">
        <v>2060</v>
      </c>
      <c r="AD246" s="414" t="s">
        <v>2875</v>
      </c>
      <c r="AE246" s="523" t="s">
        <v>2615</v>
      </c>
      <c r="AF246" s="414" t="s">
        <v>500</v>
      </c>
      <c r="AG246" s="557"/>
      <c r="AH246" s="523">
        <v>0</v>
      </c>
      <c r="AI246" s="438"/>
      <c r="AJ246" s="414"/>
      <c r="AK246" s="523" t="s">
        <v>1932</v>
      </c>
      <c r="AQ246" s="557"/>
      <c r="AV246" s="561"/>
      <c r="AW246" s="414" t="str">
        <f t="shared" si="21"/>
        <v>1,1-Dichloroethane, Gravity</v>
      </c>
      <c r="AX246" s="414" t="b">
        <f t="shared" si="25"/>
        <v>0</v>
      </c>
      <c r="AY246" s="523" t="b">
        <f t="array" ref="AY246">AND(D246:G246=inp_used_minimal,A246=inp_used_usersel)</f>
        <v>0</v>
      </c>
      <c r="AZ246" s="523" t="b">
        <f t="array" ref="AZ246">AND(A246=inp_used_usersel,D246:R246=inp_used_nonvessel1,AB246:AV246=inp_used_nonvessel2,IF(B246=1,inp_used_pressure=inp_autosize_pressure,inp_used_gravity=inp_autosize_gravity))</f>
        <v>0</v>
      </c>
      <c r="BA246" s="523" t="b">
        <f t="array" ref="BA246">AND(D246:AV246=inp_used,A246=inp_used_usersel)</f>
        <v>0</v>
      </c>
    </row>
    <row r="247" spans="1:55" s="523" customFormat="1">
      <c r="A247" s="523">
        <v>15</v>
      </c>
      <c r="B247" s="523">
        <v>2</v>
      </c>
      <c r="C247" s="414">
        <v>7</v>
      </c>
      <c r="D247" s="529">
        <v>22.614000000000001</v>
      </c>
      <c r="E247" s="523" t="s">
        <v>188</v>
      </c>
      <c r="F247" s="414">
        <v>11.066000000000001</v>
      </c>
      <c r="G247" s="523" t="s">
        <v>188</v>
      </c>
      <c r="H247" s="557" t="s">
        <v>3139</v>
      </c>
      <c r="I247" s="523" t="s">
        <v>936</v>
      </c>
      <c r="J247" s="414">
        <v>5560</v>
      </c>
      <c r="M247" s="561"/>
      <c r="N247" s="557" t="s">
        <v>194</v>
      </c>
      <c r="O247" s="523">
        <v>7.5</v>
      </c>
      <c r="Q247" s="561"/>
      <c r="R247" s="557"/>
      <c r="T247" s="559"/>
      <c r="U247" s="559"/>
      <c r="V247" s="559"/>
      <c r="W247" s="560"/>
      <c r="X247" s="559" t="s">
        <v>3491</v>
      </c>
      <c r="Y247" s="414"/>
      <c r="Z247" s="414"/>
      <c r="AA247" s="414"/>
      <c r="AB247" s="557">
        <v>168</v>
      </c>
      <c r="AC247" s="414" t="s">
        <v>2060</v>
      </c>
      <c r="AD247" s="414" t="s">
        <v>2875</v>
      </c>
      <c r="AE247" s="523" t="s">
        <v>2615</v>
      </c>
      <c r="AF247" s="414" t="s">
        <v>500</v>
      </c>
      <c r="AG247" s="557"/>
      <c r="AH247" s="523">
        <v>0</v>
      </c>
      <c r="AI247" s="438"/>
      <c r="AJ247" s="414"/>
      <c r="AK247" s="523" t="s">
        <v>1932</v>
      </c>
      <c r="AQ247" s="557"/>
      <c r="AV247" s="561"/>
      <c r="AW247" s="414" t="str">
        <f t="shared" si="21"/>
        <v>1,1-Dichloroethane, Gravity</v>
      </c>
      <c r="AX247" s="414" t="b">
        <f t="shared" si="25"/>
        <v>0</v>
      </c>
      <c r="AY247" s="523" t="b">
        <f t="array" ref="AY247">AND(D247:G247=inp_used_minimal,A247=inp_used_usersel)</f>
        <v>0</v>
      </c>
      <c r="AZ247" s="523" t="b">
        <f t="array" ref="AZ247">AND(A247=inp_used_usersel,D247:R247=inp_used_nonvessel1,AB247:AV247=inp_used_nonvessel2,IF(B247=1,inp_used_pressure=inp_autosize_pressure,inp_used_gravity=inp_autosize_gravity))</f>
        <v>0</v>
      </c>
      <c r="BA247" s="523" t="b">
        <f t="array" ref="BA247">AND(D247:AV247=inp_used,A247=inp_used_usersel)</f>
        <v>0</v>
      </c>
    </row>
    <row r="248" spans="1:55" s="563" customFormat="1">
      <c r="A248" s="563">
        <v>15</v>
      </c>
      <c r="B248" s="563">
        <v>2</v>
      </c>
      <c r="C248" s="564">
        <v>8</v>
      </c>
      <c r="D248" s="918">
        <v>75.072000000000003</v>
      </c>
      <c r="E248" s="563" t="s">
        <v>188</v>
      </c>
      <c r="F248" s="564">
        <v>37.536000000000001</v>
      </c>
      <c r="G248" s="563" t="s">
        <v>188</v>
      </c>
      <c r="H248" s="919" t="s">
        <v>3139</v>
      </c>
      <c r="I248" s="563" t="s">
        <v>936</v>
      </c>
      <c r="J248" s="564">
        <v>5560</v>
      </c>
      <c r="M248" s="565"/>
      <c r="N248" s="919" t="s">
        <v>194</v>
      </c>
      <c r="O248" s="563">
        <v>7.5</v>
      </c>
      <c r="Q248" s="565"/>
      <c r="R248" s="919"/>
      <c r="T248" s="566"/>
      <c r="U248" s="566"/>
      <c r="V248" s="566"/>
      <c r="W248" s="567"/>
      <c r="X248" s="566" t="s">
        <v>3491</v>
      </c>
      <c r="Y248" s="564"/>
      <c r="Z248" s="564"/>
      <c r="AA248" s="554"/>
      <c r="AB248" s="919">
        <v>168</v>
      </c>
      <c r="AC248" s="564" t="s">
        <v>2060</v>
      </c>
      <c r="AD248" s="564" t="s">
        <v>2875</v>
      </c>
      <c r="AE248" s="563" t="s">
        <v>2615</v>
      </c>
      <c r="AF248" s="564" t="s">
        <v>500</v>
      </c>
      <c r="AG248" s="919"/>
      <c r="AH248" s="563">
        <v>0</v>
      </c>
      <c r="AI248" s="568"/>
      <c r="AJ248" s="564"/>
      <c r="AK248" s="563" t="s">
        <v>1932</v>
      </c>
      <c r="AP248" s="565"/>
      <c r="AQ248" s="919"/>
      <c r="AV248" s="565"/>
      <c r="AW248" s="564" t="str">
        <f t="shared" si="21"/>
        <v>1,1-Dichloroethane, Gravity</v>
      </c>
      <c r="AX248" s="564" t="b">
        <f t="shared" si="25"/>
        <v>0</v>
      </c>
      <c r="AY248" s="563" t="b">
        <f t="array" ref="AY248">AND(D248:G248=inp_used_minimal,A248=inp_used_usersel)</f>
        <v>0</v>
      </c>
      <c r="AZ248" s="563" t="b">
        <f t="array" ref="AZ248">AND(A248=inp_used_usersel,D248:R248=inp_used_nonvessel1,AB248:AV248=inp_used_nonvessel2,IF(B248=1,inp_used_pressure=inp_autosize_pressure,inp_used_gravity=inp_autosize_gravity))</f>
        <v>0</v>
      </c>
      <c r="BA248" s="563" t="b">
        <f t="array" ref="BA248">AND(D248:AV248=inp_used,A248=inp_used_usersel)</f>
        <v>0</v>
      </c>
    </row>
    <row r="249" spans="1:55" s="523" customFormat="1">
      <c r="A249" s="523">
        <v>16</v>
      </c>
      <c r="B249" s="523">
        <v>1</v>
      </c>
      <c r="C249" s="523">
        <v>1</v>
      </c>
      <c r="D249" s="917">
        <v>0.03</v>
      </c>
      <c r="E249" s="523" t="s">
        <v>188</v>
      </c>
      <c r="F249" s="414">
        <v>7.0000000000000001E-3</v>
      </c>
      <c r="G249" s="523" t="s">
        <v>188</v>
      </c>
      <c r="H249" s="917" t="s">
        <v>3139</v>
      </c>
      <c r="I249" s="523" t="s">
        <v>936</v>
      </c>
      <c r="J249" s="414">
        <v>20500</v>
      </c>
      <c r="M249" s="561"/>
      <c r="N249" s="917" t="s">
        <v>194</v>
      </c>
      <c r="O249" s="523">
        <v>7.5</v>
      </c>
      <c r="Q249" s="561"/>
      <c r="R249" s="917">
        <v>1</v>
      </c>
      <c r="S249" s="523" t="s">
        <v>3491</v>
      </c>
      <c r="T249" s="559"/>
      <c r="V249" s="559"/>
      <c r="W249" s="560"/>
      <c r="X249" s="559"/>
      <c r="Y249" s="559"/>
      <c r="Z249" s="559"/>
      <c r="AA249" s="559"/>
      <c r="AB249" s="917">
        <v>168</v>
      </c>
      <c r="AC249" s="414" t="s">
        <v>2060</v>
      </c>
      <c r="AD249" s="438" t="s">
        <v>497</v>
      </c>
      <c r="AE249" s="523" t="s">
        <v>499</v>
      </c>
      <c r="AF249" s="561"/>
      <c r="AG249" s="917"/>
      <c r="AH249" s="523">
        <v>0</v>
      </c>
      <c r="AI249" s="438"/>
      <c r="AJ249" s="414"/>
      <c r="AK249" s="523" t="s">
        <v>1932</v>
      </c>
      <c r="AQ249" s="917"/>
      <c r="AV249" s="561"/>
      <c r="AW249" s="414" t="str">
        <f t="shared" si="21"/>
        <v>1,1,1,2-Tetrachloroethane, Pressure</v>
      </c>
      <c r="AX249" s="414" t="b">
        <f t="shared" si="25"/>
        <v>0</v>
      </c>
      <c r="AY249" s="523" t="b">
        <f t="array" ref="AY249">AND(D249:G249=inp_used_minimal,A249=inp_used_usersel)</f>
        <v>0</v>
      </c>
      <c r="AZ249" s="523" t="b">
        <f t="array" ref="AZ249">AND(A249=inp_used_usersel,D249:R249=inp_used_nonvessel1,AB249:AV249=inp_used_nonvessel2,IF(B249=1,inp_used_pressure=inp_autosize_pressure,inp_used_gravity=inp_autosize_gravity))</f>
        <v>0</v>
      </c>
      <c r="BA249" s="523" t="b">
        <f t="array" ref="BA249">AND(D249:AV249=inp_used,A249=inp_used_usersel)</f>
        <v>0</v>
      </c>
      <c r="BB249" s="523" t="b">
        <f t="shared" ref="BB249:BC256" si="26">CHOOSE(design_type,AX249,AX257)</f>
        <v>0</v>
      </c>
      <c r="BC249" s="523" t="b">
        <f t="shared" si="26"/>
        <v>0</v>
      </c>
    </row>
    <row r="250" spans="1:55" s="523" customFormat="1">
      <c r="A250" s="523">
        <v>16</v>
      </c>
      <c r="B250" s="523">
        <v>1</v>
      </c>
      <c r="C250" s="523">
        <v>2</v>
      </c>
      <c r="D250" s="557">
        <v>0.124</v>
      </c>
      <c r="E250" s="523" t="s">
        <v>188</v>
      </c>
      <c r="F250" s="414">
        <v>3.5000000000000003E-2</v>
      </c>
      <c r="G250" s="523" t="s">
        <v>188</v>
      </c>
      <c r="H250" s="557" t="s">
        <v>3139</v>
      </c>
      <c r="I250" s="523" t="s">
        <v>936</v>
      </c>
      <c r="J250" s="414">
        <v>20500</v>
      </c>
      <c r="M250" s="561"/>
      <c r="N250" s="557" t="s">
        <v>194</v>
      </c>
      <c r="O250" s="523">
        <v>7.5</v>
      </c>
      <c r="Q250" s="561"/>
      <c r="R250" s="557">
        <v>1</v>
      </c>
      <c r="S250" s="523" t="s">
        <v>3491</v>
      </c>
      <c r="T250" s="559"/>
      <c r="V250" s="559"/>
      <c r="W250" s="560"/>
      <c r="X250" s="559"/>
      <c r="Y250" s="559"/>
      <c r="Z250" s="559"/>
      <c r="AA250" s="559"/>
      <c r="AB250" s="557">
        <v>168</v>
      </c>
      <c r="AC250" s="414" t="s">
        <v>2060</v>
      </c>
      <c r="AD250" s="438" t="s">
        <v>498</v>
      </c>
      <c r="AE250" s="523" t="s">
        <v>499</v>
      </c>
      <c r="AF250" s="562" t="s">
        <v>500</v>
      </c>
      <c r="AG250" s="557"/>
      <c r="AH250" s="523">
        <v>0</v>
      </c>
      <c r="AI250" s="438"/>
      <c r="AJ250" s="414"/>
      <c r="AK250" s="523" t="s">
        <v>1932</v>
      </c>
      <c r="AQ250" s="557"/>
      <c r="AV250" s="561"/>
      <c r="AW250" s="414" t="str">
        <f t="shared" si="21"/>
        <v>1,1,1,2-Tetrachloroethane, Pressure</v>
      </c>
      <c r="AX250" s="414" t="b">
        <f t="shared" si="25"/>
        <v>0</v>
      </c>
      <c r="AY250" s="523" t="b">
        <f t="array" ref="AY250">AND(D250:G250=inp_used_minimal,A250=inp_used_usersel)</f>
        <v>0</v>
      </c>
      <c r="AZ250" s="523" t="b">
        <f t="array" ref="AZ250">AND(A250=inp_used_usersel,D250:R250=inp_used_nonvessel1,AB250:AV250=inp_used_nonvessel2,IF(B250=1,inp_used_pressure=inp_autosize_pressure,inp_used_gravity=inp_autosize_gravity))</f>
        <v>0</v>
      </c>
      <c r="BA250" s="523" t="b">
        <f t="array" ref="BA250">AND(D250:AV250=inp_used,A250=inp_used_usersel)</f>
        <v>0</v>
      </c>
      <c r="BB250" s="523" t="b">
        <f t="shared" si="26"/>
        <v>0</v>
      </c>
      <c r="BC250" s="523" t="b">
        <f t="shared" si="26"/>
        <v>0</v>
      </c>
    </row>
    <row r="251" spans="1:55" s="523" customFormat="1">
      <c r="A251" s="523">
        <v>16</v>
      </c>
      <c r="B251" s="523">
        <v>1</v>
      </c>
      <c r="C251" s="523">
        <v>3</v>
      </c>
      <c r="D251" s="557">
        <v>0.30499999999999999</v>
      </c>
      <c r="E251" s="523" t="s">
        <v>188</v>
      </c>
      <c r="F251" s="414">
        <v>9.4E-2</v>
      </c>
      <c r="G251" s="523" t="s">
        <v>188</v>
      </c>
      <c r="H251" s="557" t="s">
        <v>3139</v>
      </c>
      <c r="I251" s="523" t="s">
        <v>936</v>
      </c>
      <c r="J251" s="414">
        <v>20500</v>
      </c>
      <c r="M251" s="561"/>
      <c r="N251" s="557" t="s">
        <v>194</v>
      </c>
      <c r="O251" s="523">
        <v>7.5</v>
      </c>
      <c r="Q251" s="561"/>
      <c r="R251" s="557">
        <v>1</v>
      </c>
      <c r="S251" s="523" t="s">
        <v>3491</v>
      </c>
      <c r="T251" s="559"/>
      <c r="V251" s="559"/>
      <c r="W251" s="560"/>
      <c r="X251" s="559"/>
      <c r="Y251" s="559"/>
      <c r="Z251" s="559"/>
      <c r="AA251" s="559"/>
      <c r="AB251" s="557">
        <v>168</v>
      </c>
      <c r="AC251" s="414" t="s">
        <v>2060</v>
      </c>
      <c r="AD251" s="438" t="s">
        <v>498</v>
      </c>
      <c r="AE251" s="523" t="s">
        <v>499</v>
      </c>
      <c r="AF251" s="562" t="s">
        <v>500</v>
      </c>
      <c r="AG251" s="557"/>
      <c r="AH251" s="523">
        <v>0</v>
      </c>
      <c r="AI251" s="438"/>
      <c r="AJ251" s="414"/>
      <c r="AK251" s="523" t="s">
        <v>1932</v>
      </c>
      <c r="AQ251" s="557"/>
      <c r="AV251" s="561"/>
      <c r="AW251" s="414" t="str">
        <f t="shared" si="21"/>
        <v>1,1,1,2-Tetrachloroethane, Pressure</v>
      </c>
      <c r="AX251" s="414" t="b">
        <f t="shared" si="25"/>
        <v>0</v>
      </c>
      <c r="AY251" s="523" t="b">
        <f t="array" ref="AY251">AND(D251:G251=inp_used_minimal,A251=inp_used_usersel)</f>
        <v>0</v>
      </c>
      <c r="AZ251" s="523" t="b">
        <f t="array" ref="AZ251">AND(A251=inp_used_usersel,D251:R251=inp_used_nonvessel1,AB251:AV251=inp_used_nonvessel2,IF(B251=1,inp_used_pressure=inp_autosize_pressure,inp_used_gravity=inp_autosize_gravity))</f>
        <v>0</v>
      </c>
      <c r="BA251" s="523" t="b">
        <f t="array" ref="BA251">AND(D251:AV251=inp_used,A251=inp_used_usersel)</f>
        <v>0</v>
      </c>
      <c r="BB251" s="523" t="b">
        <f t="shared" si="26"/>
        <v>0</v>
      </c>
      <c r="BC251" s="523" t="b">
        <f t="shared" si="26"/>
        <v>0</v>
      </c>
    </row>
    <row r="252" spans="1:55" s="523" customFormat="1">
      <c r="A252" s="523">
        <v>16</v>
      </c>
      <c r="B252" s="523">
        <v>1</v>
      </c>
      <c r="C252" s="523">
        <v>4</v>
      </c>
      <c r="D252" s="557">
        <v>0.74</v>
      </c>
      <c r="E252" s="523" t="s">
        <v>188</v>
      </c>
      <c r="F252" s="414">
        <v>0.251</v>
      </c>
      <c r="G252" s="523" t="s">
        <v>188</v>
      </c>
      <c r="H252" s="557" t="s">
        <v>3139</v>
      </c>
      <c r="I252" s="523" t="s">
        <v>936</v>
      </c>
      <c r="J252" s="414">
        <v>20500</v>
      </c>
      <c r="M252" s="561"/>
      <c r="N252" s="557" t="s">
        <v>194</v>
      </c>
      <c r="O252" s="523">
        <v>7.5</v>
      </c>
      <c r="Q252" s="561"/>
      <c r="R252" s="557">
        <v>1</v>
      </c>
      <c r="S252" s="523" t="s">
        <v>3491</v>
      </c>
      <c r="T252" s="559"/>
      <c r="V252" s="559"/>
      <c r="W252" s="560"/>
      <c r="X252" s="559"/>
      <c r="Y252" s="559"/>
      <c r="Z252" s="559"/>
      <c r="AA252" s="559"/>
      <c r="AB252" s="557">
        <v>168</v>
      </c>
      <c r="AC252" s="414" t="s">
        <v>2060</v>
      </c>
      <c r="AD252" s="438" t="s">
        <v>498</v>
      </c>
      <c r="AE252" s="523" t="s">
        <v>499</v>
      </c>
      <c r="AF252" s="562" t="s">
        <v>500</v>
      </c>
      <c r="AG252" s="557"/>
      <c r="AH252" s="523">
        <v>0</v>
      </c>
      <c r="AI252" s="438"/>
      <c r="AJ252" s="414"/>
      <c r="AK252" s="523" t="s">
        <v>1932</v>
      </c>
      <c r="AQ252" s="557"/>
      <c r="AV252" s="561"/>
      <c r="AW252" s="414" t="str">
        <f t="shared" si="21"/>
        <v>1,1,1,2-Tetrachloroethane, Pressure</v>
      </c>
      <c r="AX252" s="414" t="b">
        <f t="shared" si="25"/>
        <v>0</v>
      </c>
      <c r="AY252" s="523" t="b">
        <f t="array" ref="AY252">AND(D252:G252=inp_used_minimal,A252=inp_used_usersel)</f>
        <v>0</v>
      </c>
      <c r="AZ252" s="523" t="b">
        <f t="array" ref="AZ252">AND(A252=inp_used_usersel,D252:R252=inp_used_nonvessel1,AB252:AV252=inp_used_nonvessel2,IF(B252=1,inp_used_pressure=inp_autosize_pressure,inp_used_gravity=inp_autosize_gravity))</f>
        <v>0</v>
      </c>
      <c r="BA252" s="523" t="b">
        <f t="array" ref="BA252">AND(D252:AV252=inp_used,A252=inp_used_usersel)</f>
        <v>0</v>
      </c>
      <c r="BB252" s="523" t="b">
        <f t="shared" si="26"/>
        <v>0</v>
      </c>
      <c r="BC252" s="523" t="b">
        <f t="shared" si="26"/>
        <v>0</v>
      </c>
    </row>
    <row r="253" spans="1:55" s="523" customFormat="1">
      <c r="A253" s="523">
        <v>16</v>
      </c>
      <c r="B253" s="523">
        <v>1</v>
      </c>
      <c r="C253" s="414">
        <v>5</v>
      </c>
      <c r="D253" s="529">
        <v>2.1520000000000001</v>
      </c>
      <c r="E253" s="523" t="s">
        <v>188</v>
      </c>
      <c r="F253" s="414">
        <v>0.81899999999999995</v>
      </c>
      <c r="G253" s="523" t="s">
        <v>188</v>
      </c>
      <c r="H253" s="557" t="s">
        <v>3139</v>
      </c>
      <c r="I253" s="523" t="s">
        <v>936</v>
      </c>
      <c r="J253" s="414">
        <v>20500</v>
      </c>
      <c r="M253" s="561"/>
      <c r="N253" s="557" t="s">
        <v>194</v>
      </c>
      <c r="O253" s="523">
        <v>7.5</v>
      </c>
      <c r="Q253" s="561"/>
      <c r="R253" s="557">
        <v>1</v>
      </c>
      <c r="S253" s="523" t="s">
        <v>3491</v>
      </c>
      <c r="T253" s="559"/>
      <c r="V253" s="559"/>
      <c r="W253" s="560"/>
      <c r="X253" s="559"/>
      <c r="Y253" s="559"/>
      <c r="Z253" s="559"/>
      <c r="AA253" s="559"/>
      <c r="AB253" s="557">
        <v>168</v>
      </c>
      <c r="AC253" s="414" t="s">
        <v>2060</v>
      </c>
      <c r="AD253" s="438" t="s">
        <v>498</v>
      </c>
      <c r="AE253" s="523" t="s">
        <v>499</v>
      </c>
      <c r="AF253" s="562" t="s">
        <v>500</v>
      </c>
      <c r="AG253" s="557"/>
      <c r="AH253" s="523">
        <v>0</v>
      </c>
      <c r="AI253" s="438"/>
      <c r="AJ253" s="414"/>
      <c r="AK253" s="523" t="s">
        <v>1932</v>
      </c>
      <c r="AQ253" s="557"/>
      <c r="AV253" s="561"/>
      <c r="AW253" s="414" t="str">
        <f t="shared" si="21"/>
        <v>1,1,1,2-Tetrachloroethane, Pressure</v>
      </c>
      <c r="AX253" s="414" t="b">
        <f t="shared" si="25"/>
        <v>0</v>
      </c>
      <c r="AY253" s="523" t="b">
        <f t="array" ref="AY253">AND(D253:G253=inp_used_minimal,A253=inp_used_usersel)</f>
        <v>0</v>
      </c>
      <c r="AZ253" s="523" t="b">
        <f t="array" ref="AZ253">AND(A253=inp_used_usersel,D253:R253=inp_used_nonvessel1,AB253:AV253=inp_used_nonvessel2,IF(B253=1,inp_used_pressure=inp_autosize_pressure,inp_used_gravity=inp_autosize_gravity))</f>
        <v>0</v>
      </c>
      <c r="BA253" s="523" t="b">
        <f t="array" ref="BA253">AND(D253:AV253=inp_used,A253=inp_used_usersel)</f>
        <v>0</v>
      </c>
      <c r="BB253" s="523" t="b">
        <f t="shared" si="26"/>
        <v>0</v>
      </c>
      <c r="BC253" s="523" t="b">
        <f t="shared" si="26"/>
        <v>0</v>
      </c>
    </row>
    <row r="254" spans="1:55" s="523" customFormat="1">
      <c r="A254" s="523">
        <v>16</v>
      </c>
      <c r="B254" s="523">
        <v>1</v>
      </c>
      <c r="C254" s="414">
        <v>6</v>
      </c>
      <c r="D254" s="529">
        <v>7.3650000000000002</v>
      </c>
      <c r="E254" s="523" t="s">
        <v>188</v>
      </c>
      <c r="F254" s="414">
        <v>3.2</v>
      </c>
      <c r="G254" s="523" t="s">
        <v>188</v>
      </c>
      <c r="H254" s="557" t="s">
        <v>3139</v>
      </c>
      <c r="I254" s="523" t="s">
        <v>936</v>
      </c>
      <c r="J254" s="414">
        <v>20500</v>
      </c>
      <c r="M254" s="561"/>
      <c r="N254" s="557" t="s">
        <v>194</v>
      </c>
      <c r="O254" s="523">
        <v>7.5</v>
      </c>
      <c r="Q254" s="561"/>
      <c r="R254" s="557">
        <v>1</v>
      </c>
      <c r="S254" s="523" t="s">
        <v>3491</v>
      </c>
      <c r="T254" s="559"/>
      <c r="V254" s="559"/>
      <c r="W254" s="560"/>
      <c r="X254" s="559"/>
      <c r="Y254" s="559"/>
      <c r="Z254" s="559"/>
      <c r="AA254" s="559"/>
      <c r="AB254" s="557">
        <v>168</v>
      </c>
      <c r="AC254" s="414" t="s">
        <v>2060</v>
      </c>
      <c r="AD254" s="438" t="s">
        <v>498</v>
      </c>
      <c r="AE254" s="523" t="s">
        <v>2615</v>
      </c>
      <c r="AF254" s="562" t="s">
        <v>500</v>
      </c>
      <c r="AG254" s="557"/>
      <c r="AH254" s="523">
        <v>0</v>
      </c>
      <c r="AI254" s="438"/>
      <c r="AJ254" s="414"/>
      <c r="AK254" s="523" t="s">
        <v>1932</v>
      </c>
      <c r="AQ254" s="557"/>
      <c r="AV254" s="561"/>
      <c r="AW254" s="414" t="str">
        <f t="shared" si="21"/>
        <v>1,1,1,2-Tetrachloroethane, Pressure</v>
      </c>
      <c r="AX254" s="414" t="b">
        <f t="shared" si="25"/>
        <v>0</v>
      </c>
      <c r="AY254" s="523" t="b">
        <f t="array" ref="AY254">AND(D254:G254=inp_used_minimal,A254=inp_used_usersel)</f>
        <v>0</v>
      </c>
      <c r="AZ254" s="523" t="b">
        <f t="array" ref="AZ254">AND(A254=inp_used_usersel,D254:R254=inp_used_nonvessel1,AB254:AV254=inp_used_nonvessel2,IF(B254=1,inp_used_pressure=inp_autosize_pressure,inp_used_gravity=inp_autosize_gravity))</f>
        <v>0</v>
      </c>
      <c r="BA254" s="523" t="b">
        <f t="array" ref="BA254">AND(D254:AV254=inp_used,A254=inp_used_usersel)</f>
        <v>0</v>
      </c>
      <c r="BB254" s="523" t="b">
        <f t="shared" si="26"/>
        <v>0</v>
      </c>
      <c r="BC254" s="523" t="b">
        <f t="shared" si="26"/>
        <v>0</v>
      </c>
    </row>
    <row r="255" spans="1:55" s="523" customFormat="1">
      <c r="A255" s="523">
        <v>16</v>
      </c>
      <c r="B255" s="523">
        <v>1</v>
      </c>
      <c r="C255" s="414">
        <v>7</v>
      </c>
      <c r="D255" s="529">
        <v>22.614000000000001</v>
      </c>
      <c r="E255" s="523" t="s">
        <v>188</v>
      </c>
      <c r="F255" s="414">
        <v>11.066000000000001</v>
      </c>
      <c r="G255" s="523" t="s">
        <v>188</v>
      </c>
      <c r="H255" s="557" t="s">
        <v>3139</v>
      </c>
      <c r="I255" s="523" t="s">
        <v>936</v>
      </c>
      <c r="J255" s="414">
        <v>20500</v>
      </c>
      <c r="M255" s="561"/>
      <c r="N255" s="557" t="s">
        <v>194</v>
      </c>
      <c r="O255" s="523">
        <v>7.5</v>
      </c>
      <c r="Q255" s="561"/>
      <c r="R255" s="557">
        <v>1</v>
      </c>
      <c r="S255" s="523" t="s">
        <v>3491</v>
      </c>
      <c r="T255" s="559"/>
      <c r="V255" s="559"/>
      <c r="W255" s="560"/>
      <c r="X255" s="559"/>
      <c r="Y255" s="559"/>
      <c r="Z255" s="559"/>
      <c r="AA255" s="559"/>
      <c r="AB255" s="557">
        <v>168</v>
      </c>
      <c r="AC255" s="414" t="s">
        <v>2060</v>
      </c>
      <c r="AD255" s="438" t="s">
        <v>498</v>
      </c>
      <c r="AE255" s="523" t="s">
        <v>2615</v>
      </c>
      <c r="AF255" s="562" t="s">
        <v>500</v>
      </c>
      <c r="AG255" s="557"/>
      <c r="AH255" s="523">
        <v>0</v>
      </c>
      <c r="AI255" s="438"/>
      <c r="AJ255" s="414"/>
      <c r="AK255" s="523" t="s">
        <v>1932</v>
      </c>
      <c r="AQ255" s="557"/>
      <c r="AV255" s="561"/>
      <c r="AW255" s="414" t="str">
        <f t="shared" si="21"/>
        <v>1,1,1,2-Tetrachloroethane, Pressure</v>
      </c>
      <c r="AX255" s="414" t="b">
        <f t="shared" si="25"/>
        <v>0</v>
      </c>
      <c r="AY255" s="523" t="b">
        <f t="array" ref="AY255">AND(D255:G255=inp_used_minimal,A255=inp_used_usersel)</f>
        <v>0</v>
      </c>
      <c r="AZ255" s="523" t="b">
        <f t="array" ref="AZ255">AND(A255=inp_used_usersel,D255:R255=inp_used_nonvessel1,AB255:AV255=inp_used_nonvessel2,IF(B255=1,inp_used_pressure=inp_autosize_pressure,inp_used_gravity=inp_autosize_gravity))</f>
        <v>0</v>
      </c>
      <c r="BA255" s="523" t="b">
        <f t="array" ref="BA255">AND(D255:AV255=inp_used,A255=inp_used_usersel)</f>
        <v>0</v>
      </c>
      <c r="BB255" s="523" t="b">
        <f t="shared" si="26"/>
        <v>0</v>
      </c>
      <c r="BC255" s="523" t="b">
        <f t="shared" si="26"/>
        <v>0</v>
      </c>
    </row>
    <row r="256" spans="1:55" s="563" customFormat="1">
      <c r="A256" s="563">
        <v>16</v>
      </c>
      <c r="B256" s="563">
        <v>1</v>
      </c>
      <c r="C256" s="564">
        <v>8</v>
      </c>
      <c r="D256" s="918">
        <v>75.072000000000003</v>
      </c>
      <c r="E256" s="563" t="s">
        <v>188</v>
      </c>
      <c r="F256" s="564">
        <v>37.536000000000001</v>
      </c>
      <c r="G256" s="563" t="s">
        <v>188</v>
      </c>
      <c r="H256" s="919" t="s">
        <v>3139</v>
      </c>
      <c r="I256" s="563" t="s">
        <v>936</v>
      </c>
      <c r="J256" s="564">
        <v>20500</v>
      </c>
      <c r="M256" s="565"/>
      <c r="N256" s="919" t="s">
        <v>194</v>
      </c>
      <c r="O256" s="563">
        <v>7.5</v>
      </c>
      <c r="Q256" s="565"/>
      <c r="R256" s="919">
        <v>1</v>
      </c>
      <c r="S256" s="563" t="s">
        <v>3491</v>
      </c>
      <c r="T256" s="566"/>
      <c r="V256" s="566"/>
      <c r="W256" s="567"/>
      <c r="X256" s="566"/>
      <c r="Y256" s="566"/>
      <c r="Z256" s="566"/>
      <c r="AA256" s="567"/>
      <c r="AB256" s="919">
        <v>168</v>
      </c>
      <c r="AC256" s="564" t="s">
        <v>2060</v>
      </c>
      <c r="AD256" s="568" t="s">
        <v>498</v>
      </c>
      <c r="AE256" s="563" t="s">
        <v>2615</v>
      </c>
      <c r="AF256" s="554" t="s">
        <v>500</v>
      </c>
      <c r="AG256" s="919"/>
      <c r="AH256" s="563">
        <v>0</v>
      </c>
      <c r="AI256" s="568"/>
      <c r="AJ256" s="564"/>
      <c r="AK256" s="563" t="s">
        <v>1932</v>
      </c>
      <c r="AP256" s="565"/>
      <c r="AQ256" s="919"/>
      <c r="AV256" s="565"/>
      <c r="AW256" s="564" t="str">
        <f t="shared" si="21"/>
        <v>1,1,1,2-Tetrachloroethane, Pressure</v>
      </c>
      <c r="AX256" s="564" t="b">
        <f t="shared" si="25"/>
        <v>0</v>
      </c>
      <c r="AY256" s="563" t="b">
        <f t="array" ref="AY256">AND(D256:G256=inp_used_minimal,A256=inp_used_usersel)</f>
        <v>0</v>
      </c>
      <c r="AZ256" s="563" t="b">
        <f t="array" ref="AZ256">AND(A256=inp_used_usersel,D256:R256=inp_used_nonvessel1,AB256:AV256=inp_used_nonvessel2,IF(B256=1,inp_used_pressure=inp_autosize_pressure,inp_used_gravity=inp_autosize_gravity))</f>
        <v>0</v>
      </c>
      <c r="BA256" s="563" t="b">
        <f t="array" ref="BA256">AND(D256:AV256=inp_used,A256=inp_used_usersel)</f>
        <v>0</v>
      </c>
      <c r="BB256" s="563" t="b">
        <f t="shared" si="26"/>
        <v>0</v>
      </c>
      <c r="BC256" s="563" t="b">
        <f t="shared" si="26"/>
        <v>0</v>
      </c>
    </row>
    <row r="257" spans="1:55" s="523" customFormat="1">
      <c r="A257" s="523">
        <v>16</v>
      </c>
      <c r="B257" s="523">
        <v>2</v>
      </c>
      <c r="C257" s="523">
        <v>1</v>
      </c>
      <c r="D257" s="917">
        <v>0.03</v>
      </c>
      <c r="E257" s="523" t="s">
        <v>188</v>
      </c>
      <c r="F257" s="414">
        <v>7.0000000000000001E-3</v>
      </c>
      <c r="G257" s="523" t="s">
        <v>188</v>
      </c>
      <c r="H257" s="917" t="s">
        <v>3139</v>
      </c>
      <c r="I257" s="523" t="s">
        <v>936</v>
      </c>
      <c r="J257" s="414">
        <v>20500</v>
      </c>
      <c r="M257" s="561"/>
      <c r="N257" s="917" t="s">
        <v>194</v>
      </c>
      <c r="O257" s="523">
        <v>7.5</v>
      </c>
      <c r="Q257" s="561"/>
      <c r="R257" s="917"/>
      <c r="T257" s="559"/>
      <c r="U257" s="559"/>
      <c r="V257" s="559"/>
      <c r="W257" s="560"/>
      <c r="X257" s="559" t="s">
        <v>3491</v>
      </c>
      <c r="Y257" s="414"/>
      <c r="Z257" s="414"/>
      <c r="AA257" s="414"/>
      <c r="AB257" s="917">
        <v>168</v>
      </c>
      <c r="AC257" s="414" t="s">
        <v>2060</v>
      </c>
      <c r="AD257" s="414" t="s">
        <v>2875</v>
      </c>
      <c r="AE257" s="523" t="s">
        <v>499</v>
      </c>
      <c r="AF257" s="414" t="s">
        <v>500</v>
      </c>
      <c r="AG257" s="917"/>
      <c r="AH257" s="523">
        <v>0</v>
      </c>
      <c r="AI257" s="438"/>
      <c r="AJ257" s="414"/>
      <c r="AK257" s="523" t="s">
        <v>1932</v>
      </c>
      <c r="AQ257" s="917"/>
      <c r="AV257" s="561"/>
      <c r="AW257" s="414" t="str">
        <f t="shared" si="21"/>
        <v>1,1,1,2-Tetrachloroethane, Gravity</v>
      </c>
      <c r="AX257" s="414" t="b">
        <f t="shared" si="25"/>
        <v>0</v>
      </c>
      <c r="AY257" s="523" t="b">
        <f t="array" ref="AY257">AND(D257:G257=inp_used_minimal,A257=inp_used_usersel)</f>
        <v>0</v>
      </c>
      <c r="AZ257" s="523" t="b">
        <f t="array" ref="AZ257">AND(A257=inp_used_usersel,D257:R257=inp_used_nonvessel1,AB257:AV257=inp_used_nonvessel2,IF(B257=1,inp_used_pressure=inp_autosize_pressure,inp_used_gravity=inp_autosize_gravity))</f>
        <v>0</v>
      </c>
      <c r="BA257" s="523" t="b">
        <f t="array" ref="BA257">AND(D257:AV257=inp_used,A257=inp_used_usersel)</f>
        <v>0</v>
      </c>
    </row>
    <row r="258" spans="1:55" s="523" customFormat="1">
      <c r="A258" s="523">
        <v>16</v>
      </c>
      <c r="B258" s="523">
        <v>2</v>
      </c>
      <c r="C258" s="523">
        <v>2</v>
      </c>
      <c r="D258" s="557">
        <v>0.124</v>
      </c>
      <c r="E258" s="523" t="s">
        <v>188</v>
      </c>
      <c r="F258" s="414">
        <v>3.5000000000000003E-2</v>
      </c>
      <c r="G258" s="523" t="s">
        <v>188</v>
      </c>
      <c r="H258" s="557" t="s">
        <v>3139</v>
      </c>
      <c r="I258" s="523" t="s">
        <v>936</v>
      </c>
      <c r="J258" s="414">
        <v>20500</v>
      </c>
      <c r="M258" s="561"/>
      <c r="N258" s="557" t="s">
        <v>194</v>
      </c>
      <c r="O258" s="523">
        <v>7.5</v>
      </c>
      <c r="Q258" s="561"/>
      <c r="R258" s="557"/>
      <c r="T258" s="559"/>
      <c r="U258" s="559"/>
      <c r="V258" s="559"/>
      <c r="W258" s="560"/>
      <c r="X258" s="559" t="s">
        <v>3491</v>
      </c>
      <c r="Y258" s="414"/>
      <c r="Z258" s="414"/>
      <c r="AA258" s="414"/>
      <c r="AB258" s="557">
        <v>168</v>
      </c>
      <c r="AC258" s="414" t="s">
        <v>2060</v>
      </c>
      <c r="AD258" s="414" t="s">
        <v>2875</v>
      </c>
      <c r="AE258" s="523" t="s">
        <v>499</v>
      </c>
      <c r="AF258" s="414" t="s">
        <v>500</v>
      </c>
      <c r="AG258" s="557"/>
      <c r="AH258" s="523">
        <v>0</v>
      </c>
      <c r="AI258" s="438"/>
      <c r="AJ258" s="414"/>
      <c r="AK258" s="523" t="s">
        <v>1932</v>
      </c>
      <c r="AQ258" s="557"/>
      <c r="AV258" s="561"/>
      <c r="AW258" s="414" t="str">
        <f t="shared" si="21"/>
        <v>1,1,1,2-Tetrachloroethane, Gravity</v>
      </c>
      <c r="AX258" s="414" t="b">
        <f t="shared" si="25"/>
        <v>0</v>
      </c>
      <c r="AY258" s="523" t="b">
        <f t="array" ref="AY258">AND(D258:G258=inp_used_minimal,A258=inp_used_usersel)</f>
        <v>0</v>
      </c>
      <c r="AZ258" s="523" t="b">
        <f t="array" ref="AZ258">AND(A258=inp_used_usersel,D258:R258=inp_used_nonvessel1,AB258:AV258=inp_used_nonvessel2,IF(B258=1,inp_used_pressure=inp_autosize_pressure,inp_used_gravity=inp_autosize_gravity))</f>
        <v>0</v>
      </c>
      <c r="BA258" s="523" t="b">
        <f t="array" ref="BA258">AND(D258:AV258=inp_used,A258=inp_used_usersel)</f>
        <v>0</v>
      </c>
    </row>
    <row r="259" spans="1:55" s="523" customFormat="1">
      <c r="A259" s="523">
        <v>16</v>
      </c>
      <c r="B259" s="523">
        <v>2</v>
      </c>
      <c r="C259" s="523">
        <v>3</v>
      </c>
      <c r="D259" s="557">
        <v>0.30499999999999999</v>
      </c>
      <c r="E259" s="523" t="s">
        <v>188</v>
      </c>
      <c r="F259" s="414">
        <v>9.4E-2</v>
      </c>
      <c r="G259" s="523" t="s">
        <v>188</v>
      </c>
      <c r="H259" s="557" t="s">
        <v>3139</v>
      </c>
      <c r="I259" s="523" t="s">
        <v>936</v>
      </c>
      <c r="J259" s="414">
        <v>20500</v>
      </c>
      <c r="M259" s="561"/>
      <c r="N259" s="557" t="s">
        <v>194</v>
      </c>
      <c r="O259" s="523">
        <v>7.5</v>
      </c>
      <c r="Q259" s="561"/>
      <c r="R259" s="557"/>
      <c r="T259" s="559"/>
      <c r="U259" s="559"/>
      <c r="V259" s="559"/>
      <c r="W259" s="560"/>
      <c r="X259" s="559" t="s">
        <v>3491</v>
      </c>
      <c r="Y259" s="414"/>
      <c r="Z259" s="414"/>
      <c r="AA259" s="414"/>
      <c r="AB259" s="557">
        <v>168</v>
      </c>
      <c r="AC259" s="414" t="s">
        <v>2060</v>
      </c>
      <c r="AD259" s="414" t="s">
        <v>2875</v>
      </c>
      <c r="AE259" s="523" t="s">
        <v>499</v>
      </c>
      <c r="AF259" s="414" t="s">
        <v>500</v>
      </c>
      <c r="AG259" s="557"/>
      <c r="AH259" s="523">
        <v>0</v>
      </c>
      <c r="AI259" s="438"/>
      <c r="AJ259" s="414"/>
      <c r="AK259" s="523" t="s">
        <v>1932</v>
      </c>
      <c r="AQ259" s="557"/>
      <c r="AV259" s="561"/>
      <c r="AW259" s="414" t="str">
        <f t="shared" si="21"/>
        <v>1,1,1,2-Tetrachloroethane, Gravity</v>
      </c>
      <c r="AX259" s="414" t="b">
        <f t="shared" si="25"/>
        <v>0</v>
      </c>
      <c r="AY259" s="523" t="b">
        <f t="array" ref="AY259">AND(D259:G259=inp_used_minimal,A259=inp_used_usersel)</f>
        <v>0</v>
      </c>
      <c r="AZ259" s="523" t="b">
        <f t="array" ref="AZ259">AND(A259=inp_used_usersel,D259:R259=inp_used_nonvessel1,AB259:AV259=inp_used_nonvessel2,IF(B259=1,inp_used_pressure=inp_autosize_pressure,inp_used_gravity=inp_autosize_gravity))</f>
        <v>0</v>
      </c>
      <c r="BA259" s="523" t="b">
        <f t="array" ref="BA259">AND(D259:AV259=inp_used,A259=inp_used_usersel)</f>
        <v>0</v>
      </c>
    </row>
    <row r="260" spans="1:55" s="523" customFormat="1">
      <c r="A260" s="523">
        <v>16</v>
      </c>
      <c r="B260" s="523">
        <v>2</v>
      </c>
      <c r="C260" s="523">
        <v>4</v>
      </c>
      <c r="D260" s="557">
        <v>0.74</v>
      </c>
      <c r="E260" s="523" t="s">
        <v>188</v>
      </c>
      <c r="F260" s="414">
        <v>0.251</v>
      </c>
      <c r="G260" s="523" t="s">
        <v>188</v>
      </c>
      <c r="H260" s="557" t="s">
        <v>3139</v>
      </c>
      <c r="I260" s="523" t="s">
        <v>936</v>
      </c>
      <c r="J260" s="414">
        <v>20500</v>
      </c>
      <c r="M260" s="561"/>
      <c r="N260" s="557" t="s">
        <v>194</v>
      </c>
      <c r="O260" s="523">
        <v>7.5</v>
      </c>
      <c r="Q260" s="561"/>
      <c r="R260" s="557"/>
      <c r="T260" s="559"/>
      <c r="U260" s="559"/>
      <c r="V260" s="559"/>
      <c r="W260" s="560"/>
      <c r="X260" s="559" t="s">
        <v>3491</v>
      </c>
      <c r="Y260" s="414"/>
      <c r="Z260" s="414"/>
      <c r="AA260" s="414"/>
      <c r="AB260" s="557">
        <v>168</v>
      </c>
      <c r="AC260" s="414" t="s">
        <v>2060</v>
      </c>
      <c r="AD260" s="414" t="s">
        <v>2875</v>
      </c>
      <c r="AE260" s="523" t="s">
        <v>499</v>
      </c>
      <c r="AF260" s="414" t="s">
        <v>500</v>
      </c>
      <c r="AG260" s="557"/>
      <c r="AH260" s="523">
        <v>0</v>
      </c>
      <c r="AI260" s="438"/>
      <c r="AJ260" s="414"/>
      <c r="AK260" s="523" t="s">
        <v>1932</v>
      </c>
      <c r="AQ260" s="557"/>
      <c r="AV260" s="561"/>
      <c r="AW260" s="414" t="str">
        <f t="shared" si="21"/>
        <v>1,1,1,2-Tetrachloroethane, Gravity</v>
      </c>
      <c r="AX260" s="414" t="b">
        <f t="shared" si="25"/>
        <v>0</v>
      </c>
      <c r="AY260" s="523" t="b">
        <f t="array" ref="AY260">AND(D260:G260=inp_used_minimal,A260=inp_used_usersel)</f>
        <v>0</v>
      </c>
      <c r="AZ260" s="523" t="b">
        <f t="array" ref="AZ260">AND(A260=inp_used_usersel,D260:R260=inp_used_nonvessel1,AB260:AV260=inp_used_nonvessel2,IF(B260=1,inp_used_pressure=inp_autosize_pressure,inp_used_gravity=inp_autosize_gravity))</f>
        <v>0</v>
      </c>
      <c r="BA260" s="523" t="b">
        <f t="array" ref="BA260">AND(D260:AV260=inp_used,A260=inp_used_usersel)</f>
        <v>0</v>
      </c>
    </row>
    <row r="261" spans="1:55" s="523" customFormat="1">
      <c r="A261" s="523">
        <v>16</v>
      </c>
      <c r="B261" s="523">
        <v>2</v>
      </c>
      <c r="C261" s="414">
        <v>5</v>
      </c>
      <c r="D261" s="529">
        <v>2.1520000000000001</v>
      </c>
      <c r="E261" s="523" t="s">
        <v>188</v>
      </c>
      <c r="F261" s="414">
        <v>0.81899999999999995</v>
      </c>
      <c r="G261" s="523" t="s">
        <v>188</v>
      </c>
      <c r="H261" s="557" t="s">
        <v>3139</v>
      </c>
      <c r="I261" s="523" t="s">
        <v>936</v>
      </c>
      <c r="J261" s="414">
        <v>20500</v>
      </c>
      <c r="M261" s="561"/>
      <c r="N261" s="557" t="s">
        <v>194</v>
      </c>
      <c r="O261" s="523">
        <v>7.5</v>
      </c>
      <c r="Q261" s="561"/>
      <c r="R261" s="557"/>
      <c r="T261" s="559"/>
      <c r="U261" s="559"/>
      <c r="V261" s="559"/>
      <c r="W261" s="560"/>
      <c r="X261" s="559" t="s">
        <v>3491</v>
      </c>
      <c r="Y261" s="414"/>
      <c r="Z261" s="414"/>
      <c r="AA261" s="414"/>
      <c r="AB261" s="557">
        <v>168</v>
      </c>
      <c r="AC261" s="414" t="s">
        <v>2060</v>
      </c>
      <c r="AD261" s="414" t="s">
        <v>2875</v>
      </c>
      <c r="AE261" s="523" t="s">
        <v>499</v>
      </c>
      <c r="AF261" s="414" t="s">
        <v>500</v>
      </c>
      <c r="AG261" s="557"/>
      <c r="AH261" s="523">
        <v>0</v>
      </c>
      <c r="AI261" s="438"/>
      <c r="AJ261" s="414"/>
      <c r="AK261" s="523" t="s">
        <v>1932</v>
      </c>
      <c r="AQ261" s="557"/>
      <c r="AV261" s="561"/>
      <c r="AW261" s="414" t="str">
        <f t="shared" si="21"/>
        <v>1,1,1,2-Tetrachloroethane, Gravity</v>
      </c>
      <c r="AX261" s="414" t="b">
        <f t="shared" si="25"/>
        <v>0</v>
      </c>
      <c r="AY261" s="523" t="b">
        <f t="array" ref="AY261">AND(D261:G261=inp_used_minimal,A261=inp_used_usersel)</f>
        <v>0</v>
      </c>
      <c r="AZ261" s="523" t="b">
        <f t="array" ref="AZ261">AND(A261=inp_used_usersel,D261:R261=inp_used_nonvessel1,AB261:AV261=inp_used_nonvessel2,IF(B261=1,inp_used_pressure=inp_autosize_pressure,inp_used_gravity=inp_autosize_gravity))</f>
        <v>0</v>
      </c>
      <c r="BA261" s="523" t="b">
        <f t="array" ref="BA261">AND(D261:AV261=inp_used,A261=inp_used_usersel)</f>
        <v>0</v>
      </c>
    </row>
    <row r="262" spans="1:55" s="523" customFormat="1">
      <c r="A262" s="523">
        <v>16</v>
      </c>
      <c r="B262" s="523">
        <v>2</v>
      </c>
      <c r="C262" s="414">
        <v>6</v>
      </c>
      <c r="D262" s="529">
        <v>7.3650000000000002</v>
      </c>
      <c r="E262" s="523" t="s">
        <v>188</v>
      </c>
      <c r="F262" s="414">
        <v>3.2</v>
      </c>
      <c r="G262" s="523" t="s">
        <v>188</v>
      </c>
      <c r="H262" s="557" t="s">
        <v>3139</v>
      </c>
      <c r="I262" s="523" t="s">
        <v>936</v>
      </c>
      <c r="J262" s="414">
        <v>20500</v>
      </c>
      <c r="M262" s="561"/>
      <c r="N262" s="557" t="s">
        <v>194</v>
      </c>
      <c r="O262" s="523">
        <v>7.5</v>
      </c>
      <c r="Q262" s="561"/>
      <c r="R262" s="557"/>
      <c r="T262" s="559"/>
      <c r="U262" s="559"/>
      <c r="V262" s="559"/>
      <c r="W262" s="560"/>
      <c r="X262" s="559" t="s">
        <v>3491</v>
      </c>
      <c r="Y262" s="414"/>
      <c r="Z262" s="414"/>
      <c r="AA262" s="414"/>
      <c r="AB262" s="557">
        <v>168</v>
      </c>
      <c r="AC262" s="414" t="s">
        <v>2060</v>
      </c>
      <c r="AD262" s="414" t="s">
        <v>2875</v>
      </c>
      <c r="AE262" s="523" t="s">
        <v>2615</v>
      </c>
      <c r="AF262" s="414" t="s">
        <v>500</v>
      </c>
      <c r="AG262" s="557"/>
      <c r="AH262" s="523">
        <v>0</v>
      </c>
      <c r="AI262" s="438"/>
      <c r="AJ262" s="414"/>
      <c r="AK262" s="523" t="s">
        <v>1932</v>
      </c>
      <c r="AQ262" s="557"/>
      <c r="AV262" s="561"/>
      <c r="AW262" s="414" t="str">
        <f t="shared" si="21"/>
        <v>1,1,1,2-Tetrachloroethane, Gravity</v>
      </c>
      <c r="AX262" s="414" t="b">
        <f t="shared" si="25"/>
        <v>0</v>
      </c>
      <c r="AY262" s="523" t="b">
        <f t="array" ref="AY262">AND(D262:G262=inp_used_minimal,A262=inp_used_usersel)</f>
        <v>0</v>
      </c>
      <c r="AZ262" s="523" t="b">
        <f t="array" ref="AZ262">AND(A262=inp_used_usersel,D262:R262=inp_used_nonvessel1,AB262:AV262=inp_used_nonvessel2,IF(B262=1,inp_used_pressure=inp_autosize_pressure,inp_used_gravity=inp_autosize_gravity))</f>
        <v>0</v>
      </c>
      <c r="BA262" s="523" t="b">
        <f t="array" ref="BA262">AND(D262:AV262=inp_used,A262=inp_used_usersel)</f>
        <v>0</v>
      </c>
    </row>
    <row r="263" spans="1:55" s="523" customFormat="1">
      <c r="A263" s="523">
        <v>16</v>
      </c>
      <c r="B263" s="523">
        <v>2</v>
      </c>
      <c r="C263" s="414">
        <v>7</v>
      </c>
      <c r="D263" s="529">
        <v>22.614000000000001</v>
      </c>
      <c r="E263" s="523" t="s">
        <v>188</v>
      </c>
      <c r="F263" s="414">
        <v>11.066000000000001</v>
      </c>
      <c r="G263" s="523" t="s">
        <v>188</v>
      </c>
      <c r="H263" s="557" t="s">
        <v>3139</v>
      </c>
      <c r="I263" s="523" t="s">
        <v>936</v>
      </c>
      <c r="J263" s="414">
        <v>20500</v>
      </c>
      <c r="M263" s="561"/>
      <c r="N263" s="557" t="s">
        <v>194</v>
      </c>
      <c r="O263" s="523">
        <v>7.5</v>
      </c>
      <c r="Q263" s="561"/>
      <c r="R263" s="557"/>
      <c r="T263" s="559"/>
      <c r="U263" s="559"/>
      <c r="V263" s="559"/>
      <c r="W263" s="560"/>
      <c r="X263" s="559" t="s">
        <v>3491</v>
      </c>
      <c r="Y263" s="414"/>
      <c r="Z263" s="414"/>
      <c r="AA263" s="414"/>
      <c r="AB263" s="557">
        <v>168</v>
      </c>
      <c r="AC263" s="414" t="s">
        <v>2060</v>
      </c>
      <c r="AD263" s="414" t="s">
        <v>2875</v>
      </c>
      <c r="AE263" s="523" t="s">
        <v>2615</v>
      </c>
      <c r="AF263" s="414" t="s">
        <v>500</v>
      </c>
      <c r="AG263" s="557"/>
      <c r="AH263" s="523">
        <v>0</v>
      </c>
      <c r="AI263" s="438"/>
      <c r="AJ263" s="414"/>
      <c r="AK263" s="523" t="s">
        <v>1932</v>
      </c>
      <c r="AQ263" s="557"/>
      <c r="AV263" s="561"/>
      <c r="AW263" s="414" t="str">
        <f t="shared" si="21"/>
        <v>1,1,1,2-Tetrachloroethane, Gravity</v>
      </c>
      <c r="AX263" s="414" t="b">
        <f t="shared" si="25"/>
        <v>0</v>
      </c>
      <c r="AY263" s="523" t="b">
        <f t="array" ref="AY263">AND(D263:G263=inp_used_minimal,A263=inp_used_usersel)</f>
        <v>0</v>
      </c>
      <c r="AZ263" s="523" t="b">
        <f t="array" ref="AZ263">AND(A263=inp_used_usersel,D263:R263=inp_used_nonvessel1,AB263:AV263=inp_used_nonvessel2,IF(B263=1,inp_used_pressure=inp_autosize_pressure,inp_used_gravity=inp_autosize_gravity))</f>
        <v>0</v>
      </c>
      <c r="BA263" s="523" t="b">
        <f t="array" ref="BA263">AND(D263:AV263=inp_used,A263=inp_used_usersel)</f>
        <v>0</v>
      </c>
    </row>
    <row r="264" spans="1:55" s="563" customFormat="1">
      <c r="A264" s="563">
        <v>16</v>
      </c>
      <c r="B264" s="563">
        <v>2</v>
      </c>
      <c r="C264" s="564">
        <v>8</v>
      </c>
      <c r="D264" s="918">
        <v>75.072000000000003</v>
      </c>
      <c r="E264" s="563" t="s">
        <v>188</v>
      </c>
      <c r="F264" s="564">
        <v>37.536000000000001</v>
      </c>
      <c r="G264" s="563" t="s">
        <v>188</v>
      </c>
      <c r="H264" s="919" t="s">
        <v>3139</v>
      </c>
      <c r="I264" s="563" t="s">
        <v>936</v>
      </c>
      <c r="J264" s="564">
        <v>20500</v>
      </c>
      <c r="M264" s="565"/>
      <c r="N264" s="919" t="s">
        <v>194</v>
      </c>
      <c r="O264" s="563">
        <v>7.5</v>
      </c>
      <c r="Q264" s="565"/>
      <c r="R264" s="919"/>
      <c r="T264" s="566"/>
      <c r="U264" s="566"/>
      <c r="V264" s="566"/>
      <c r="W264" s="567"/>
      <c r="X264" s="566" t="s">
        <v>3491</v>
      </c>
      <c r="Y264" s="564"/>
      <c r="Z264" s="564"/>
      <c r="AA264" s="554"/>
      <c r="AB264" s="919">
        <v>168</v>
      </c>
      <c r="AC264" s="564" t="s">
        <v>2060</v>
      </c>
      <c r="AD264" s="564" t="s">
        <v>2875</v>
      </c>
      <c r="AE264" s="563" t="s">
        <v>2615</v>
      </c>
      <c r="AF264" s="564" t="s">
        <v>500</v>
      </c>
      <c r="AG264" s="919"/>
      <c r="AH264" s="563">
        <v>0</v>
      </c>
      <c r="AI264" s="568"/>
      <c r="AJ264" s="564"/>
      <c r="AK264" s="563" t="s">
        <v>1932</v>
      </c>
      <c r="AP264" s="565"/>
      <c r="AQ264" s="919"/>
      <c r="AV264" s="565"/>
      <c r="AW264" s="564" t="str">
        <f t="shared" si="21"/>
        <v>1,1,1,2-Tetrachloroethane, Gravity</v>
      </c>
      <c r="AX264" s="564" t="b">
        <f t="shared" si="25"/>
        <v>0</v>
      </c>
      <c r="AY264" s="563" t="b">
        <f t="array" ref="AY264">AND(D264:G264=inp_used_minimal,A264=inp_used_usersel)</f>
        <v>0</v>
      </c>
      <c r="AZ264" s="563" t="b">
        <f t="array" ref="AZ264">AND(A264=inp_used_usersel,D264:R264=inp_used_nonvessel1,AB264:AV264=inp_used_nonvessel2,IF(B264=1,inp_used_pressure=inp_autosize_pressure,inp_used_gravity=inp_autosize_gravity))</f>
        <v>0</v>
      </c>
      <c r="BA264" s="563" t="b">
        <f t="array" ref="BA264">AND(D264:AV264=inp_used,A264=inp_used_usersel)</f>
        <v>0</v>
      </c>
    </row>
    <row r="265" spans="1:55" s="523" customFormat="1">
      <c r="A265" s="523">
        <v>17</v>
      </c>
      <c r="B265" s="523">
        <v>1</v>
      </c>
      <c r="C265" s="523">
        <v>1</v>
      </c>
      <c r="D265" s="917">
        <v>0.03</v>
      </c>
      <c r="E265" s="523" t="s">
        <v>188</v>
      </c>
      <c r="F265" s="414">
        <v>7.0000000000000001E-3</v>
      </c>
      <c r="G265" s="523" t="s">
        <v>188</v>
      </c>
      <c r="H265" s="917" t="s">
        <v>3139</v>
      </c>
      <c r="I265" s="523" t="s">
        <v>936</v>
      </c>
      <c r="J265" s="414">
        <v>47100</v>
      </c>
      <c r="M265" s="561"/>
      <c r="N265" s="917" t="s">
        <v>194</v>
      </c>
      <c r="O265" s="523">
        <v>7.5</v>
      </c>
      <c r="Q265" s="561"/>
      <c r="R265" s="917">
        <v>1</v>
      </c>
      <c r="S265" s="523" t="s">
        <v>3491</v>
      </c>
      <c r="T265" s="559"/>
      <c r="V265" s="559"/>
      <c r="W265" s="560"/>
      <c r="X265" s="559"/>
      <c r="Y265" s="559"/>
      <c r="Z265" s="559"/>
      <c r="AA265" s="559"/>
      <c r="AB265" s="917">
        <v>168</v>
      </c>
      <c r="AC265" s="414" t="s">
        <v>2060</v>
      </c>
      <c r="AD265" s="438" t="s">
        <v>497</v>
      </c>
      <c r="AE265" s="523" t="s">
        <v>499</v>
      </c>
      <c r="AF265" s="561"/>
      <c r="AG265" s="917"/>
      <c r="AH265" s="523">
        <v>0</v>
      </c>
      <c r="AI265" s="438"/>
      <c r="AJ265" s="414"/>
      <c r="AK265" s="523" t="s">
        <v>1932</v>
      </c>
      <c r="AQ265" s="917"/>
      <c r="AV265" s="561"/>
      <c r="AW265" s="414" t="str">
        <f t="shared" ref="AW265:AW328" si="27">IF(VLOOKUP(A265,contam_lookup,2,FALSE)="","",VLOOKUP(A265,contam_lookup,2,FALSE))&amp;", "&amp;IF(B265=1,"Pressure","Gravity")</f>
        <v>1,1,2,2-Tetrachloroethane, Pressure</v>
      </c>
      <c r="AX265" s="414" t="b">
        <f t="shared" si="25"/>
        <v>0</v>
      </c>
      <c r="AY265" s="523" t="b">
        <f t="array" ref="AY265">AND(D265:G265=inp_used_minimal,A265=inp_used_usersel)</f>
        <v>0</v>
      </c>
      <c r="AZ265" s="523" t="b">
        <f t="array" ref="AZ265">AND(A265=inp_used_usersel,D265:R265=inp_used_nonvessel1,AB265:AV265=inp_used_nonvessel2,IF(B265=1,inp_used_pressure=inp_autosize_pressure,inp_used_gravity=inp_autosize_gravity))</f>
        <v>0</v>
      </c>
      <c r="BA265" s="523" t="b">
        <f t="array" ref="BA265">AND(D265:AV265=inp_used,A265=inp_used_usersel)</f>
        <v>0</v>
      </c>
      <c r="BB265" s="523" t="b">
        <f t="shared" ref="BB265:BC272" si="28">CHOOSE(design_type,AX265,AX273)</f>
        <v>0</v>
      </c>
      <c r="BC265" s="523" t="b">
        <f t="shared" si="28"/>
        <v>0</v>
      </c>
    </row>
    <row r="266" spans="1:55" s="523" customFormat="1">
      <c r="A266" s="523">
        <v>17</v>
      </c>
      <c r="B266" s="523">
        <v>1</v>
      </c>
      <c r="C266" s="523">
        <v>2</v>
      </c>
      <c r="D266" s="557">
        <v>0.124</v>
      </c>
      <c r="E266" s="523" t="s">
        <v>188</v>
      </c>
      <c r="F266" s="414">
        <v>3.5000000000000003E-2</v>
      </c>
      <c r="G266" s="523" t="s">
        <v>188</v>
      </c>
      <c r="H266" s="557" t="s">
        <v>3139</v>
      </c>
      <c r="I266" s="523" t="s">
        <v>936</v>
      </c>
      <c r="J266" s="414">
        <v>47100</v>
      </c>
      <c r="M266" s="561"/>
      <c r="N266" s="557" t="s">
        <v>194</v>
      </c>
      <c r="O266" s="523">
        <v>7.5</v>
      </c>
      <c r="Q266" s="561"/>
      <c r="R266" s="557">
        <v>1</v>
      </c>
      <c r="S266" s="523" t="s">
        <v>3491</v>
      </c>
      <c r="T266" s="559"/>
      <c r="V266" s="559"/>
      <c r="W266" s="560"/>
      <c r="X266" s="559"/>
      <c r="Y266" s="559"/>
      <c r="Z266" s="559"/>
      <c r="AA266" s="559"/>
      <c r="AB266" s="557">
        <v>168</v>
      </c>
      <c r="AC266" s="414" t="s">
        <v>2060</v>
      </c>
      <c r="AD266" s="438" t="s">
        <v>498</v>
      </c>
      <c r="AE266" s="523" t="s">
        <v>499</v>
      </c>
      <c r="AF266" s="562" t="s">
        <v>500</v>
      </c>
      <c r="AG266" s="557"/>
      <c r="AH266" s="523">
        <v>0</v>
      </c>
      <c r="AI266" s="438"/>
      <c r="AJ266" s="414"/>
      <c r="AK266" s="523" t="s">
        <v>1932</v>
      </c>
      <c r="AQ266" s="557"/>
      <c r="AV266" s="561"/>
      <c r="AW266" s="414" t="str">
        <f t="shared" si="27"/>
        <v>1,1,2,2-Tetrachloroethane, Pressure</v>
      </c>
      <c r="AX266" s="414" t="b">
        <f t="shared" si="25"/>
        <v>0</v>
      </c>
      <c r="AY266" s="523" t="b">
        <f t="array" ref="AY266">AND(D266:G266=inp_used_minimal,A266=inp_used_usersel)</f>
        <v>0</v>
      </c>
      <c r="AZ266" s="523" t="b">
        <f t="array" ref="AZ266">AND(A266=inp_used_usersel,D266:R266=inp_used_nonvessel1,AB266:AV266=inp_used_nonvessel2,IF(B266=1,inp_used_pressure=inp_autosize_pressure,inp_used_gravity=inp_autosize_gravity))</f>
        <v>0</v>
      </c>
      <c r="BA266" s="523" t="b">
        <f t="array" ref="BA266">AND(D266:AV266=inp_used,A266=inp_used_usersel)</f>
        <v>0</v>
      </c>
      <c r="BB266" s="523" t="b">
        <f t="shared" si="28"/>
        <v>0</v>
      </c>
      <c r="BC266" s="523" t="b">
        <f t="shared" si="28"/>
        <v>0</v>
      </c>
    </row>
    <row r="267" spans="1:55" s="523" customFormat="1">
      <c r="A267" s="523">
        <v>17</v>
      </c>
      <c r="B267" s="523">
        <v>1</v>
      </c>
      <c r="C267" s="523">
        <v>3</v>
      </c>
      <c r="D267" s="557">
        <v>0.30499999999999999</v>
      </c>
      <c r="E267" s="523" t="s">
        <v>188</v>
      </c>
      <c r="F267" s="414">
        <v>9.4E-2</v>
      </c>
      <c r="G267" s="523" t="s">
        <v>188</v>
      </c>
      <c r="H267" s="557" t="s">
        <v>3139</v>
      </c>
      <c r="I267" s="523" t="s">
        <v>936</v>
      </c>
      <c r="J267" s="414">
        <v>47100</v>
      </c>
      <c r="M267" s="561"/>
      <c r="N267" s="557" t="s">
        <v>194</v>
      </c>
      <c r="O267" s="523">
        <v>7.5</v>
      </c>
      <c r="Q267" s="561"/>
      <c r="R267" s="557">
        <v>1</v>
      </c>
      <c r="S267" s="523" t="s">
        <v>3491</v>
      </c>
      <c r="T267" s="559"/>
      <c r="V267" s="559"/>
      <c r="W267" s="560"/>
      <c r="X267" s="559"/>
      <c r="Y267" s="559"/>
      <c r="Z267" s="559"/>
      <c r="AA267" s="559"/>
      <c r="AB267" s="557">
        <v>168</v>
      </c>
      <c r="AC267" s="414" t="s">
        <v>2060</v>
      </c>
      <c r="AD267" s="438" t="s">
        <v>498</v>
      </c>
      <c r="AE267" s="523" t="s">
        <v>499</v>
      </c>
      <c r="AF267" s="562" t="s">
        <v>500</v>
      </c>
      <c r="AG267" s="557"/>
      <c r="AH267" s="523">
        <v>0</v>
      </c>
      <c r="AI267" s="438"/>
      <c r="AJ267" s="414"/>
      <c r="AK267" s="523" t="s">
        <v>1932</v>
      </c>
      <c r="AQ267" s="557"/>
      <c r="AV267" s="561"/>
      <c r="AW267" s="414" t="str">
        <f t="shared" si="27"/>
        <v>1,1,2,2-Tetrachloroethane, Pressure</v>
      </c>
      <c r="AX267" s="414" t="b">
        <f t="shared" si="25"/>
        <v>0</v>
      </c>
      <c r="AY267" s="523" t="b">
        <f t="array" ref="AY267">AND(D267:G267=inp_used_minimal,A267=inp_used_usersel)</f>
        <v>0</v>
      </c>
      <c r="AZ267" s="523" t="b">
        <f t="array" ref="AZ267">AND(A267=inp_used_usersel,D267:R267=inp_used_nonvessel1,AB267:AV267=inp_used_nonvessel2,IF(B267=1,inp_used_pressure=inp_autosize_pressure,inp_used_gravity=inp_autosize_gravity))</f>
        <v>0</v>
      </c>
      <c r="BA267" s="523" t="b">
        <f t="array" ref="BA267">AND(D267:AV267=inp_used,A267=inp_used_usersel)</f>
        <v>0</v>
      </c>
      <c r="BB267" s="523" t="b">
        <f t="shared" si="28"/>
        <v>0</v>
      </c>
      <c r="BC267" s="523" t="b">
        <f t="shared" si="28"/>
        <v>0</v>
      </c>
    </row>
    <row r="268" spans="1:55" s="523" customFormat="1">
      <c r="A268" s="523">
        <v>17</v>
      </c>
      <c r="B268" s="523">
        <v>1</v>
      </c>
      <c r="C268" s="523">
        <v>4</v>
      </c>
      <c r="D268" s="557">
        <v>0.74</v>
      </c>
      <c r="E268" s="523" t="s">
        <v>188</v>
      </c>
      <c r="F268" s="414">
        <v>0.251</v>
      </c>
      <c r="G268" s="523" t="s">
        <v>188</v>
      </c>
      <c r="H268" s="557" t="s">
        <v>3139</v>
      </c>
      <c r="I268" s="523" t="s">
        <v>936</v>
      </c>
      <c r="J268" s="414">
        <v>47100</v>
      </c>
      <c r="M268" s="561"/>
      <c r="N268" s="557" t="s">
        <v>194</v>
      </c>
      <c r="O268" s="523">
        <v>7.5</v>
      </c>
      <c r="Q268" s="561"/>
      <c r="R268" s="557">
        <v>1</v>
      </c>
      <c r="S268" s="523" t="s">
        <v>3491</v>
      </c>
      <c r="T268" s="559"/>
      <c r="V268" s="559"/>
      <c r="W268" s="560"/>
      <c r="X268" s="559"/>
      <c r="Y268" s="559"/>
      <c r="Z268" s="559"/>
      <c r="AA268" s="559"/>
      <c r="AB268" s="557">
        <v>168</v>
      </c>
      <c r="AC268" s="414" t="s">
        <v>2060</v>
      </c>
      <c r="AD268" s="438" t="s">
        <v>498</v>
      </c>
      <c r="AE268" s="523" t="s">
        <v>499</v>
      </c>
      <c r="AF268" s="562" t="s">
        <v>500</v>
      </c>
      <c r="AG268" s="557"/>
      <c r="AH268" s="523">
        <v>0</v>
      </c>
      <c r="AI268" s="438"/>
      <c r="AJ268" s="414"/>
      <c r="AK268" s="523" t="s">
        <v>1932</v>
      </c>
      <c r="AQ268" s="557"/>
      <c r="AV268" s="561"/>
      <c r="AW268" s="414" t="str">
        <f t="shared" si="27"/>
        <v>1,1,2,2-Tetrachloroethane, Pressure</v>
      </c>
      <c r="AX268" s="414" t="b">
        <f t="shared" si="25"/>
        <v>0</v>
      </c>
      <c r="AY268" s="523" t="b">
        <f t="array" ref="AY268">AND(D268:G268=inp_used_minimal,A268=inp_used_usersel)</f>
        <v>0</v>
      </c>
      <c r="AZ268" s="523" t="b">
        <f t="array" ref="AZ268">AND(A268=inp_used_usersel,D268:R268=inp_used_nonvessel1,AB268:AV268=inp_used_nonvessel2,IF(B268=1,inp_used_pressure=inp_autosize_pressure,inp_used_gravity=inp_autosize_gravity))</f>
        <v>0</v>
      </c>
      <c r="BA268" s="523" t="b">
        <f t="array" ref="BA268">AND(D268:AV268=inp_used,A268=inp_used_usersel)</f>
        <v>0</v>
      </c>
      <c r="BB268" s="523" t="b">
        <f t="shared" si="28"/>
        <v>0</v>
      </c>
      <c r="BC268" s="523" t="b">
        <f t="shared" si="28"/>
        <v>0</v>
      </c>
    </row>
    <row r="269" spans="1:55" s="523" customFormat="1">
      <c r="A269" s="523">
        <v>17</v>
      </c>
      <c r="B269" s="523">
        <v>1</v>
      </c>
      <c r="C269" s="414">
        <v>5</v>
      </c>
      <c r="D269" s="529">
        <v>2.1520000000000001</v>
      </c>
      <c r="E269" s="523" t="s">
        <v>188</v>
      </c>
      <c r="F269" s="414">
        <v>0.81899999999999995</v>
      </c>
      <c r="G269" s="523" t="s">
        <v>188</v>
      </c>
      <c r="H269" s="557" t="s">
        <v>3139</v>
      </c>
      <c r="I269" s="523" t="s">
        <v>936</v>
      </c>
      <c r="J269" s="414">
        <v>47100</v>
      </c>
      <c r="M269" s="561"/>
      <c r="N269" s="557" t="s">
        <v>194</v>
      </c>
      <c r="O269" s="523">
        <v>7.5</v>
      </c>
      <c r="Q269" s="561"/>
      <c r="R269" s="557">
        <v>1</v>
      </c>
      <c r="S269" s="523" t="s">
        <v>3491</v>
      </c>
      <c r="T269" s="559"/>
      <c r="V269" s="559"/>
      <c r="W269" s="560"/>
      <c r="X269" s="559"/>
      <c r="Y269" s="559"/>
      <c r="Z269" s="559"/>
      <c r="AA269" s="559"/>
      <c r="AB269" s="557">
        <v>168</v>
      </c>
      <c r="AC269" s="414" t="s">
        <v>2060</v>
      </c>
      <c r="AD269" s="438" t="s">
        <v>498</v>
      </c>
      <c r="AE269" s="523" t="s">
        <v>499</v>
      </c>
      <c r="AF269" s="562" t="s">
        <v>500</v>
      </c>
      <c r="AG269" s="557"/>
      <c r="AH269" s="523">
        <v>0</v>
      </c>
      <c r="AI269" s="438"/>
      <c r="AJ269" s="414"/>
      <c r="AK269" s="523" t="s">
        <v>1932</v>
      </c>
      <c r="AQ269" s="557"/>
      <c r="AV269" s="561"/>
      <c r="AW269" s="414" t="str">
        <f t="shared" si="27"/>
        <v>1,1,2,2-Tetrachloroethane, Pressure</v>
      </c>
      <c r="AX269" s="414" t="b">
        <f t="shared" si="25"/>
        <v>0</v>
      </c>
      <c r="AY269" s="523" t="b">
        <f t="array" ref="AY269">AND(D269:G269=inp_used_minimal,A269=inp_used_usersel)</f>
        <v>0</v>
      </c>
      <c r="AZ269" s="523" t="b">
        <f t="array" ref="AZ269">AND(A269=inp_used_usersel,D269:R269=inp_used_nonvessel1,AB269:AV269=inp_used_nonvessel2,IF(B269=1,inp_used_pressure=inp_autosize_pressure,inp_used_gravity=inp_autosize_gravity))</f>
        <v>0</v>
      </c>
      <c r="BA269" s="523" t="b">
        <f t="array" ref="BA269">AND(D269:AV269=inp_used,A269=inp_used_usersel)</f>
        <v>0</v>
      </c>
      <c r="BB269" s="523" t="b">
        <f t="shared" si="28"/>
        <v>0</v>
      </c>
      <c r="BC269" s="523" t="b">
        <f t="shared" si="28"/>
        <v>0</v>
      </c>
    </row>
    <row r="270" spans="1:55" s="523" customFormat="1">
      <c r="A270" s="523">
        <v>17</v>
      </c>
      <c r="B270" s="523">
        <v>1</v>
      </c>
      <c r="C270" s="414">
        <v>6</v>
      </c>
      <c r="D270" s="529">
        <v>7.3650000000000002</v>
      </c>
      <c r="E270" s="523" t="s">
        <v>188</v>
      </c>
      <c r="F270" s="414">
        <v>3.2</v>
      </c>
      <c r="G270" s="523" t="s">
        <v>188</v>
      </c>
      <c r="H270" s="557" t="s">
        <v>3139</v>
      </c>
      <c r="I270" s="523" t="s">
        <v>936</v>
      </c>
      <c r="J270" s="414">
        <v>47100</v>
      </c>
      <c r="M270" s="561"/>
      <c r="N270" s="557" t="s">
        <v>194</v>
      </c>
      <c r="O270" s="523">
        <v>7.5</v>
      </c>
      <c r="Q270" s="561"/>
      <c r="R270" s="557">
        <v>1</v>
      </c>
      <c r="S270" s="523" t="s">
        <v>3491</v>
      </c>
      <c r="T270" s="559"/>
      <c r="V270" s="559"/>
      <c r="W270" s="560"/>
      <c r="X270" s="559"/>
      <c r="Y270" s="559"/>
      <c r="Z270" s="559"/>
      <c r="AA270" s="559"/>
      <c r="AB270" s="557">
        <v>168</v>
      </c>
      <c r="AC270" s="414" t="s">
        <v>2060</v>
      </c>
      <c r="AD270" s="438" t="s">
        <v>498</v>
      </c>
      <c r="AE270" s="523" t="s">
        <v>2615</v>
      </c>
      <c r="AF270" s="562" t="s">
        <v>500</v>
      </c>
      <c r="AG270" s="557"/>
      <c r="AH270" s="523">
        <v>0</v>
      </c>
      <c r="AI270" s="438"/>
      <c r="AJ270" s="414"/>
      <c r="AK270" s="523" t="s">
        <v>1932</v>
      </c>
      <c r="AQ270" s="557"/>
      <c r="AV270" s="561"/>
      <c r="AW270" s="414" t="str">
        <f t="shared" si="27"/>
        <v>1,1,2,2-Tetrachloroethane, Pressure</v>
      </c>
      <c r="AX270" s="414" t="b">
        <f t="shared" si="25"/>
        <v>0</v>
      </c>
      <c r="AY270" s="523" t="b">
        <f t="array" ref="AY270">AND(D270:G270=inp_used_minimal,A270=inp_used_usersel)</f>
        <v>0</v>
      </c>
      <c r="AZ270" s="523" t="b">
        <f t="array" ref="AZ270">AND(A270=inp_used_usersel,D270:R270=inp_used_nonvessel1,AB270:AV270=inp_used_nonvessel2,IF(B270=1,inp_used_pressure=inp_autosize_pressure,inp_used_gravity=inp_autosize_gravity))</f>
        <v>0</v>
      </c>
      <c r="BA270" s="523" t="b">
        <f t="array" ref="BA270">AND(D270:AV270=inp_used,A270=inp_used_usersel)</f>
        <v>0</v>
      </c>
      <c r="BB270" s="523" t="b">
        <f t="shared" si="28"/>
        <v>0</v>
      </c>
      <c r="BC270" s="523" t="b">
        <f t="shared" si="28"/>
        <v>0</v>
      </c>
    </row>
    <row r="271" spans="1:55" s="523" customFormat="1">
      <c r="A271" s="523">
        <v>17</v>
      </c>
      <c r="B271" s="523">
        <v>1</v>
      </c>
      <c r="C271" s="414">
        <v>7</v>
      </c>
      <c r="D271" s="529">
        <v>22.614000000000001</v>
      </c>
      <c r="E271" s="523" t="s">
        <v>188</v>
      </c>
      <c r="F271" s="414">
        <v>11.066000000000001</v>
      </c>
      <c r="G271" s="523" t="s">
        <v>188</v>
      </c>
      <c r="H271" s="557" t="s">
        <v>3139</v>
      </c>
      <c r="I271" s="523" t="s">
        <v>936</v>
      </c>
      <c r="J271" s="414">
        <v>47100</v>
      </c>
      <c r="M271" s="561"/>
      <c r="N271" s="557" t="s">
        <v>194</v>
      </c>
      <c r="O271" s="523">
        <v>7.5</v>
      </c>
      <c r="Q271" s="561"/>
      <c r="R271" s="557">
        <v>1</v>
      </c>
      <c r="S271" s="523" t="s">
        <v>3491</v>
      </c>
      <c r="T271" s="559"/>
      <c r="V271" s="559"/>
      <c r="W271" s="560"/>
      <c r="X271" s="559"/>
      <c r="Y271" s="559"/>
      <c r="Z271" s="559"/>
      <c r="AA271" s="559"/>
      <c r="AB271" s="557">
        <v>168</v>
      </c>
      <c r="AC271" s="414" t="s">
        <v>2060</v>
      </c>
      <c r="AD271" s="438" t="s">
        <v>498</v>
      </c>
      <c r="AE271" s="523" t="s">
        <v>2615</v>
      </c>
      <c r="AF271" s="562" t="s">
        <v>500</v>
      </c>
      <c r="AG271" s="557"/>
      <c r="AH271" s="523">
        <v>0</v>
      </c>
      <c r="AI271" s="438"/>
      <c r="AJ271" s="414"/>
      <c r="AK271" s="523" t="s">
        <v>1932</v>
      </c>
      <c r="AQ271" s="557"/>
      <c r="AV271" s="561"/>
      <c r="AW271" s="414" t="str">
        <f t="shared" si="27"/>
        <v>1,1,2,2-Tetrachloroethane, Pressure</v>
      </c>
      <c r="AX271" s="414" t="b">
        <f t="shared" si="25"/>
        <v>0</v>
      </c>
      <c r="AY271" s="523" t="b">
        <f t="array" ref="AY271">AND(D271:G271=inp_used_minimal,A271=inp_used_usersel)</f>
        <v>0</v>
      </c>
      <c r="AZ271" s="523" t="b">
        <f t="array" ref="AZ271">AND(A271=inp_used_usersel,D271:R271=inp_used_nonvessel1,AB271:AV271=inp_used_nonvessel2,IF(B271=1,inp_used_pressure=inp_autosize_pressure,inp_used_gravity=inp_autosize_gravity))</f>
        <v>0</v>
      </c>
      <c r="BA271" s="523" t="b">
        <f t="array" ref="BA271">AND(D271:AV271=inp_used,A271=inp_used_usersel)</f>
        <v>0</v>
      </c>
      <c r="BB271" s="523" t="b">
        <f t="shared" si="28"/>
        <v>0</v>
      </c>
      <c r="BC271" s="523" t="b">
        <f t="shared" si="28"/>
        <v>0</v>
      </c>
    </row>
    <row r="272" spans="1:55" s="563" customFormat="1">
      <c r="A272" s="563">
        <v>17</v>
      </c>
      <c r="B272" s="563">
        <v>1</v>
      </c>
      <c r="C272" s="564">
        <v>8</v>
      </c>
      <c r="D272" s="918">
        <v>75.072000000000003</v>
      </c>
      <c r="E272" s="563" t="s">
        <v>188</v>
      </c>
      <c r="F272" s="564">
        <v>37.536000000000001</v>
      </c>
      <c r="G272" s="563" t="s">
        <v>188</v>
      </c>
      <c r="H272" s="919" t="s">
        <v>3139</v>
      </c>
      <c r="I272" s="563" t="s">
        <v>936</v>
      </c>
      <c r="J272" s="564">
        <v>47100</v>
      </c>
      <c r="M272" s="565"/>
      <c r="N272" s="919" t="s">
        <v>194</v>
      </c>
      <c r="O272" s="563">
        <v>7.5</v>
      </c>
      <c r="Q272" s="565"/>
      <c r="R272" s="919">
        <v>1</v>
      </c>
      <c r="S272" s="563" t="s">
        <v>3491</v>
      </c>
      <c r="T272" s="566"/>
      <c r="V272" s="566"/>
      <c r="W272" s="567"/>
      <c r="X272" s="566"/>
      <c r="Y272" s="566"/>
      <c r="Z272" s="566"/>
      <c r="AA272" s="567"/>
      <c r="AB272" s="919">
        <v>168</v>
      </c>
      <c r="AC272" s="564" t="s">
        <v>2060</v>
      </c>
      <c r="AD272" s="568" t="s">
        <v>498</v>
      </c>
      <c r="AE272" s="563" t="s">
        <v>2615</v>
      </c>
      <c r="AF272" s="554" t="s">
        <v>500</v>
      </c>
      <c r="AG272" s="919"/>
      <c r="AH272" s="563">
        <v>0</v>
      </c>
      <c r="AI272" s="568"/>
      <c r="AJ272" s="564"/>
      <c r="AK272" s="563" t="s">
        <v>1932</v>
      </c>
      <c r="AP272" s="565"/>
      <c r="AQ272" s="919"/>
      <c r="AV272" s="565"/>
      <c r="AW272" s="564" t="str">
        <f t="shared" si="27"/>
        <v>1,1,2,2-Tetrachloroethane, Pressure</v>
      </c>
      <c r="AX272" s="564" t="b">
        <f t="shared" si="25"/>
        <v>0</v>
      </c>
      <c r="AY272" s="563" t="b">
        <f t="array" ref="AY272">AND(D272:G272=inp_used_minimal,A272=inp_used_usersel)</f>
        <v>0</v>
      </c>
      <c r="AZ272" s="563" t="b">
        <f t="array" ref="AZ272">AND(A272=inp_used_usersel,D272:R272=inp_used_nonvessel1,AB272:AV272=inp_used_nonvessel2,IF(B272=1,inp_used_pressure=inp_autosize_pressure,inp_used_gravity=inp_autosize_gravity))</f>
        <v>0</v>
      </c>
      <c r="BA272" s="563" t="b">
        <f t="array" ref="BA272">AND(D272:AV272=inp_used,A272=inp_used_usersel)</f>
        <v>0</v>
      </c>
      <c r="BB272" s="563" t="b">
        <f t="shared" si="28"/>
        <v>0</v>
      </c>
      <c r="BC272" s="563" t="b">
        <f t="shared" si="28"/>
        <v>0</v>
      </c>
    </row>
    <row r="273" spans="1:55" s="523" customFormat="1">
      <c r="A273" s="523">
        <v>17</v>
      </c>
      <c r="B273" s="523">
        <v>2</v>
      </c>
      <c r="C273" s="523">
        <v>1</v>
      </c>
      <c r="D273" s="917">
        <v>0.03</v>
      </c>
      <c r="E273" s="523" t="s">
        <v>188</v>
      </c>
      <c r="F273" s="414">
        <v>7.0000000000000001E-3</v>
      </c>
      <c r="G273" s="523" t="s">
        <v>188</v>
      </c>
      <c r="H273" s="917" t="s">
        <v>3139</v>
      </c>
      <c r="I273" s="523" t="s">
        <v>936</v>
      </c>
      <c r="J273" s="414">
        <v>47100</v>
      </c>
      <c r="M273" s="561"/>
      <c r="N273" s="917" t="s">
        <v>194</v>
      </c>
      <c r="O273" s="523">
        <v>7.5</v>
      </c>
      <c r="Q273" s="561"/>
      <c r="R273" s="917"/>
      <c r="T273" s="559"/>
      <c r="U273" s="559"/>
      <c r="V273" s="559"/>
      <c r="W273" s="560"/>
      <c r="X273" s="559" t="s">
        <v>3491</v>
      </c>
      <c r="Y273" s="414"/>
      <c r="Z273" s="414"/>
      <c r="AA273" s="414"/>
      <c r="AB273" s="917">
        <v>168</v>
      </c>
      <c r="AC273" s="414" t="s">
        <v>2060</v>
      </c>
      <c r="AD273" s="414" t="s">
        <v>2875</v>
      </c>
      <c r="AE273" s="523" t="s">
        <v>499</v>
      </c>
      <c r="AF273" s="414" t="s">
        <v>500</v>
      </c>
      <c r="AG273" s="917"/>
      <c r="AH273" s="523">
        <v>0</v>
      </c>
      <c r="AI273" s="438"/>
      <c r="AJ273" s="414"/>
      <c r="AK273" s="523" t="s">
        <v>1932</v>
      </c>
      <c r="AQ273" s="917"/>
      <c r="AV273" s="561"/>
      <c r="AW273" s="414" t="str">
        <f t="shared" si="27"/>
        <v>1,1,2,2-Tetrachloroethane, Gravity</v>
      </c>
      <c r="AX273" s="414" t="b">
        <f t="shared" si="25"/>
        <v>0</v>
      </c>
      <c r="AY273" s="523" t="b">
        <f t="array" ref="AY273">AND(D273:G273=inp_used_minimal,A273=inp_used_usersel)</f>
        <v>0</v>
      </c>
      <c r="AZ273" s="523" t="b">
        <f t="array" ref="AZ273">AND(A273=inp_used_usersel,D273:R273=inp_used_nonvessel1,AB273:AV273=inp_used_nonvessel2,IF(B273=1,inp_used_pressure=inp_autosize_pressure,inp_used_gravity=inp_autosize_gravity))</f>
        <v>0</v>
      </c>
      <c r="BA273" s="523" t="b">
        <f t="array" ref="BA273">AND(D273:AV273=inp_used,A273=inp_used_usersel)</f>
        <v>0</v>
      </c>
    </row>
    <row r="274" spans="1:55" s="523" customFormat="1">
      <c r="A274" s="523">
        <v>17</v>
      </c>
      <c r="B274" s="523">
        <v>2</v>
      </c>
      <c r="C274" s="523">
        <v>2</v>
      </c>
      <c r="D274" s="557">
        <v>0.124</v>
      </c>
      <c r="E274" s="523" t="s">
        <v>188</v>
      </c>
      <c r="F274" s="414">
        <v>3.5000000000000003E-2</v>
      </c>
      <c r="G274" s="523" t="s">
        <v>188</v>
      </c>
      <c r="H274" s="557" t="s">
        <v>3139</v>
      </c>
      <c r="I274" s="523" t="s">
        <v>936</v>
      </c>
      <c r="J274" s="414">
        <v>47100</v>
      </c>
      <c r="M274" s="561"/>
      <c r="N274" s="557" t="s">
        <v>194</v>
      </c>
      <c r="O274" s="523">
        <v>7.5</v>
      </c>
      <c r="Q274" s="561"/>
      <c r="R274" s="557"/>
      <c r="T274" s="559"/>
      <c r="U274" s="559"/>
      <c r="V274" s="559"/>
      <c r="W274" s="560"/>
      <c r="X274" s="559" t="s">
        <v>3491</v>
      </c>
      <c r="Y274" s="414"/>
      <c r="Z274" s="414"/>
      <c r="AA274" s="414"/>
      <c r="AB274" s="557">
        <v>168</v>
      </c>
      <c r="AC274" s="414" t="s">
        <v>2060</v>
      </c>
      <c r="AD274" s="414" t="s">
        <v>2875</v>
      </c>
      <c r="AE274" s="523" t="s">
        <v>499</v>
      </c>
      <c r="AF274" s="414" t="s">
        <v>500</v>
      </c>
      <c r="AG274" s="557"/>
      <c r="AH274" s="523">
        <v>0</v>
      </c>
      <c r="AI274" s="438"/>
      <c r="AJ274" s="414"/>
      <c r="AK274" s="523" t="s">
        <v>1932</v>
      </c>
      <c r="AQ274" s="557"/>
      <c r="AV274" s="561"/>
      <c r="AW274" s="414" t="str">
        <f t="shared" si="27"/>
        <v>1,1,2,2-Tetrachloroethane, Gravity</v>
      </c>
      <c r="AX274" s="414" t="b">
        <f t="shared" si="25"/>
        <v>0</v>
      </c>
      <c r="AY274" s="523" t="b">
        <f t="array" ref="AY274">AND(D274:G274=inp_used_minimal,A274=inp_used_usersel)</f>
        <v>0</v>
      </c>
      <c r="AZ274" s="523" t="b">
        <f t="array" ref="AZ274">AND(A274=inp_used_usersel,D274:R274=inp_used_nonvessel1,AB274:AV274=inp_used_nonvessel2,IF(B274=1,inp_used_pressure=inp_autosize_pressure,inp_used_gravity=inp_autosize_gravity))</f>
        <v>0</v>
      </c>
      <c r="BA274" s="523" t="b">
        <f t="array" ref="BA274">AND(D274:AV274=inp_used,A274=inp_used_usersel)</f>
        <v>0</v>
      </c>
    </row>
    <row r="275" spans="1:55" s="523" customFormat="1">
      <c r="A275" s="523">
        <v>17</v>
      </c>
      <c r="B275" s="523">
        <v>2</v>
      </c>
      <c r="C275" s="523">
        <v>3</v>
      </c>
      <c r="D275" s="557">
        <v>0.30499999999999999</v>
      </c>
      <c r="E275" s="523" t="s">
        <v>188</v>
      </c>
      <c r="F275" s="414">
        <v>9.4E-2</v>
      </c>
      <c r="G275" s="523" t="s">
        <v>188</v>
      </c>
      <c r="H275" s="557" t="s">
        <v>3139</v>
      </c>
      <c r="I275" s="523" t="s">
        <v>936</v>
      </c>
      <c r="J275" s="414">
        <v>47100</v>
      </c>
      <c r="M275" s="561"/>
      <c r="N275" s="557" t="s">
        <v>194</v>
      </c>
      <c r="O275" s="523">
        <v>7.5</v>
      </c>
      <c r="Q275" s="561"/>
      <c r="R275" s="557"/>
      <c r="T275" s="559"/>
      <c r="U275" s="559"/>
      <c r="V275" s="559"/>
      <c r="W275" s="560"/>
      <c r="X275" s="559" t="s">
        <v>3491</v>
      </c>
      <c r="Y275" s="414"/>
      <c r="Z275" s="414"/>
      <c r="AA275" s="414"/>
      <c r="AB275" s="557">
        <v>168</v>
      </c>
      <c r="AC275" s="414" t="s">
        <v>2060</v>
      </c>
      <c r="AD275" s="414" t="s">
        <v>2875</v>
      </c>
      <c r="AE275" s="523" t="s">
        <v>499</v>
      </c>
      <c r="AF275" s="414" t="s">
        <v>500</v>
      </c>
      <c r="AG275" s="557"/>
      <c r="AH275" s="523">
        <v>0</v>
      </c>
      <c r="AI275" s="438"/>
      <c r="AJ275" s="414"/>
      <c r="AK275" s="523" t="s">
        <v>1932</v>
      </c>
      <c r="AQ275" s="557"/>
      <c r="AV275" s="561"/>
      <c r="AW275" s="414" t="str">
        <f t="shared" si="27"/>
        <v>1,1,2,2-Tetrachloroethane, Gravity</v>
      </c>
      <c r="AX275" s="414" t="b">
        <f t="shared" si="25"/>
        <v>0</v>
      </c>
      <c r="AY275" s="523" t="b">
        <f t="array" ref="AY275">AND(D275:G275=inp_used_minimal,A275=inp_used_usersel)</f>
        <v>0</v>
      </c>
      <c r="AZ275" s="523" t="b">
        <f t="array" ref="AZ275">AND(A275=inp_used_usersel,D275:R275=inp_used_nonvessel1,AB275:AV275=inp_used_nonvessel2,IF(B275=1,inp_used_pressure=inp_autosize_pressure,inp_used_gravity=inp_autosize_gravity))</f>
        <v>0</v>
      </c>
      <c r="BA275" s="523" t="b">
        <f t="array" ref="BA275">AND(D275:AV275=inp_used,A275=inp_used_usersel)</f>
        <v>0</v>
      </c>
    </row>
    <row r="276" spans="1:55" s="523" customFormat="1">
      <c r="A276" s="523">
        <v>17</v>
      </c>
      <c r="B276" s="523">
        <v>2</v>
      </c>
      <c r="C276" s="523">
        <v>4</v>
      </c>
      <c r="D276" s="557">
        <v>0.74</v>
      </c>
      <c r="E276" s="523" t="s">
        <v>188</v>
      </c>
      <c r="F276" s="414">
        <v>0.251</v>
      </c>
      <c r="G276" s="523" t="s">
        <v>188</v>
      </c>
      <c r="H276" s="557" t="s">
        <v>3139</v>
      </c>
      <c r="I276" s="523" t="s">
        <v>936</v>
      </c>
      <c r="J276" s="414">
        <v>47100</v>
      </c>
      <c r="M276" s="561"/>
      <c r="N276" s="557" t="s">
        <v>194</v>
      </c>
      <c r="O276" s="523">
        <v>7.5</v>
      </c>
      <c r="Q276" s="561"/>
      <c r="R276" s="557"/>
      <c r="T276" s="559"/>
      <c r="U276" s="559"/>
      <c r="V276" s="559"/>
      <c r="W276" s="560"/>
      <c r="X276" s="559" t="s">
        <v>3491</v>
      </c>
      <c r="Y276" s="414"/>
      <c r="Z276" s="414"/>
      <c r="AA276" s="414"/>
      <c r="AB276" s="557">
        <v>168</v>
      </c>
      <c r="AC276" s="414" t="s">
        <v>2060</v>
      </c>
      <c r="AD276" s="414" t="s">
        <v>2875</v>
      </c>
      <c r="AE276" s="523" t="s">
        <v>499</v>
      </c>
      <c r="AF276" s="414" t="s">
        <v>500</v>
      </c>
      <c r="AG276" s="557"/>
      <c r="AH276" s="523">
        <v>0</v>
      </c>
      <c r="AI276" s="438"/>
      <c r="AJ276" s="414"/>
      <c r="AK276" s="523" t="s">
        <v>1932</v>
      </c>
      <c r="AQ276" s="557"/>
      <c r="AV276" s="561"/>
      <c r="AW276" s="414" t="str">
        <f t="shared" si="27"/>
        <v>1,1,2,2-Tetrachloroethane, Gravity</v>
      </c>
      <c r="AX276" s="414" t="b">
        <f t="shared" si="25"/>
        <v>0</v>
      </c>
      <c r="AY276" s="523" t="b">
        <f t="array" ref="AY276">AND(D276:G276=inp_used_minimal,A276=inp_used_usersel)</f>
        <v>0</v>
      </c>
      <c r="AZ276" s="523" t="b">
        <f t="array" ref="AZ276">AND(A276=inp_used_usersel,D276:R276=inp_used_nonvessel1,AB276:AV276=inp_used_nonvessel2,IF(B276=1,inp_used_pressure=inp_autosize_pressure,inp_used_gravity=inp_autosize_gravity))</f>
        <v>0</v>
      </c>
      <c r="BA276" s="523" t="b">
        <f t="array" ref="BA276">AND(D276:AV276=inp_used,A276=inp_used_usersel)</f>
        <v>0</v>
      </c>
    </row>
    <row r="277" spans="1:55" s="523" customFormat="1">
      <c r="A277" s="523">
        <v>17</v>
      </c>
      <c r="B277" s="523">
        <v>2</v>
      </c>
      <c r="C277" s="414">
        <v>5</v>
      </c>
      <c r="D277" s="529">
        <v>2.1520000000000001</v>
      </c>
      <c r="E277" s="523" t="s">
        <v>188</v>
      </c>
      <c r="F277" s="414">
        <v>0.81899999999999995</v>
      </c>
      <c r="G277" s="523" t="s">
        <v>188</v>
      </c>
      <c r="H277" s="557" t="s">
        <v>3139</v>
      </c>
      <c r="I277" s="523" t="s">
        <v>936</v>
      </c>
      <c r="J277" s="414">
        <v>47100</v>
      </c>
      <c r="M277" s="561"/>
      <c r="N277" s="557" t="s">
        <v>194</v>
      </c>
      <c r="O277" s="523">
        <v>7.5</v>
      </c>
      <c r="Q277" s="561"/>
      <c r="R277" s="557"/>
      <c r="T277" s="559"/>
      <c r="U277" s="559"/>
      <c r="V277" s="559"/>
      <c r="W277" s="560"/>
      <c r="X277" s="559" t="s">
        <v>3491</v>
      </c>
      <c r="Y277" s="414"/>
      <c r="Z277" s="414"/>
      <c r="AA277" s="414"/>
      <c r="AB277" s="557">
        <v>168</v>
      </c>
      <c r="AC277" s="414" t="s">
        <v>2060</v>
      </c>
      <c r="AD277" s="414" t="s">
        <v>2875</v>
      </c>
      <c r="AE277" s="523" t="s">
        <v>499</v>
      </c>
      <c r="AF277" s="414" t="s">
        <v>500</v>
      </c>
      <c r="AG277" s="557"/>
      <c r="AH277" s="523">
        <v>0</v>
      </c>
      <c r="AI277" s="438"/>
      <c r="AJ277" s="414"/>
      <c r="AK277" s="523" t="s">
        <v>1932</v>
      </c>
      <c r="AQ277" s="557"/>
      <c r="AV277" s="561"/>
      <c r="AW277" s="414" t="str">
        <f t="shared" si="27"/>
        <v>1,1,2,2-Tetrachloroethane, Gravity</v>
      </c>
      <c r="AX277" s="414" t="b">
        <f t="shared" si="25"/>
        <v>0</v>
      </c>
      <c r="AY277" s="523" t="b">
        <f t="array" ref="AY277">AND(D277:G277=inp_used_minimal,A277=inp_used_usersel)</f>
        <v>0</v>
      </c>
      <c r="AZ277" s="523" t="b">
        <f t="array" ref="AZ277">AND(A277=inp_used_usersel,D277:R277=inp_used_nonvessel1,AB277:AV277=inp_used_nonvessel2,IF(B277=1,inp_used_pressure=inp_autosize_pressure,inp_used_gravity=inp_autosize_gravity))</f>
        <v>0</v>
      </c>
      <c r="BA277" s="523" t="b">
        <f t="array" ref="BA277">AND(D277:AV277=inp_used,A277=inp_used_usersel)</f>
        <v>0</v>
      </c>
    </row>
    <row r="278" spans="1:55" s="523" customFormat="1">
      <c r="A278" s="523">
        <v>17</v>
      </c>
      <c r="B278" s="523">
        <v>2</v>
      </c>
      <c r="C278" s="414">
        <v>6</v>
      </c>
      <c r="D278" s="529">
        <v>7.3650000000000002</v>
      </c>
      <c r="E278" s="523" t="s">
        <v>188</v>
      </c>
      <c r="F278" s="414">
        <v>3.2</v>
      </c>
      <c r="G278" s="523" t="s">
        <v>188</v>
      </c>
      <c r="H278" s="557" t="s">
        <v>3139</v>
      </c>
      <c r="I278" s="523" t="s">
        <v>936</v>
      </c>
      <c r="J278" s="414">
        <v>47100</v>
      </c>
      <c r="M278" s="561"/>
      <c r="N278" s="557" t="s">
        <v>194</v>
      </c>
      <c r="O278" s="523">
        <v>7.5</v>
      </c>
      <c r="Q278" s="561"/>
      <c r="R278" s="557"/>
      <c r="T278" s="559"/>
      <c r="U278" s="559"/>
      <c r="V278" s="559"/>
      <c r="W278" s="560"/>
      <c r="X278" s="559" t="s">
        <v>3491</v>
      </c>
      <c r="Y278" s="414"/>
      <c r="Z278" s="414"/>
      <c r="AA278" s="414"/>
      <c r="AB278" s="557">
        <v>168</v>
      </c>
      <c r="AC278" s="414" t="s">
        <v>2060</v>
      </c>
      <c r="AD278" s="414" t="s">
        <v>2875</v>
      </c>
      <c r="AE278" s="523" t="s">
        <v>2615</v>
      </c>
      <c r="AF278" s="414" t="s">
        <v>500</v>
      </c>
      <c r="AG278" s="557"/>
      <c r="AH278" s="523">
        <v>0</v>
      </c>
      <c r="AI278" s="438"/>
      <c r="AJ278" s="414"/>
      <c r="AK278" s="523" t="s">
        <v>1932</v>
      </c>
      <c r="AQ278" s="557"/>
      <c r="AV278" s="561"/>
      <c r="AW278" s="414" t="str">
        <f t="shared" si="27"/>
        <v>1,1,2,2-Tetrachloroethane, Gravity</v>
      </c>
      <c r="AX278" s="414" t="b">
        <f t="shared" si="25"/>
        <v>0</v>
      </c>
      <c r="AY278" s="523" t="b">
        <f t="array" ref="AY278">AND(D278:G278=inp_used_minimal,A278=inp_used_usersel)</f>
        <v>0</v>
      </c>
      <c r="AZ278" s="523" t="b">
        <f t="array" ref="AZ278">AND(A278=inp_used_usersel,D278:R278=inp_used_nonvessel1,AB278:AV278=inp_used_nonvessel2,IF(B278=1,inp_used_pressure=inp_autosize_pressure,inp_used_gravity=inp_autosize_gravity))</f>
        <v>0</v>
      </c>
      <c r="BA278" s="523" t="b">
        <f t="array" ref="BA278">AND(D278:AV278=inp_used,A278=inp_used_usersel)</f>
        <v>0</v>
      </c>
    </row>
    <row r="279" spans="1:55" s="523" customFormat="1">
      <c r="A279" s="523">
        <v>17</v>
      </c>
      <c r="B279" s="523">
        <v>2</v>
      </c>
      <c r="C279" s="414">
        <v>7</v>
      </c>
      <c r="D279" s="529">
        <v>22.614000000000001</v>
      </c>
      <c r="E279" s="523" t="s">
        <v>188</v>
      </c>
      <c r="F279" s="414">
        <v>11.066000000000001</v>
      </c>
      <c r="G279" s="523" t="s">
        <v>188</v>
      </c>
      <c r="H279" s="557" t="s">
        <v>3139</v>
      </c>
      <c r="I279" s="523" t="s">
        <v>936</v>
      </c>
      <c r="J279" s="414">
        <v>47100</v>
      </c>
      <c r="M279" s="561"/>
      <c r="N279" s="557" t="s">
        <v>194</v>
      </c>
      <c r="O279" s="523">
        <v>7.5</v>
      </c>
      <c r="Q279" s="561"/>
      <c r="R279" s="557"/>
      <c r="T279" s="559"/>
      <c r="U279" s="559"/>
      <c r="V279" s="559"/>
      <c r="W279" s="560"/>
      <c r="X279" s="559" t="s">
        <v>3491</v>
      </c>
      <c r="Y279" s="414"/>
      <c r="Z279" s="414"/>
      <c r="AA279" s="414"/>
      <c r="AB279" s="557">
        <v>168</v>
      </c>
      <c r="AC279" s="414" t="s">
        <v>2060</v>
      </c>
      <c r="AD279" s="414" t="s">
        <v>2875</v>
      </c>
      <c r="AE279" s="523" t="s">
        <v>2615</v>
      </c>
      <c r="AF279" s="414" t="s">
        <v>500</v>
      </c>
      <c r="AG279" s="557"/>
      <c r="AH279" s="523">
        <v>0</v>
      </c>
      <c r="AI279" s="438"/>
      <c r="AJ279" s="414"/>
      <c r="AK279" s="523" t="s">
        <v>1932</v>
      </c>
      <c r="AQ279" s="557"/>
      <c r="AV279" s="561"/>
      <c r="AW279" s="414" t="str">
        <f t="shared" si="27"/>
        <v>1,1,2,2-Tetrachloroethane, Gravity</v>
      </c>
      <c r="AX279" s="414" t="b">
        <f t="shared" si="25"/>
        <v>0</v>
      </c>
      <c r="AY279" s="523" t="b">
        <f t="array" ref="AY279">AND(D279:G279=inp_used_minimal,A279=inp_used_usersel)</f>
        <v>0</v>
      </c>
      <c r="AZ279" s="523" t="b">
        <f t="array" ref="AZ279">AND(A279=inp_used_usersel,D279:R279=inp_used_nonvessel1,AB279:AV279=inp_used_nonvessel2,IF(B279=1,inp_used_pressure=inp_autosize_pressure,inp_used_gravity=inp_autosize_gravity))</f>
        <v>0</v>
      </c>
      <c r="BA279" s="523" t="b">
        <f t="array" ref="BA279">AND(D279:AV279=inp_used,A279=inp_used_usersel)</f>
        <v>0</v>
      </c>
    </row>
    <row r="280" spans="1:55" s="563" customFormat="1">
      <c r="A280" s="563">
        <v>17</v>
      </c>
      <c r="B280" s="563">
        <v>2</v>
      </c>
      <c r="C280" s="564">
        <v>8</v>
      </c>
      <c r="D280" s="918">
        <v>75.072000000000003</v>
      </c>
      <c r="E280" s="563" t="s">
        <v>188</v>
      </c>
      <c r="F280" s="564">
        <v>37.536000000000001</v>
      </c>
      <c r="G280" s="563" t="s">
        <v>188</v>
      </c>
      <c r="H280" s="919" t="s">
        <v>3139</v>
      </c>
      <c r="I280" s="563" t="s">
        <v>936</v>
      </c>
      <c r="J280" s="564">
        <v>47100</v>
      </c>
      <c r="M280" s="565"/>
      <c r="N280" s="919" t="s">
        <v>194</v>
      </c>
      <c r="O280" s="563">
        <v>7.5</v>
      </c>
      <c r="Q280" s="565"/>
      <c r="R280" s="919"/>
      <c r="T280" s="566"/>
      <c r="U280" s="566"/>
      <c r="V280" s="566"/>
      <c r="W280" s="567"/>
      <c r="X280" s="566" t="s">
        <v>3491</v>
      </c>
      <c r="Y280" s="564"/>
      <c r="Z280" s="564"/>
      <c r="AA280" s="554"/>
      <c r="AB280" s="919">
        <v>168</v>
      </c>
      <c r="AC280" s="564" t="s">
        <v>2060</v>
      </c>
      <c r="AD280" s="564" t="s">
        <v>2875</v>
      </c>
      <c r="AE280" s="563" t="s">
        <v>2615</v>
      </c>
      <c r="AF280" s="564" t="s">
        <v>500</v>
      </c>
      <c r="AG280" s="919"/>
      <c r="AH280" s="563">
        <v>0</v>
      </c>
      <c r="AI280" s="568"/>
      <c r="AJ280" s="564"/>
      <c r="AK280" s="563" t="s">
        <v>1932</v>
      </c>
      <c r="AP280" s="565"/>
      <c r="AQ280" s="919"/>
      <c r="AV280" s="565"/>
      <c r="AW280" s="564" t="str">
        <f t="shared" si="27"/>
        <v>1,1,2,2-Tetrachloroethane, Gravity</v>
      </c>
      <c r="AX280" s="564" t="b">
        <f t="shared" si="25"/>
        <v>0</v>
      </c>
      <c r="AY280" s="563" t="b">
        <f t="array" ref="AY280">AND(D280:G280=inp_used_minimal,A280=inp_used_usersel)</f>
        <v>0</v>
      </c>
      <c r="AZ280" s="563" t="b">
        <f t="array" ref="AZ280">AND(A280=inp_used_usersel,D280:R280=inp_used_nonvessel1,AB280:AV280=inp_used_nonvessel2,IF(B280=1,inp_used_pressure=inp_autosize_pressure,inp_used_gravity=inp_autosize_gravity))</f>
        <v>0</v>
      </c>
      <c r="BA280" s="563" t="b">
        <f t="array" ref="BA280">AND(D280:AV280=inp_used,A280=inp_used_usersel)</f>
        <v>0</v>
      </c>
    </row>
    <row r="281" spans="1:55" s="523" customFormat="1">
      <c r="A281" s="523">
        <v>18</v>
      </c>
      <c r="B281" s="523">
        <v>1</v>
      </c>
      <c r="C281" s="523">
        <v>1</v>
      </c>
      <c r="D281" s="917">
        <v>0.03</v>
      </c>
      <c r="E281" s="523" t="s">
        <v>188</v>
      </c>
      <c r="F281" s="414">
        <v>7.0000000000000001E-3</v>
      </c>
      <c r="G281" s="523" t="s">
        <v>188</v>
      </c>
      <c r="H281" s="917" t="s">
        <v>3139</v>
      </c>
      <c r="I281" s="523" t="s">
        <v>936</v>
      </c>
      <c r="J281" s="414">
        <v>38200</v>
      </c>
      <c r="M281" s="561"/>
      <c r="N281" s="917" t="s">
        <v>194</v>
      </c>
      <c r="O281" s="523">
        <v>7.5</v>
      </c>
      <c r="Q281" s="561"/>
      <c r="R281" s="917">
        <v>1</v>
      </c>
      <c r="S281" s="523" t="s">
        <v>3491</v>
      </c>
      <c r="T281" s="559"/>
      <c r="V281" s="559"/>
      <c r="W281" s="560"/>
      <c r="X281" s="559"/>
      <c r="Y281" s="559"/>
      <c r="Z281" s="559"/>
      <c r="AA281" s="559"/>
      <c r="AB281" s="917">
        <v>168</v>
      </c>
      <c r="AC281" s="414" t="s">
        <v>2060</v>
      </c>
      <c r="AD281" s="438" t="s">
        <v>497</v>
      </c>
      <c r="AE281" s="523" t="s">
        <v>499</v>
      </c>
      <c r="AF281" s="561"/>
      <c r="AG281" s="917"/>
      <c r="AH281" s="523">
        <v>0</v>
      </c>
      <c r="AI281" s="438"/>
      <c r="AJ281" s="414"/>
      <c r="AK281" s="523" t="s">
        <v>1932</v>
      </c>
      <c r="AQ281" s="917"/>
      <c r="AV281" s="561"/>
      <c r="AW281" s="414" t="str">
        <f t="shared" si="27"/>
        <v>1,2,3-Trichloropropane, Pressure</v>
      </c>
      <c r="AX281" s="414" t="b">
        <f t="shared" si="25"/>
        <v>0</v>
      </c>
      <c r="AY281" s="523" t="b">
        <f t="array" ref="AY281">AND(D281:G281=inp_used_minimal,A281=inp_used_usersel)</f>
        <v>0</v>
      </c>
      <c r="AZ281" s="523" t="b">
        <f t="array" ref="AZ281">AND(A281=inp_used_usersel,D281:R281=inp_used_nonvessel1,AB281:AV281=inp_used_nonvessel2,IF(B281=1,inp_used_pressure=inp_autosize_pressure,inp_used_gravity=inp_autosize_gravity))</f>
        <v>0</v>
      </c>
      <c r="BA281" s="523" t="b">
        <f t="array" ref="BA281">AND(D281:AV281=inp_used,A281=inp_used_usersel)</f>
        <v>0</v>
      </c>
      <c r="BB281" s="523" t="b">
        <f t="shared" ref="BB281:BC288" si="29">CHOOSE(design_type,AX281,AX289)</f>
        <v>0</v>
      </c>
      <c r="BC281" s="523" t="b">
        <f t="shared" si="29"/>
        <v>0</v>
      </c>
    </row>
    <row r="282" spans="1:55" s="523" customFormat="1">
      <c r="A282" s="523">
        <v>18</v>
      </c>
      <c r="B282" s="523">
        <v>1</v>
      </c>
      <c r="C282" s="523">
        <v>2</v>
      </c>
      <c r="D282" s="557">
        <v>0.124</v>
      </c>
      <c r="E282" s="523" t="s">
        <v>188</v>
      </c>
      <c r="F282" s="414">
        <v>3.5000000000000003E-2</v>
      </c>
      <c r="G282" s="523" t="s">
        <v>188</v>
      </c>
      <c r="H282" s="557" t="s">
        <v>3139</v>
      </c>
      <c r="I282" s="523" t="s">
        <v>936</v>
      </c>
      <c r="J282" s="414">
        <v>38200</v>
      </c>
      <c r="M282" s="561"/>
      <c r="N282" s="557" t="s">
        <v>194</v>
      </c>
      <c r="O282" s="523">
        <v>7.5</v>
      </c>
      <c r="Q282" s="561"/>
      <c r="R282" s="557">
        <v>1</v>
      </c>
      <c r="S282" s="523" t="s">
        <v>3491</v>
      </c>
      <c r="T282" s="559"/>
      <c r="V282" s="559"/>
      <c r="W282" s="560"/>
      <c r="X282" s="559"/>
      <c r="Y282" s="559"/>
      <c r="Z282" s="559"/>
      <c r="AA282" s="559"/>
      <c r="AB282" s="557">
        <v>168</v>
      </c>
      <c r="AC282" s="414" t="s">
        <v>2060</v>
      </c>
      <c r="AD282" s="438" t="s">
        <v>498</v>
      </c>
      <c r="AE282" s="523" t="s">
        <v>499</v>
      </c>
      <c r="AF282" s="562" t="s">
        <v>500</v>
      </c>
      <c r="AG282" s="557"/>
      <c r="AH282" s="523">
        <v>0</v>
      </c>
      <c r="AI282" s="438"/>
      <c r="AJ282" s="414"/>
      <c r="AK282" s="523" t="s">
        <v>1932</v>
      </c>
      <c r="AQ282" s="557"/>
      <c r="AV282" s="561"/>
      <c r="AW282" s="414" t="str">
        <f t="shared" si="27"/>
        <v>1,2,3-Trichloropropane, Pressure</v>
      </c>
      <c r="AX282" s="414" t="b">
        <f t="shared" si="25"/>
        <v>0</v>
      </c>
      <c r="AY282" s="523" t="b">
        <f t="array" ref="AY282">AND(D282:G282=inp_used_minimal,A282=inp_used_usersel)</f>
        <v>0</v>
      </c>
      <c r="AZ282" s="523" t="b">
        <f t="array" ref="AZ282">AND(A282=inp_used_usersel,D282:R282=inp_used_nonvessel1,AB282:AV282=inp_used_nonvessel2,IF(B282=1,inp_used_pressure=inp_autosize_pressure,inp_used_gravity=inp_autosize_gravity))</f>
        <v>0</v>
      </c>
      <c r="BA282" s="523" t="b">
        <f t="array" ref="BA282">AND(D282:AV282=inp_used,A282=inp_used_usersel)</f>
        <v>0</v>
      </c>
      <c r="BB282" s="523" t="b">
        <f t="shared" si="29"/>
        <v>0</v>
      </c>
      <c r="BC282" s="523" t="b">
        <f t="shared" si="29"/>
        <v>0</v>
      </c>
    </row>
    <row r="283" spans="1:55" s="523" customFormat="1">
      <c r="A283" s="523">
        <v>18</v>
      </c>
      <c r="B283" s="523">
        <v>1</v>
      </c>
      <c r="C283" s="523">
        <v>3</v>
      </c>
      <c r="D283" s="557">
        <v>0.30499999999999999</v>
      </c>
      <c r="E283" s="523" t="s">
        <v>188</v>
      </c>
      <c r="F283" s="414">
        <v>9.4E-2</v>
      </c>
      <c r="G283" s="523" t="s">
        <v>188</v>
      </c>
      <c r="H283" s="557" t="s">
        <v>3139</v>
      </c>
      <c r="I283" s="523" t="s">
        <v>936</v>
      </c>
      <c r="J283" s="414">
        <v>38200</v>
      </c>
      <c r="M283" s="561"/>
      <c r="N283" s="557" t="s">
        <v>194</v>
      </c>
      <c r="O283" s="523">
        <v>7.5</v>
      </c>
      <c r="Q283" s="561"/>
      <c r="R283" s="557">
        <v>1</v>
      </c>
      <c r="S283" s="523" t="s">
        <v>3491</v>
      </c>
      <c r="T283" s="559"/>
      <c r="V283" s="559"/>
      <c r="W283" s="560"/>
      <c r="X283" s="559"/>
      <c r="Y283" s="559"/>
      <c r="Z283" s="559"/>
      <c r="AA283" s="559"/>
      <c r="AB283" s="557">
        <v>168</v>
      </c>
      <c r="AC283" s="414" t="s">
        <v>2060</v>
      </c>
      <c r="AD283" s="438" t="s">
        <v>498</v>
      </c>
      <c r="AE283" s="523" t="s">
        <v>499</v>
      </c>
      <c r="AF283" s="562" t="s">
        <v>500</v>
      </c>
      <c r="AG283" s="557"/>
      <c r="AH283" s="523">
        <v>0</v>
      </c>
      <c r="AI283" s="438"/>
      <c r="AJ283" s="414"/>
      <c r="AK283" s="523" t="s">
        <v>1932</v>
      </c>
      <c r="AQ283" s="557"/>
      <c r="AV283" s="561"/>
      <c r="AW283" s="414" t="str">
        <f t="shared" si="27"/>
        <v>1,2,3-Trichloropropane, Pressure</v>
      </c>
      <c r="AX283" s="414" t="b">
        <f t="shared" si="25"/>
        <v>0</v>
      </c>
      <c r="AY283" s="523" t="b">
        <f t="array" ref="AY283">AND(D283:G283=inp_used_minimal,A283=inp_used_usersel)</f>
        <v>0</v>
      </c>
      <c r="AZ283" s="523" t="b">
        <f t="array" ref="AZ283">AND(A283=inp_used_usersel,D283:R283=inp_used_nonvessel1,AB283:AV283=inp_used_nonvessel2,IF(B283=1,inp_used_pressure=inp_autosize_pressure,inp_used_gravity=inp_autosize_gravity))</f>
        <v>0</v>
      </c>
      <c r="BA283" s="523" t="b">
        <f t="array" ref="BA283">AND(D283:AV283=inp_used,A283=inp_used_usersel)</f>
        <v>0</v>
      </c>
      <c r="BB283" s="523" t="b">
        <f t="shared" si="29"/>
        <v>0</v>
      </c>
      <c r="BC283" s="523" t="b">
        <f t="shared" si="29"/>
        <v>0</v>
      </c>
    </row>
    <row r="284" spans="1:55" s="523" customFormat="1">
      <c r="A284" s="523">
        <v>18</v>
      </c>
      <c r="B284" s="523">
        <v>1</v>
      </c>
      <c r="C284" s="523">
        <v>4</v>
      </c>
      <c r="D284" s="557">
        <v>0.74</v>
      </c>
      <c r="E284" s="523" t="s">
        <v>188</v>
      </c>
      <c r="F284" s="414">
        <v>0.251</v>
      </c>
      <c r="G284" s="523" t="s">
        <v>188</v>
      </c>
      <c r="H284" s="557" t="s">
        <v>3139</v>
      </c>
      <c r="I284" s="523" t="s">
        <v>936</v>
      </c>
      <c r="J284" s="414">
        <v>38200</v>
      </c>
      <c r="M284" s="561"/>
      <c r="N284" s="557" t="s">
        <v>194</v>
      </c>
      <c r="O284" s="523">
        <v>7.5</v>
      </c>
      <c r="Q284" s="561"/>
      <c r="R284" s="557">
        <v>1</v>
      </c>
      <c r="S284" s="523" t="s">
        <v>3491</v>
      </c>
      <c r="T284" s="559"/>
      <c r="V284" s="559"/>
      <c r="W284" s="560"/>
      <c r="X284" s="559"/>
      <c r="Y284" s="559"/>
      <c r="Z284" s="559"/>
      <c r="AA284" s="559"/>
      <c r="AB284" s="557">
        <v>168</v>
      </c>
      <c r="AC284" s="414" t="s">
        <v>2060</v>
      </c>
      <c r="AD284" s="438" t="s">
        <v>498</v>
      </c>
      <c r="AE284" s="523" t="s">
        <v>499</v>
      </c>
      <c r="AF284" s="562" t="s">
        <v>500</v>
      </c>
      <c r="AG284" s="557"/>
      <c r="AH284" s="523">
        <v>0</v>
      </c>
      <c r="AI284" s="438"/>
      <c r="AJ284" s="414"/>
      <c r="AK284" s="523" t="s">
        <v>1932</v>
      </c>
      <c r="AQ284" s="557"/>
      <c r="AV284" s="561"/>
      <c r="AW284" s="414" t="str">
        <f t="shared" si="27"/>
        <v>1,2,3-Trichloropropane, Pressure</v>
      </c>
      <c r="AX284" s="414" t="b">
        <f t="shared" si="25"/>
        <v>0</v>
      </c>
      <c r="AY284" s="523" t="b">
        <f t="array" ref="AY284">AND(D284:G284=inp_used_minimal,A284=inp_used_usersel)</f>
        <v>0</v>
      </c>
      <c r="AZ284" s="523" t="b">
        <f t="array" ref="AZ284">AND(A284=inp_used_usersel,D284:R284=inp_used_nonvessel1,AB284:AV284=inp_used_nonvessel2,IF(B284=1,inp_used_pressure=inp_autosize_pressure,inp_used_gravity=inp_autosize_gravity))</f>
        <v>0</v>
      </c>
      <c r="BA284" s="523" t="b">
        <f t="array" ref="BA284">AND(D284:AV284=inp_used,A284=inp_used_usersel)</f>
        <v>0</v>
      </c>
      <c r="BB284" s="523" t="b">
        <f t="shared" si="29"/>
        <v>0</v>
      </c>
      <c r="BC284" s="523" t="b">
        <f t="shared" si="29"/>
        <v>0</v>
      </c>
    </row>
    <row r="285" spans="1:55" s="523" customFormat="1">
      <c r="A285" s="523">
        <v>18</v>
      </c>
      <c r="B285" s="523">
        <v>1</v>
      </c>
      <c r="C285" s="414">
        <v>5</v>
      </c>
      <c r="D285" s="529">
        <v>2.1520000000000001</v>
      </c>
      <c r="E285" s="523" t="s">
        <v>188</v>
      </c>
      <c r="F285" s="414">
        <v>0.81899999999999995</v>
      </c>
      <c r="G285" s="523" t="s">
        <v>188</v>
      </c>
      <c r="H285" s="557" t="s">
        <v>3139</v>
      </c>
      <c r="I285" s="523" t="s">
        <v>936</v>
      </c>
      <c r="J285" s="414">
        <v>38200</v>
      </c>
      <c r="M285" s="561"/>
      <c r="N285" s="557" t="s">
        <v>194</v>
      </c>
      <c r="O285" s="523">
        <v>7.5</v>
      </c>
      <c r="Q285" s="561"/>
      <c r="R285" s="557">
        <v>1</v>
      </c>
      <c r="S285" s="523" t="s">
        <v>3491</v>
      </c>
      <c r="T285" s="559"/>
      <c r="V285" s="559"/>
      <c r="W285" s="560"/>
      <c r="X285" s="559"/>
      <c r="Y285" s="559"/>
      <c r="Z285" s="559"/>
      <c r="AA285" s="559"/>
      <c r="AB285" s="557">
        <v>168</v>
      </c>
      <c r="AC285" s="414" t="s">
        <v>2060</v>
      </c>
      <c r="AD285" s="438" t="s">
        <v>498</v>
      </c>
      <c r="AE285" s="523" t="s">
        <v>499</v>
      </c>
      <c r="AF285" s="562" t="s">
        <v>500</v>
      </c>
      <c r="AG285" s="557"/>
      <c r="AH285" s="523">
        <v>0</v>
      </c>
      <c r="AI285" s="438"/>
      <c r="AJ285" s="414"/>
      <c r="AK285" s="523" t="s">
        <v>1932</v>
      </c>
      <c r="AQ285" s="557"/>
      <c r="AV285" s="561"/>
      <c r="AW285" s="414" t="str">
        <f t="shared" si="27"/>
        <v>1,2,3-Trichloropropane, Pressure</v>
      </c>
      <c r="AX285" s="414" t="b">
        <f t="shared" si="25"/>
        <v>0</v>
      </c>
      <c r="AY285" s="523" t="b">
        <f t="array" ref="AY285">AND(D285:G285=inp_used_minimal,A285=inp_used_usersel)</f>
        <v>0</v>
      </c>
      <c r="AZ285" s="523" t="b">
        <f t="array" ref="AZ285">AND(A285=inp_used_usersel,D285:R285=inp_used_nonvessel1,AB285:AV285=inp_used_nonvessel2,IF(B285=1,inp_used_pressure=inp_autosize_pressure,inp_used_gravity=inp_autosize_gravity))</f>
        <v>0</v>
      </c>
      <c r="BA285" s="523" t="b">
        <f t="array" ref="BA285">AND(D285:AV285=inp_used,A285=inp_used_usersel)</f>
        <v>0</v>
      </c>
      <c r="BB285" s="523" t="b">
        <f t="shared" si="29"/>
        <v>0</v>
      </c>
      <c r="BC285" s="523" t="b">
        <f t="shared" si="29"/>
        <v>0</v>
      </c>
    </row>
    <row r="286" spans="1:55" s="523" customFormat="1">
      <c r="A286" s="523">
        <v>18</v>
      </c>
      <c r="B286" s="523">
        <v>1</v>
      </c>
      <c r="C286" s="414">
        <v>6</v>
      </c>
      <c r="D286" s="529">
        <v>7.3650000000000002</v>
      </c>
      <c r="E286" s="523" t="s">
        <v>188</v>
      </c>
      <c r="F286" s="414">
        <v>3.2</v>
      </c>
      <c r="G286" s="523" t="s">
        <v>188</v>
      </c>
      <c r="H286" s="557" t="s">
        <v>3139</v>
      </c>
      <c r="I286" s="523" t="s">
        <v>936</v>
      </c>
      <c r="J286" s="414">
        <v>38200</v>
      </c>
      <c r="M286" s="561"/>
      <c r="N286" s="557" t="s">
        <v>194</v>
      </c>
      <c r="O286" s="523">
        <v>7.5</v>
      </c>
      <c r="Q286" s="561"/>
      <c r="R286" s="557">
        <v>1</v>
      </c>
      <c r="S286" s="523" t="s">
        <v>3491</v>
      </c>
      <c r="T286" s="559"/>
      <c r="V286" s="559"/>
      <c r="W286" s="560"/>
      <c r="X286" s="559"/>
      <c r="Y286" s="559"/>
      <c r="Z286" s="559"/>
      <c r="AA286" s="559"/>
      <c r="AB286" s="557">
        <v>168</v>
      </c>
      <c r="AC286" s="414" t="s">
        <v>2060</v>
      </c>
      <c r="AD286" s="438" t="s">
        <v>498</v>
      </c>
      <c r="AE286" s="523" t="s">
        <v>2615</v>
      </c>
      <c r="AF286" s="562" t="s">
        <v>500</v>
      </c>
      <c r="AG286" s="557"/>
      <c r="AH286" s="523">
        <v>0</v>
      </c>
      <c r="AI286" s="438"/>
      <c r="AJ286" s="414"/>
      <c r="AK286" s="523" t="s">
        <v>1932</v>
      </c>
      <c r="AQ286" s="557"/>
      <c r="AV286" s="561"/>
      <c r="AW286" s="414" t="str">
        <f t="shared" si="27"/>
        <v>1,2,3-Trichloropropane, Pressure</v>
      </c>
      <c r="AX286" s="414" t="b">
        <f t="shared" si="25"/>
        <v>0</v>
      </c>
      <c r="AY286" s="523" t="b">
        <f t="array" ref="AY286">AND(D286:G286=inp_used_minimal,A286=inp_used_usersel)</f>
        <v>0</v>
      </c>
      <c r="AZ286" s="523" t="b">
        <f t="array" ref="AZ286">AND(A286=inp_used_usersel,D286:R286=inp_used_nonvessel1,AB286:AV286=inp_used_nonvessel2,IF(B286=1,inp_used_pressure=inp_autosize_pressure,inp_used_gravity=inp_autosize_gravity))</f>
        <v>0</v>
      </c>
      <c r="BA286" s="523" t="b">
        <f t="array" ref="BA286">AND(D286:AV286=inp_used,A286=inp_used_usersel)</f>
        <v>0</v>
      </c>
      <c r="BB286" s="523" t="b">
        <f t="shared" si="29"/>
        <v>0</v>
      </c>
      <c r="BC286" s="523" t="b">
        <f t="shared" si="29"/>
        <v>0</v>
      </c>
    </row>
    <row r="287" spans="1:55" s="523" customFormat="1">
      <c r="A287" s="523">
        <v>18</v>
      </c>
      <c r="B287" s="523">
        <v>1</v>
      </c>
      <c r="C287" s="414">
        <v>7</v>
      </c>
      <c r="D287" s="529">
        <v>22.614000000000001</v>
      </c>
      <c r="E287" s="523" t="s">
        <v>188</v>
      </c>
      <c r="F287" s="414">
        <v>11.066000000000001</v>
      </c>
      <c r="G287" s="523" t="s">
        <v>188</v>
      </c>
      <c r="H287" s="557" t="s">
        <v>3139</v>
      </c>
      <c r="I287" s="523" t="s">
        <v>936</v>
      </c>
      <c r="J287" s="414">
        <v>38200</v>
      </c>
      <c r="M287" s="561"/>
      <c r="N287" s="557" t="s">
        <v>194</v>
      </c>
      <c r="O287" s="523">
        <v>7.5</v>
      </c>
      <c r="Q287" s="561"/>
      <c r="R287" s="557">
        <v>1</v>
      </c>
      <c r="S287" s="523" t="s">
        <v>3491</v>
      </c>
      <c r="T287" s="559"/>
      <c r="V287" s="559"/>
      <c r="W287" s="560"/>
      <c r="X287" s="559"/>
      <c r="Y287" s="559"/>
      <c r="Z287" s="559"/>
      <c r="AA287" s="559"/>
      <c r="AB287" s="557">
        <v>168</v>
      </c>
      <c r="AC287" s="414" t="s">
        <v>2060</v>
      </c>
      <c r="AD287" s="438" t="s">
        <v>498</v>
      </c>
      <c r="AE287" s="523" t="s">
        <v>2615</v>
      </c>
      <c r="AF287" s="562" t="s">
        <v>500</v>
      </c>
      <c r="AG287" s="557"/>
      <c r="AH287" s="523">
        <v>0</v>
      </c>
      <c r="AI287" s="438"/>
      <c r="AJ287" s="414"/>
      <c r="AK287" s="523" t="s">
        <v>1932</v>
      </c>
      <c r="AQ287" s="557"/>
      <c r="AV287" s="561"/>
      <c r="AW287" s="414" t="str">
        <f t="shared" si="27"/>
        <v>1,2,3-Trichloropropane, Pressure</v>
      </c>
      <c r="AX287" s="414" t="b">
        <f t="shared" si="25"/>
        <v>0</v>
      </c>
      <c r="AY287" s="523" t="b">
        <f t="array" ref="AY287">AND(D287:G287=inp_used_minimal,A287=inp_used_usersel)</f>
        <v>0</v>
      </c>
      <c r="AZ287" s="523" t="b">
        <f t="array" ref="AZ287">AND(A287=inp_used_usersel,D287:R287=inp_used_nonvessel1,AB287:AV287=inp_used_nonvessel2,IF(B287=1,inp_used_pressure=inp_autosize_pressure,inp_used_gravity=inp_autosize_gravity))</f>
        <v>0</v>
      </c>
      <c r="BA287" s="523" t="b">
        <f t="array" ref="BA287">AND(D287:AV287=inp_used,A287=inp_used_usersel)</f>
        <v>0</v>
      </c>
      <c r="BB287" s="523" t="b">
        <f t="shared" si="29"/>
        <v>0</v>
      </c>
      <c r="BC287" s="523" t="b">
        <f t="shared" si="29"/>
        <v>0</v>
      </c>
    </row>
    <row r="288" spans="1:55" s="563" customFormat="1">
      <c r="A288" s="563">
        <v>18</v>
      </c>
      <c r="B288" s="563">
        <v>1</v>
      </c>
      <c r="C288" s="564">
        <v>8</v>
      </c>
      <c r="D288" s="918">
        <v>75.072000000000003</v>
      </c>
      <c r="E288" s="563" t="s">
        <v>188</v>
      </c>
      <c r="F288" s="564">
        <v>37.536000000000001</v>
      </c>
      <c r="G288" s="563" t="s">
        <v>188</v>
      </c>
      <c r="H288" s="919" t="s">
        <v>3139</v>
      </c>
      <c r="I288" s="563" t="s">
        <v>936</v>
      </c>
      <c r="J288" s="564">
        <v>38200</v>
      </c>
      <c r="M288" s="565"/>
      <c r="N288" s="919" t="s">
        <v>194</v>
      </c>
      <c r="O288" s="563">
        <v>7.5</v>
      </c>
      <c r="Q288" s="565"/>
      <c r="R288" s="919">
        <v>1</v>
      </c>
      <c r="S288" s="563" t="s">
        <v>3491</v>
      </c>
      <c r="T288" s="566"/>
      <c r="V288" s="566"/>
      <c r="W288" s="567"/>
      <c r="X288" s="566"/>
      <c r="Y288" s="566"/>
      <c r="Z288" s="566"/>
      <c r="AA288" s="567"/>
      <c r="AB288" s="919">
        <v>168</v>
      </c>
      <c r="AC288" s="564" t="s">
        <v>2060</v>
      </c>
      <c r="AD288" s="568" t="s">
        <v>498</v>
      </c>
      <c r="AE288" s="563" t="s">
        <v>2615</v>
      </c>
      <c r="AF288" s="554" t="s">
        <v>500</v>
      </c>
      <c r="AG288" s="919"/>
      <c r="AH288" s="563">
        <v>0</v>
      </c>
      <c r="AI288" s="568"/>
      <c r="AJ288" s="564"/>
      <c r="AK288" s="563" t="s">
        <v>1932</v>
      </c>
      <c r="AP288" s="565"/>
      <c r="AQ288" s="919"/>
      <c r="AV288" s="565"/>
      <c r="AW288" s="564" t="str">
        <f t="shared" si="27"/>
        <v>1,2,3-Trichloropropane, Pressure</v>
      </c>
      <c r="AX288" s="564" t="b">
        <f t="shared" si="25"/>
        <v>0</v>
      </c>
      <c r="AY288" s="563" t="b">
        <f t="array" ref="AY288">AND(D288:G288=inp_used_minimal,A288=inp_used_usersel)</f>
        <v>0</v>
      </c>
      <c r="AZ288" s="563" t="b">
        <f t="array" ref="AZ288">AND(A288=inp_used_usersel,D288:R288=inp_used_nonvessel1,AB288:AV288=inp_used_nonvessel2,IF(B288=1,inp_used_pressure=inp_autosize_pressure,inp_used_gravity=inp_autosize_gravity))</f>
        <v>0</v>
      </c>
      <c r="BA288" s="563" t="b">
        <f t="array" ref="BA288">AND(D288:AV288=inp_used,A288=inp_used_usersel)</f>
        <v>0</v>
      </c>
      <c r="BB288" s="563" t="b">
        <f t="shared" si="29"/>
        <v>0</v>
      </c>
      <c r="BC288" s="563" t="b">
        <f t="shared" si="29"/>
        <v>0</v>
      </c>
    </row>
    <row r="289" spans="1:55" s="523" customFormat="1">
      <c r="A289" s="523">
        <v>18</v>
      </c>
      <c r="B289" s="523">
        <v>2</v>
      </c>
      <c r="C289" s="523">
        <v>1</v>
      </c>
      <c r="D289" s="917">
        <v>0.03</v>
      </c>
      <c r="E289" s="523" t="s">
        <v>188</v>
      </c>
      <c r="F289" s="414">
        <v>7.0000000000000001E-3</v>
      </c>
      <c r="G289" s="523" t="s">
        <v>188</v>
      </c>
      <c r="H289" s="917" t="s">
        <v>3139</v>
      </c>
      <c r="I289" s="523" t="s">
        <v>936</v>
      </c>
      <c r="J289" s="414">
        <v>38200</v>
      </c>
      <c r="M289" s="561"/>
      <c r="N289" s="917" t="s">
        <v>194</v>
      </c>
      <c r="O289" s="523">
        <v>7.5</v>
      </c>
      <c r="Q289" s="561"/>
      <c r="R289" s="917"/>
      <c r="T289" s="559"/>
      <c r="U289" s="559"/>
      <c r="V289" s="559"/>
      <c r="W289" s="560"/>
      <c r="X289" s="559" t="s">
        <v>3491</v>
      </c>
      <c r="Y289" s="414"/>
      <c r="Z289" s="414"/>
      <c r="AA289" s="414"/>
      <c r="AB289" s="917">
        <v>168</v>
      </c>
      <c r="AC289" s="414" t="s">
        <v>2060</v>
      </c>
      <c r="AD289" s="414" t="s">
        <v>2875</v>
      </c>
      <c r="AE289" s="523" t="s">
        <v>499</v>
      </c>
      <c r="AF289" s="414" t="s">
        <v>500</v>
      </c>
      <c r="AG289" s="917"/>
      <c r="AH289" s="523">
        <v>0</v>
      </c>
      <c r="AI289" s="438"/>
      <c r="AJ289" s="414"/>
      <c r="AK289" s="523" t="s">
        <v>1932</v>
      </c>
      <c r="AQ289" s="917"/>
      <c r="AV289" s="561"/>
      <c r="AW289" s="414" t="str">
        <f t="shared" si="27"/>
        <v>1,2,3-Trichloropropane, Gravity</v>
      </c>
      <c r="AX289" s="414" t="b">
        <f t="shared" si="25"/>
        <v>0</v>
      </c>
      <c r="AY289" s="523" t="b">
        <f t="array" ref="AY289">AND(D289:G289=inp_used_minimal,A289=inp_used_usersel)</f>
        <v>0</v>
      </c>
      <c r="AZ289" s="523" t="b">
        <f t="array" ref="AZ289">AND(A289=inp_used_usersel,D289:R289=inp_used_nonvessel1,AB289:AV289=inp_used_nonvessel2,IF(B289=1,inp_used_pressure=inp_autosize_pressure,inp_used_gravity=inp_autosize_gravity))</f>
        <v>0</v>
      </c>
      <c r="BA289" s="523" t="b">
        <f t="array" ref="BA289">AND(D289:AV289=inp_used,A289=inp_used_usersel)</f>
        <v>0</v>
      </c>
    </row>
    <row r="290" spans="1:55" s="523" customFormat="1">
      <c r="A290" s="523">
        <v>18</v>
      </c>
      <c r="B290" s="523">
        <v>2</v>
      </c>
      <c r="C290" s="523">
        <v>2</v>
      </c>
      <c r="D290" s="557">
        <v>0.124</v>
      </c>
      <c r="E290" s="523" t="s">
        <v>188</v>
      </c>
      <c r="F290" s="414">
        <v>3.5000000000000003E-2</v>
      </c>
      <c r="G290" s="523" t="s">
        <v>188</v>
      </c>
      <c r="H290" s="557" t="s">
        <v>3139</v>
      </c>
      <c r="I290" s="523" t="s">
        <v>936</v>
      </c>
      <c r="J290" s="414">
        <v>38200</v>
      </c>
      <c r="M290" s="561"/>
      <c r="N290" s="557" t="s">
        <v>194</v>
      </c>
      <c r="O290" s="523">
        <v>7.5</v>
      </c>
      <c r="Q290" s="561"/>
      <c r="R290" s="557"/>
      <c r="T290" s="559"/>
      <c r="U290" s="559"/>
      <c r="V290" s="559"/>
      <c r="W290" s="560"/>
      <c r="X290" s="559" t="s">
        <v>3491</v>
      </c>
      <c r="Y290" s="414"/>
      <c r="Z290" s="414"/>
      <c r="AA290" s="414"/>
      <c r="AB290" s="557">
        <v>168</v>
      </c>
      <c r="AC290" s="414" t="s">
        <v>2060</v>
      </c>
      <c r="AD290" s="414" t="s">
        <v>2875</v>
      </c>
      <c r="AE290" s="523" t="s">
        <v>499</v>
      </c>
      <c r="AF290" s="414" t="s">
        <v>500</v>
      </c>
      <c r="AG290" s="557"/>
      <c r="AH290" s="523">
        <v>0</v>
      </c>
      <c r="AI290" s="438"/>
      <c r="AJ290" s="414"/>
      <c r="AK290" s="523" t="s">
        <v>1932</v>
      </c>
      <c r="AQ290" s="557"/>
      <c r="AV290" s="561"/>
      <c r="AW290" s="414" t="str">
        <f t="shared" si="27"/>
        <v>1,2,3-Trichloropropane, Gravity</v>
      </c>
      <c r="AX290" s="414" t="b">
        <f t="shared" si="25"/>
        <v>0</v>
      </c>
      <c r="AY290" s="523" t="b">
        <f t="array" ref="AY290">AND(D290:G290=inp_used_minimal,A290=inp_used_usersel)</f>
        <v>0</v>
      </c>
      <c r="AZ290" s="523" t="b">
        <f t="array" ref="AZ290">AND(A290=inp_used_usersel,D290:R290=inp_used_nonvessel1,AB290:AV290=inp_used_nonvessel2,IF(B290=1,inp_used_pressure=inp_autosize_pressure,inp_used_gravity=inp_autosize_gravity))</f>
        <v>0</v>
      </c>
      <c r="BA290" s="523" t="b">
        <f t="array" ref="BA290">AND(D290:AV290=inp_used,A290=inp_used_usersel)</f>
        <v>0</v>
      </c>
    </row>
    <row r="291" spans="1:55" s="523" customFormat="1">
      <c r="A291" s="523">
        <v>18</v>
      </c>
      <c r="B291" s="523">
        <v>2</v>
      </c>
      <c r="C291" s="523">
        <v>3</v>
      </c>
      <c r="D291" s="557">
        <v>0.30499999999999999</v>
      </c>
      <c r="E291" s="523" t="s">
        <v>188</v>
      </c>
      <c r="F291" s="414">
        <v>9.4E-2</v>
      </c>
      <c r="G291" s="523" t="s">
        <v>188</v>
      </c>
      <c r="H291" s="557" t="s">
        <v>3139</v>
      </c>
      <c r="I291" s="523" t="s">
        <v>936</v>
      </c>
      <c r="J291" s="414">
        <v>38200</v>
      </c>
      <c r="M291" s="561"/>
      <c r="N291" s="557" t="s">
        <v>194</v>
      </c>
      <c r="O291" s="523">
        <v>7.5</v>
      </c>
      <c r="Q291" s="561"/>
      <c r="R291" s="557"/>
      <c r="T291" s="559"/>
      <c r="U291" s="559"/>
      <c r="V291" s="559"/>
      <c r="W291" s="560"/>
      <c r="X291" s="559" t="s">
        <v>3491</v>
      </c>
      <c r="Y291" s="414"/>
      <c r="Z291" s="414"/>
      <c r="AA291" s="414"/>
      <c r="AB291" s="557">
        <v>168</v>
      </c>
      <c r="AC291" s="414" t="s">
        <v>2060</v>
      </c>
      <c r="AD291" s="414" t="s">
        <v>2875</v>
      </c>
      <c r="AE291" s="523" t="s">
        <v>499</v>
      </c>
      <c r="AF291" s="414" t="s">
        <v>500</v>
      </c>
      <c r="AG291" s="557"/>
      <c r="AH291" s="523">
        <v>0</v>
      </c>
      <c r="AI291" s="438"/>
      <c r="AJ291" s="414"/>
      <c r="AK291" s="523" t="s">
        <v>1932</v>
      </c>
      <c r="AQ291" s="557"/>
      <c r="AV291" s="561"/>
      <c r="AW291" s="414" t="str">
        <f t="shared" si="27"/>
        <v>1,2,3-Trichloropropane, Gravity</v>
      </c>
      <c r="AX291" s="414" t="b">
        <f t="shared" si="25"/>
        <v>0</v>
      </c>
      <c r="AY291" s="523" t="b">
        <f t="array" ref="AY291">AND(D291:G291=inp_used_minimal,A291=inp_used_usersel)</f>
        <v>0</v>
      </c>
      <c r="AZ291" s="523" t="b">
        <f t="array" ref="AZ291">AND(A291=inp_used_usersel,D291:R291=inp_used_nonvessel1,AB291:AV291=inp_used_nonvessel2,IF(B291=1,inp_used_pressure=inp_autosize_pressure,inp_used_gravity=inp_autosize_gravity))</f>
        <v>0</v>
      </c>
      <c r="BA291" s="523" t="b">
        <f t="array" ref="BA291">AND(D291:AV291=inp_used,A291=inp_used_usersel)</f>
        <v>0</v>
      </c>
    </row>
    <row r="292" spans="1:55" s="523" customFormat="1">
      <c r="A292" s="523">
        <v>18</v>
      </c>
      <c r="B292" s="523">
        <v>2</v>
      </c>
      <c r="C292" s="523">
        <v>4</v>
      </c>
      <c r="D292" s="557">
        <v>0.74</v>
      </c>
      <c r="E292" s="523" t="s">
        <v>188</v>
      </c>
      <c r="F292" s="414">
        <v>0.251</v>
      </c>
      <c r="G292" s="523" t="s">
        <v>188</v>
      </c>
      <c r="H292" s="557" t="s">
        <v>3139</v>
      </c>
      <c r="I292" s="523" t="s">
        <v>936</v>
      </c>
      <c r="J292" s="414">
        <v>38200</v>
      </c>
      <c r="M292" s="561"/>
      <c r="N292" s="557" t="s">
        <v>194</v>
      </c>
      <c r="O292" s="523">
        <v>7.5</v>
      </c>
      <c r="Q292" s="561"/>
      <c r="R292" s="557"/>
      <c r="T292" s="559"/>
      <c r="U292" s="559"/>
      <c r="V292" s="559"/>
      <c r="W292" s="560"/>
      <c r="X292" s="559" t="s">
        <v>3491</v>
      </c>
      <c r="Y292" s="414"/>
      <c r="Z292" s="414"/>
      <c r="AA292" s="414"/>
      <c r="AB292" s="557">
        <v>168</v>
      </c>
      <c r="AC292" s="414" t="s">
        <v>2060</v>
      </c>
      <c r="AD292" s="414" t="s">
        <v>2875</v>
      </c>
      <c r="AE292" s="523" t="s">
        <v>499</v>
      </c>
      <c r="AF292" s="414" t="s">
        <v>500</v>
      </c>
      <c r="AG292" s="557"/>
      <c r="AH292" s="523">
        <v>0</v>
      </c>
      <c r="AI292" s="438"/>
      <c r="AJ292" s="414"/>
      <c r="AK292" s="523" t="s">
        <v>1932</v>
      </c>
      <c r="AQ292" s="557"/>
      <c r="AV292" s="561"/>
      <c r="AW292" s="414" t="str">
        <f t="shared" si="27"/>
        <v>1,2,3-Trichloropropane, Gravity</v>
      </c>
      <c r="AX292" s="414" t="b">
        <f t="shared" si="25"/>
        <v>0</v>
      </c>
      <c r="AY292" s="523" t="b">
        <f t="array" ref="AY292">AND(D292:G292=inp_used_minimal,A292=inp_used_usersel)</f>
        <v>0</v>
      </c>
      <c r="AZ292" s="523" t="b">
        <f t="array" ref="AZ292">AND(A292=inp_used_usersel,D292:R292=inp_used_nonvessel1,AB292:AV292=inp_used_nonvessel2,IF(B292=1,inp_used_pressure=inp_autosize_pressure,inp_used_gravity=inp_autosize_gravity))</f>
        <v>0</v>
      </c>
      <c r="BA292" s="523" t="b">
        <f t="array" ref="BA292">AND(D292:AV292=inp_used,A292=inp_used_usersel)</f>
        <v>0</v>
      </c>
    </row>
    <row r="293" spans="1:55" s="523" customFormat="1">
      <c r="A293" s="523">
        <v>18</v>
      </c>
      <c r="B293" s="523">
        <v>2</v>
      </c>
      <c r="C293" s="414">
        <v>5</v>
      </c>
      <c r="D293" s="529">
        <v>2.1520000000000001</v>
      </c>
      <c r="E293" s="523" t="s">
        <v>188</v>
      </c>
      <c r="F293" s="414">
        <v>0.81899999999999995</v>
      </c>
      <c r="G293" s="523" t="s">
        <v>188</v>
      </c>
      <c r="H293" s="557" t="s">
        <v>3139</v>
      </c>
      <c r="I293" s="523" t="s">
        <v>936</v>
      </c>
      <c r="J293" s="414">
        <v>38200</v>
      </c>
      <c r="M293" s="561"/>
      <c r="N293" s="557" t="s">
        <v>194</v>
      </c>
      <c r="O293" s="523">
        <v>7.5</v>
      </c>
      <c r="Q293" s="561"/>
      <c r="R293" s="557"/>
      <c r="T293" s="559"/>
      <c r="U293" s="559"/>
      <c r="V293" s="559"/>
      <c r="W293" s="560"/>
      <c r="X293" s="559" t="s">
        <v>3491</v>
      </c>
      <c r="Y293" s="414"/>
      <c r="Z293" s="414"/>
      <c r="AA293" s="414"/>
      <c r="AB293" s="557">
        <v>168</v>
      </c>
      <c r="AC293" s="414" t="s">
        <v>2060</v>
      </c>
      <c r="AD293" s="414" t="s">
        <v>2875</v>
      </c>
      <c r="AE293" s="523" t="s">
        <v>499</v>
      </c>
      <c r="AF293" s="414" t="s">
        <v>500</v>
      </c>
      <c r="AG293" s="557"/>
      <c r="AH293" s="523">
        <v>0</v>
      </c>
      <c r="AI293" s="438"/>
      <c r="AJ293" s="414"/>
      <c r="AK293" s="523" t="s">
        <v>1932</v>
      </c>
      <c r="AQ293" s="557"/>
      <c r="AV293" s="561"/>
      <c r="AW293" s="414" t="str">
        <f t="shared" si="27"/>
        <v>1,2,3-Trichloropropane, Gravity</v>
      </c>
      <c r="AX293" s="414" t="b">
        <f t="shared" si="25"/>
        <v>0</v>
      </c>
      <c r="AY293" s="523" t="b">
        <f t="array" ref="AY293">AND(D293:G293=inp_used_minimal,A293=inp_used_usersel)</f>
        <v>0</v>
      </c>
      <c r="AZ293" s="523" t="b">
        <f t="array" ref="AZ293">AND(A293=inp_used_usersel,D293:R293=inp_used_nonvessel1,AB293:AV293=inp_used_nonvessel2,IF(B293=1,inp_used_pressure=inp_autosize_pressure,inp_used_gravity=inp_autosize_gravity))</f>
        <v>0</v>
      </c>
      <c r="BA293" s="523" t="b">
        <f t="array" ref="BA293">AND(D293:AV293=inp_used,A293=inp_used_usersel)</f>
        <v>0</v>
      </c>
    </row>
    <row r="294" spans="1:55" s="523" customFormat="1">
      <c r="A294" s="523">
        <v>18</v>
      </c>
      <c r="B294" s="523">
        <v>2</v>
      </c>
      <c r="C294" s="414">
        <v>6</v>
      </c>
      <c r="D294" s="529">
        <v>7.3650000000000002</v>
      </c>
      <c r="E294" s="523" t="s">
        <v>188</v>
      </c>
      <c r="F294" s="414">
        <v>3.2</v>
      </c>
      <c r="G294" s="523" t="s">
        <v>188</v>
      </c>
      <c r="H294" s="557" t="s">
        <v>3139</v>
      </c>
      <c r="I294" s="523" t="s">
        <v>936</v>
      </c>
      <c r="J294" s="414">
        <v>38200</v>
      </c>
      <c r="M294" s="561"/>
      <c r="N294" s="557" t="s">
        <v>194</v>
      </c>
      <c r="O294" s="523">
        <v>7.5</v>
      </c>
      <c r="Q294" s="561"/>
      <c r="R294" s="557"/>
      <c r="T294" s="559"/>
      <c r="U294" s="559"/>
      <c r="V294" s="559"/>
      <c r="W294" s="560"/>
      <c r="X294" s="559" t="s">
        <v>3491</v>
      </c>
      <c r="Y294" s="414"/>
      <c r="Z294" s="414"/>
      <c r="AA294" s="414"/>
      <c r="AB294" s="557">
        <v>168</v>
      </c>
      <c r="AC294" s="414" t="s">
        <v>2060</v>
      </c>
      <c r="AD294" s="414" t="s">
        <v>2875</v>
      </c>
      <c r="AE294" s="523" t="s">
        <v>2615</v>
      </c>
      <c r="AF294" s="414" t="s">
        <v>500</v>
      </c>
      <c r="AG294" s="557"/>
      <c r="AH294" s="523">
        <v>0</v>
      </c>
      <c r="AI294" s="438"/>
      <c r="AJ294" s="414"/>
      <c r="AK294" s="523" t="s">
        <v>1932</v>
      </c>
      <c r="AQ294" s="557"/>
      <c r="AV294" s="561"/>
      <c r="AW294" s="414" t="str">
        <f t="shared" si="27"/>
        <v>1,2,3-Trichloropropane, Gravity</v>
      </c>
      <c r="AX294" s="414" t="b">
        <f t="shared" si="25"/>
        <v>0</v>
      </c>
      <c r="AY294" s="523" t="b">
        <f t="array" ref="AY294">AND(D294:G294=inp_used_minimal,A294=inp_used_usersel)</f>
        <v>0</v>
      </c>
      <c r="AZ294" s="523" t="b">
        <f t="array" ref="AZ294">AND(A294=inp_used_usersel,D294:R294=inp_used_nonvessel1,AB294:AV294=inp_used_nonvessel2,IF(B294=1,inp_used_pressure=inp_autosize_pressure,inp_used_gravity=inp_autosize_gravity))</f>
        <v>0</v>
      </c>
      <c r="BA294" s="523" t="b">
        <f t="array" ref="BA294">AND(D294:AV294=inp_used,A294=inp_used_usersel)</f>
        <v>0</v>
      </c>
    </row>
    <row r="295" spans="1:55" s="523" customFormat="1">
      <c r="A295" s="523">
        <v>18</v>
      </c>
      <c r="B295" s="523">
        <v>2</v>
      </c>
      <c r="C295" s="414">
        <v>7</v>
      </c>
      <c r="D295" s="529">
        <v>22.614000000000001</v>
      </c>
      <c r="E295" s="523" t="s">
        <v>188</v>
      </c>
      <c r="F295" s="414">
        <v>11.066000000000001</v>
      </c>
      <c r="G295" s="523" t="s">
        <v>188</v>
      </c>
      <c r="H295" s="557" t="s">
        <v>3139</v>
      </c>
      <c r="I295" s="523" t="s">
        <v>936</v>
      </c>
      <c r="J295" s="414">
        <v>38200</v>
      </c>
      <c r="M295" s="561"/>
      <c r="N295" s="557" t="s">
        <v>194</v>
      </c>
      <c r="O295" s="523">
        <v>7.5</v>
      </c>
      <c r="Q295" s="561"/>
      <c r="R295" s="557"/>
      <c r="T295" s="559"/>
      <c r="U295" s="559"/>
      <c r="V295" s="559"/>
      <c r="W295" s="560"/>
      <c r="X295" s="559" t="s">
        <v>3491</v>
      </c>
      <c r="Y295" s="414"/>
      <c r="Z295" s="414"/>
      <c r="AA295" s="414"/>
      <c r="AB295" s="557">
        <v>168</v>
      </c>
      <c r="AC295" s="414" t="s">
        <v>2060</v>
      </c>
      <c r="AD295" s="414" t="s">
        <v>2875</v>
      </c>
      <c r="AE295" s="523" t="s">
        <v>2615</v>
      </c>
      <c r="AF295" s="414" t="s">
        <v>500</v>
      </c>
      <c r="AG295" s="557"/>
      <c r="AH295" s="523">
        <v>0</v>
      </c>
      <c r="AI295" s="438"/>
      <c r="AJ295" s="414"/>
      <c r="AK295" s="523" t="s">
        <v>1932</v>
      </c>
      <c r="AQ295" s="557"/>
      <c r="AV295" s="561"/>
      <c r="AW295" s="414" t="str">
        <f t="shared" si="27"/>
        <v>1,2,3-Trichloropropane, Gravity</v>
      </c>
      <c r="AX295" s="414" t="b">
        <f t="shared" si="25"/>
        <v>0</v>
      </c>
      <c r="AY295" s="523" t="b">
        <f t="array" ref="AY295">AND(D295:G295=inp_used_minimal,A295=inp_used_usersel)</f>
        <v>0</v>
      </c>
      <c r="AZ295" s="523" t="b">
        <f t="array" ref="AZ295">AND(A295=inp_used_usersel,D295:R295=inp_used_nonvessel1,AB295:AV295=inp_used_nonvessel2,IF(B295=1,inp_used_pressure=inp_autosize_pressure,inp_used_gravity=inp_autosize_gravity))</f>
        <v>0</v>
      </c>
      <c r="BA295" s="523" t="b">
        <f t="array" ref="BA295">AND(D295:AV295=inp_used,A295=inp_used_usersel)</f>
        <v>0</v>
      </c>
    </row>
    <row r="296" spans="1:55" s="563" customFormat="1">
      <c r="A296" s="563">
        <v>18</v>
      </c>
      <c r="B296" s="563">
        <v>2</v>
      </c>
      <c r="C296" s="564">
        <v>8</v>
      </c>
      <c r="D296" s="918">
        <v>75.072000000000003</v>
      </c>
      <c r="E296" s="563" t="s">
        <v>188</v>
      </c>
      <c r="F296" s="564">
        <v>37.536000000000001</v>
      </c>
      <c r="G296" s="563" t="s">
        <v>188</v>
      </c>
      <c r="H296" s="919" t="s">
        <v>3139</v>
      </c>
      <c r="I296" s="563" t="s">
        <v>936</v>
      </c>
      <c r="J296" s="564">
        <v>38200</v>
      </c>
      <c r="M296" s="565"/>
      <c r="N296" s="919" t="s">
        <v>194</v>
      </c>
      <c r="O296" s="563">
        <v>7.5</v>
      </c>
      <c r="Q296" s="565"/>
      <c r="R296" s="919"/>
      <c r="T296" s="566"/>
      <c r="U296" s="566"/>
      <c r="V296" s="566"/>
      <c r="W296" s="567"/>
      <c r="X296" s="566" t="s">
        <v>3491</v>
      </c>
      <c r="Y296" s="564"/>
      <c r="Z296" s="564"/>
      <c r="AA296" s="554"/>
      <c r="AB296" s="919">
        <v>168</v>
      </c>
      <c r="AC296" s="564" t="s">
        <v>2060</v>
      </c>
      <c r="AD296" s="564" t="s">
        <v>2875</v>
      </c>
      <c r="AE296" s="563" t="s">
        <v>2615</v>
      </c>
      <c r="AF296" s="564" t="s">
        <v>500</v>
      </c>
      <c r="AG296" s="919"/>
      <c r="AH296" s="563">
        <v>0</v>
      </c>
      <c r="AI296" s="568"/>
      <c r="AJ296" s="564"/>
      <c r="AK296" s="563" t="s">
        <v>1932</v>
      </c>
      <c r="AP296" s="565"/>
      <c r="AQ296" s="919"/>
      <c r="AV296" s="565"/>
      <c r="AW296" s="564" t="str">
        <f t="shared" si="27"/>
        <v>1,2,3-Trichloropropane, Gravity</v>
      </c>
      <c r="AX296" s="564" t="b">
        <f t="shared" si="25"/>
        <v>0</v>
      </c>
      <c r="AY296" s="563" t="b">
        <f t="array" ref="AY296">AND(D296:G296=inp_used_minimal,A296=inp_used_usersel)</f>
        <v>0</v>
      </c>
      <c r="AZ296" s="563" t="b">
        <f t="array" ref="AZ296">AND(A296=inp_used_usersel,D296:R296=inp_used_nonvessel1,AB296:AV296=inp_used_nonvessel2,IF(B296=1,inp_used_pressure=inp_autosize_pressure,inp_used_gravity=inp_autosize_gravity))</f>
        <v>0</v>
      </c>
      <c r="BA296" s="563" t="b">
        <f t="array" ref="BA296">AND(D296:AV296=inp_used,A296=inp_used_usersel)</f>
        <v>0</v>
      </c>
    </row>
    <row r="297" spans="1:55">
      <c r="A297" s="523">
        <v>19</v>
      </c>
      <c r="B297" s="523">
        <v>1</v>
      </c>
      <c r="C297" s="523">
        <v>1</v>
      </c>
      <c r="D297" s="557">
        <v>0.03</v>
      </c>
      <c r="E297" s="523" t="s">
        <v>188</v>
      </c>
      <c r="F297" s="414">
        <v>7.0000000000000001E-3</v>
      </c>
      <c r="G297" s="523" t="s">
        <v>188</v>
      </c>
      <c r="H297" s="557" t="s">
        <v>3138</v>
      </c>
      <c r="I297" s="523" t="s">
        <v>398</v>
      </c>
      <c r="J297" s="558">
        <v>12</v>
      </c>
      <c r="K297" s="523"/>
      <c r="L297" s="523"/>
      <c r="M297" s="523"/>
      <c r="N297" s="557" t="s">
        <v>194</v>
      </c>
      <c r="O297" s="523">
        <v>15</v>
      </c>
      <c r="P297" s="523"/>
      <c r="Q297" s="523"/>
      <c r="R297" s="557">
        <v>3</v>
      </c>
      <c r="S297" s="523" t="s">
        <v>3491</v>
      </c>
      <c r="T297" s="559"/>
      <c r="U297" s="523"/>
      <c r="V297" s="559"/>
      <c r="W297" s="560"/>
      <c r="X297" s="559"/>
      <c r="Y297" s="559"/>
      <c r="Z297" s="559"/>
      <c r="AA297" s="559"/>
      <c r="AB297" s="557">
        <v>48</v>
      </c>
      <c r="AC297" s="414" t="s">
        <v>2060</v>
      </c>
      <c r="AD297" s="438" t="s">
        <v>497</v>
      </c>
      <c r="AE297" s="523" t="s">
        <v>499</v>
      </c>
      <c r="AF297" s="562"/>
      <c r="AG297" s="557"/>
      <c r="AH297" s="523"/>
      <c r="AI297" s="438"/>
      <c r="AK297" s="523"/>
      <c r="AL297" s="523"/>
      <c r="AM297" s="523"/>
      <c r="AN297" s="523"/>
      <c r="AO297" s="523"/>
      <c r="AP297" s="523"/>
      <c r="AQ297" s="557"/>
      <c r="AR297" s="523"/>
      <c r="AS297" s="523"/>
      <c r="AT297" s="523"/>
      <c r="AU297" s="523"/>
      <c r="AV297" s="561"/>
      <c r="AW297" s="414" t="str">
        <f t="shared" si="27"/>
        <v>Atrazine, Pressure</v>
      </c>
      <c r="AX297" s="414" t="b">
        <f t="shared" si="25"/>
        <v>0</v>
      </c>
      <c r="AY297" s="523" t="b">
        <f t="array" ref="AY297">AND(D297:G297=inp_used_minimal,A297=inp_used_usersel)</f>
        <v>0</v>
      </c>
      <c r="AZ297" s="523" t="b">
        <f t="array" ref="AZ297">AND(A297=inp_used_usersel,D297:R297=inp_used_nonvessel1,AB297:AV297=inp_used_nonvessel2,IF(B297=1,inp_used_pressure=inp_autosize_pressure,inp_used_gravity=inp_autosize_gravity))</f>
        <v>0</v>
      </c>
      <c r="BA297" s="523" t="b">
        <f t="array" ref="BA297">AND(D297:AV297=inp_used,A297=inp_used_usersel)</f>
        <v>0</v>
      </c>
      <c r="BB297" s="523" t="b">
        <f t="shared" ref="BB297:BB304" si="30">CHOOSE(design_type,AX297,AX305)</f>
        <v>0</v>
      </c>
      <c r="BC297" s="523" t="b">
        <f t="shared" ref="BC297:BC304" si="31">CHOOSE(design_type,AY297,AY305)</f>
        <v>0</v>
      </c>
    </row>
    <row r="298" spans="1:55">
      <c r="A298" s="523">
        <v>19</v>
      </c>
      <c r="B298" s="523">
        <v>1</v>
      </c>
      <c r="C298" s="523">
        <v>2</v>
      </c>
      <c r="D298" s="557">
        <v>0.124</v>
      </c>
      <c r="E298" s="523" t="s">
        <v>188</v>
      </c>
      <c r="F298" s="414">
        <v>3.5000000000000003E-2</v>
      </c>
      <c r="G298" s="523" t="s">
        <v>188</v>
      </c>
      <c r="H298" s="557" t="s">
        <v>3139</v>
      </c>
      <c r="I298" s="523" t="s">
        <v>398</v>
      </c>
      <c r="J298" s="523">
        <v>12</v>
      </c>
      <c r="K298" s="523"/>
      <c r="L298" s="523"/>
      <c r="M298" s="523"/>
      <c r="N298" s="557" t="s">
        <v>194</v>
      </c>
      <c r="O298" s="523">
        <v>15</v>
      </c>
      <c r="P298" s="523"/>
      <c r="Q298" s="523"/>
      <c r="R298" s="557">
        <v>3</v>
      </c>
      <c r="S298" s="523" t="s">
        <v>3491</v>
      </c>
      <c r="T298" s="559"/>
      <c r="U298" s="523"/>
      <c r="V298" s="559"/>
      <c r="W298" s="560"/>
      <c r="X298" s="559"/>
      <c r="Y298" s="559"/>
      <c r="Z298" s="559"/>
      <c r="AA298" s="559"/>
      <c r="AB298" s="557">
        <v>48</v>
      </c>
      <c r="AC298" s="414" t="s">
        <v>2060</v>
      </c>
      <c r="AD298" s="438" t="s">
        <v>498</v>
      </c>
      <c r="AE298" s="523" t="s">
        <v>499</v>
      </c>
      <c r="AF298" s="562" t="s">
        <v>500</v>
      </c>
      <c r="AG298" s="557"/>
      <c r="AH298" s="523"/>
      <c r="AI298" s="438"/>
      <c r="AK298" s="523"/>
      <c r="AL298" s="523"/>
      <c r="AM298" s="523"/>
      <c r="AN298" s="523"/>
      <c r="AO298" s="523"/>
      <c r="AP298" s="523"/>
      <c r="AQ298" s="557"/>
      <c r="AR298" s="523"/>
      <c r="AS298" s="523"/>
      <c r="AT298" s="523"/>
      <c r="AU298" s="523"/>
      <c r="AV298" s="561"/>
      <c r="AW298" s="414" t="str">
        <f t="shared" si="27"/>
        <v>Atrazine, Pressure</v>
      </c>
      <c r="AX298" s="414" t="b">
        <f t="shared" ref="AX298:AX360" si="32">IF(OR(S298="yes",X298="yes"),AZ298,BA298)</f>
        <v>0</v>
      </c>
      <c r="AY298" s="523" t="b">
        <f t="array" ref="AY298">AND(D298:G298=inp_used_minimal,A298=inp_used_usersel)</f>
        <v>0</v>
      </c>
      <c r="AZ298" s="523" t="b">
        <f t="array" ref="AZ298">AND(A298=inp_used_usersel,D298:R298=inp_used_nonvessel1,AB298:AV298=inp_used_nonvessel2,IF(B298=1,inp_used_pressure=inp_autosize_pressure,inp_used_gravity=inp_autosize_gravity))</f>
        <v>0</v>
      </c>
      <c r="BA298" s="523" t="b">
        <f t="array" ref="BA298">AND(D298:AV298=inp_used,A298=inp_used_usersel)</f>
        <v>0</v>
      </c>
      <c r="BB298" s="523" t="b">
        <f t="shared" si="30"/>
        <v>0</v>
      </c>
      <c r="BC298" s="523" t="b">
        <f t="shared" si="31"/>
        <v>0</v>
      </c>
    </row>
    <row r="299" spans="1:55">
      <c r="A299" s="523">
        <v>19</v>
      </c>
      <c r="B299" s="523">
        <v>1</v>
      </c>
      <c r="C299" s="523">
        <v>3</v>
      </c>
      <c r="D299" s="557">
        <v>0.30499999999999999</v>
      </c>
      <c r="E299" s="523" t="s">
        <v>188</v>
      </c>
      <c r="F299" s="414">
        <v>9.4E-2</v>
      </c>
      <c r="G299" s="523" t="s">
        <v>188</v>
      </c>
      <c r="H299" s="557" t="s">
        <v>3139</v>
      </c>
      <c r="I299" s="523" t="s">
        <v>398</v>
      </c>
      <c r="J299" s="523">
        <v>12</v>
      </c>
      <c r="K299" s="523"/>
      <c r="L299" s="523"/>
      <c r="M299" s="523"/>
      <c r="N299" s="557" t="s">
        <v>194</v>
      </c>
      <c r="O299" s="523">
        <v>15</v>
      </c>
      <c r="P299" s="523"/>
      <c r="Q299" s="523"/>
      <c r="R299" s="557">
        <v>3</v>
      </c>
      <c r="S299" s="523" t="s">
        <v>3491</v>
      </c>
      <c r="T299" s="559"/>
      <c r="U299" s="523"/>
      <c r="V299" s="559"/>
      <c r="W299" s="560"/>
      <c r="X299" s="559"/>
      <c r="Y299" s="559"/>
      <c r="Z299" s="559"/>
      <c r="AA299" s="559"/>
      <c r="AB299" s="557">
        <v>48</v>
      </c>
      <c r="AC299" s="414" t="s">
        <v>2060</v>
      </c>
      <c r="AD299" s="438" t="s">
        <v>498</v>
      </c>
      <c r="AE299" s="523" t="s">
        <v>2615</v>
      </c>
      <c r="AF299" s="562" t="s">
        <v>500</v>
      </c>
      <c r="AG299" s="557"/>
      <c r="AH299" s="523"/>
      <c r="AI299" s="438"/>
      <c r="AK299" s="523"/>
      <c r="AL299" s="523"/>
      <c r="AM299" s="523"/>
      <c r="AN299" s="523"/>
      <c r="AO299" s="523"/>
      <c r="AP299" s="523"/>
      <c r="AQ299" s="557"/>
      <c r="AR299" s="523"/>
      <c r="AS299" s="523"/>
      <c r="AT299" s="523"/>
      <c r="AU299" s="523"/>
      <c r="AV299" s="561"/>
      <c r="AW299" s="414" t="str">
        <f t="shared" si="27"/>
        <v>Atrazine, Pressure</v>
      </c>
      <c r="AX299" s="414" t="b">
        <f t="shared" si="32"/>
        <v>0</v>
      </c>
      <c r="AY299" s="523" t="b">
        <f t="array" ref="AY299">AND(D299:G299=inp_used_minimal,A299=inp_used_usersel)</f>
        <v>0</v>
      </c>
      <c r="AZ299" s="523" t="b">
        <f t="array" ref="AZ299">AND(A299=inp_used_usersel,D299:R299=inp_used_nonvessel1,AB299:AV299=inp_used_nonvessel2,IF(B299=1,inp_used_pressure=inp_autosize_pressure,inp_used_gravity=inp_autosize_gravity))</f>
        <v>0</v>
      </c>
      <c r="BA299" s="523" t="b">
        <f t="array" ref="BA299">AND(D299:AV299=inp_used,A299=inp_used_usersel)</f>
        <v>0</v>
      </c>
      <c r="BB299" s="523" t="b">
        <f t="shared" si="30"/>
        <v>0</v>
      </c>
      <c r="BC299" s="523" t="b">
        <f t="shared" si="31"/>
        <v>0</v>
      </c>
    </row>
    <row r="300" spans="1:55">
      <c r="A300" s="523">
        <v>19</v>
      </c>
      <c r="B300" s="523">
        <v>1</v>
      </c>
      <c r="C300" s="523">
        <v>4</v>
      </c>
      <c r="D300" s="557">
        <v>0.74</v>
      </c>
      <c r="E300" s="523" t="s">
        <v>188</v>
      </c>
      <c r="F300" s="414">
        <v>0.251</v>
      </c>
      <c r="G300" s="523" t="s">
        <v>188</v>
      </c>
      <c r="H300" s="557" t="s">
        <v>3139</v>
      </c>
      <c r="I300" s="523" t="s">
        <v>398</v>
      </c>
      <c r="J300" s="523">
        <v>12</v>
      </c>
      <c r="K300" s="523"/>
      <c r="L300" s="523"/>
      <c r="M300" s="523"/>
      <c r="N300" s="557" t="s">
        <v>194</v>
      </c>
      <c r="O300" s="523">
        <v>15</v>
      </c>
      <c r="P300" s="523"/>
      <c r="Q300" s="523"/>
      <c r="R300" s="557">
        <v>3</v>
      </c>
      <c r="S300" s="523" t="s">
        <v>3491</v>
      </c>
      <c r="T300" s="559"/>
      <c r="U300" s="523"/>
      <c r="V300" s="559"/>
      <c r="W300" s="560"/>
      <c r="X300" s="559"/>
      <c r="Y300" s="559"/>
      <c r="Z300" s="559"/>
      <c r="AA300" s="559"/>
      <c r="AB300" s="557">
        <v>48</v>
      </c>
      <c r="AC300" s="414" t="s">
        <v>2060</v>
      </c>
      <c r="AD300" s="438" t="s">
        <v>498</v>
      </c>
      <c r="AE300" s="523" t="s">
        <v>2615</v>
      </c>
      <c r="AF300" s="562" t="s">
        <v>500</v>
      </c>
      <c r="AG300" s="557"/>
      <c r="AH300" s="523"/>
      <c r="AI300" s="438"/>
      <c r="AK300" s="523"/>
      <c r="AL300" s="523"/>
      <c r="AM300" s="523"/>
      <c r="AN300" s="523"/>
      <c r="AO300" s="523"/>
      <c r="AP300" s="523"/>
      <c r="AQ300" s="557"/>
      <c r="AR300" s="523"/>
      <c r="AS300" s="523"/>
      <c r="AT300" s="523"/>
      <c r="AU300" s="523"/>
      <c r="AV300" s="561"/>
      <c r="AW300" s="414" t="str">
        <f t="shared" si="27"/>
        <v>Atrazine, Pressure</v>
      </c>
      <c r="AX300" s="414" t="b">
        <f t="shared" si="32"/>
        <v>0</v>
      </c>
      <c r="AY300" s="523" t="b">
        <f t="array" ref="AY300">AND(D300:G300=inp_used_minimal,A300=inp_used_usersel)</f>
        <v>0</v>
      </c>
      <c r="AZ300" s="523" t="b">
        <f t="array" ref="AZ300">AND(A300=inp_used_usersel,D300:R300=inp_used_nonvessel1,AB300:AV300=inp_used_nonvessel2,IF(B300=1,inp_used_pressure=inp_autosize_pressure,inp_used_gravity=inp_autosize_gravity))</f>
        <v>0</v>
      </c>
      <c r="BA300" s="523" t="b">
        <f t="array" ref="BA300">AND(D300:AV300=inp_used,A300=inp_used_usersel)</f>
        <v>0</v>
      </c>
      <c r="BB300" s="523" t="b">
        <f t="shared" si="30"/>
        <v>0</v>
      </c>
      <c r="BC300" s="523" t="b">
        <f t="shared" si="31"/>
        <v>0</v>
      </c>
    </row>
    <row r="301" spans="1:55" s="523" customFormat="1">
      <c r="A301" s="523">
        <v>19</v>
      </c>
      <c r="B301" s="523">
        <v>1</v>
      </c>
      <c r="C301" s="414">
        <v>5</v>
      </c>
      <c r="D301" s="529">
        <v>2.1520000000000001</v>
      </c>
      <c r="E301" s="523" t="s">
        <v>188</v>
      </c>
      <c r="F301" s="414">
        <v>0.81899999999999995</v>
      </c>
      <c r="G301" s="523" t="s">
        <v>188</v>
      </c>
      <c r="H301" s="557" t="s">
        <v>3139</v>
      </c>
      <c r="I301" s="523" t="s">
        <v>398</v>
      </c>
      <c r="J301" s="414">
        <v>12</v>
      </c>
      <c r="N301" s="557" t="s">
        <v>194</v>
      </c>
      <c r="O301" s="523">
        <v>15</v>
      </c>
      <c r="R301" s="557">
        <v>3</v>
      </c>
      <c r="S301" s="523" t="s">
        <v>3491</v>
      </c>
      <c r="T301" s="559"/>
      <c r="V301" s="559"/>
      <c r="W301" s="560"/>
      <c r="X301" s="559"/>
      <c r="Y301" s="559"/>
      <c r="Z301" s="559"/>
      <c r="AA301" s="559"/>
      <c r="AB301" s="557">
        <v>48</v>
      </c>
      <c r="AC301" s="414" t="s">
        <v>2060</v>
      </c>
      <c r="AD301" s="438" t="s">
        <v>498</v>
      </c>
      <c r="AE301" s="523" t="s">
        <v>2615</v>
      </c>
      <c r="AF301" s="562" t="s">
        <v>500</v>
      </c>
      <c r="AG301" s="557"/>
      <c r="AH301" s="414"/>
      <c r="AJ301" s="414"/>
      <c r="AQ301" s="557"/>
      <c r="AV301" s="561"/>
      <c r="AW301" s="414" t="str">
        <f t="shared" si="27"/>
        <v>Atrazine, Pressure</v>
      </c>
      <c r="AX301" s="414" t="b">
        <f t="shared" si="32"/>
        <v>0</v>
      </c>
      <c r="AY301" s="523" t="b">
        <f t="array" ref="AY301">AND(D301:G301=inp_used_minimal,A301=inp_used_usersel)</f>
        <v>0</v>
      </c>
      <c r="AZ301" s="523" t="b">
        <f t="array" ref="AZ301">AND(A301=inp_used_usersel,D301:R301=inp_used_nonvessel1,AB301:AV301=inp_used_nonvessel2,IF(B301=1,inp_used_pressure=inp_autosize_pressure,inp_used_gravity=inp_autosize_gravity))</f>
        <v>0</v>
      </c>
      <c r="BA301" s="523" t="b">
        <f t="array" ref="BA301">AND(D301:AV301=inp_used,A301=inp_used_usersel)</f>
        <v>0</v>
      </c>
      <c r="BB301" s="523" t="b">
        <f t="shared" si="30"/>
        <v>0</v>
      </c>
      <c r="BC301" s="523" t="b">
        <f t="shared" si="31"/>
        <v>0</v>
      </c>
    </row>
    <row r="302" spans="1:55" s="523" customFormat="1">
      <c r="A302" s="523">
        <v>19</v>
      </c>
      <c r="B302" s="523">
        <v>1</v>
      </c>
      <c r="C302" s="414">
        <v>6</v>
      </c>
      <c r="D302" s="529">
        <v>7.3650000000000002</v>
      </c>
      <c r="E302" s="523" t="s">
        <v>188</v>
      </c>
      <c r="F302" s="414">
        <v>3.2</v>
      </c>
      <c r="G302" s="523" t="s">
        <v>188</v>
      </c>
      <c r="H302" s="557" t="s">
        <v>3139</v>
      </c>
      <c r="I302" s="523" t="s">
        <v>398</v>
      </c>
      <c r="J302" s="414">
        <v>12</v>
      </c>
      <c r="N302" s="557" t="s">
        <v>194</v>
      </c>
      <c r="O302" s="523">
        <v>15</v>
      </c>
      <c r="R302" s="557">
        <v>3</v>
      </c>
      <c r="S302" s="523" t="s">
        <v>3491</v>
      </c>
      <c r="T302" s="559"/>
      <c r="V302" s="559"/>
      <c r="W302" s="560"/>
      <c r="X302" s="559"/>
      <c r="Y302" s="559"/>
      <c r="Z302" s="559"/>
      <c r="AA302" s="559"/>
      <c r="AB302" s="557">
        <v>48</v>
      </c>
      <c r="AC302" s="414" t="s">
        <v>2060</v>
      </c>
      <c r="AD302" s="438" t="s">
        <v>498</v>
      </c>
      <c r="AE302" s="523" t="s">
        <v>2615</v>
      </c>
      <c r="AF302" s="562" t="s">
        <v>500</v>
      </c>
      <c r="AG302" s="557"/>
      <c r="AH302" s="414"/>
      <c r="AJ302" s="414"/>
      <c r="AQ302" s="557"/>
      <c r="AV302" s="561"/>
      <c r="AW302" s="414" t="str">
        <f t="shared" si="27"/>
        <v>Atrazine, Pressure</v>
      </c>
      <c r="AX302" s="414" t="b">
        <f t="shared" si="32"/>
        <v>0</v>
      </c>
      <c r="AY302" s="523" t="b">
        <f t="array" ref="AY302">AND(D302:G302=inp_used_minimal,A302=inp_used_usersel)</f>
        <v>0</v>
      </c>
      <c r="AZ302" s="523" t="b">
        <f t="array" ref="AZ302">AND(A302=inp_used_usersel,D302:R302=inp_used_nonvessel1,AB302:AV302=inp_used_nonvessel2,IF(B302=1,inp_used_pressure=inp_autosize_pressure,inp_used_gravity=inp_autosize_gravity))</f>
        <v>0</v>
      </c>
      <c r="BA302" s="523" t="b">
        <f t="array" ref="BA302">AND(D302:AV302=inp_used,A302=inp_used_usersel)</f>
        <v>0</v>
      </c>
      <c r="BB302" s="523" t="b">
        <f t="shared" si="30"/>
        <v>0</v>
      </c>
      <c r="BC302" s="523" t="b">
        <f t="shared" si="31"/>
        <v>0</v>
      </c>
    </row>
    <row r="303" spans="1:55" s="523" customFormat="1">
      <c r="A303" s="523">
        <v>19</v>
      </c>
      <c r="B303" s="523">
        <v>1</v>
      </c>
      <c r="C303" s="414">
        <v>7</v>
      </c>
      <c r="D303" s="529">
        <v>22.614000000000001</v>
      </c>
      <c r="E303" s="523" t="s">
        <v>188</v>
      </c>
      <c r="F303" s="414">
        <v>11.066000000000001</v>
      </c>
      <c r="G303" s="523" t="s">
        <v>188</v>
      </c>
      <c r="H303" s="557" t="s">
        <v>3139</v>
      </c>
      <c r="I303" s="523" t="s">
        <v>398</v>
      </c>
      <c r="J303" s="414">
        <v>12</v>
      </c>
      <c r="N303" s="557" t="s">
        <v>194</v>
      </c>
      <c r="O303" s="523">
        <v>15</v>
      </c>
      <c r="R303" s="557">
        <v>3</v>
      </c>
      <c r="S303" s="523" t="s">
        <v>3491</v>
      </c>
      <c r="T303" s="559"/>
      <c r="V303" s="559"/>
      <c r="W303" s="560"/>
      <c r="X303" s="559"/>
      <c r="Y303" s="559"/>
      <c r="Z303" s="559"/>
      <c r="AA303" s="559"/>
      <c r="AB303" s="557">
        <v>48</v>
      </c>
      <c r="AC303" s="414" t="s">
        <v>2060</v>
      </c>
      <c r="AD303" s="438" t="s">
        <v>498</v>
      </c>
      <c r="AE303" s="523" t="s">
        <v>2615</v>
      </c>
      <c r="AF303" s="562" t="s">
        <v>500</v>
      </c>
      <c r="AG303" s="557"/>
      <c r="AH303" s="414"/>
      <c r="AJ303" s="414"/>
      <c r="AQ303" s="557"/>
      <c r="AV303" s="561"/>
      <c r="AW303" s="414" t="str">
        <f t="shared" si="27"/>
        <v>Atrazine, Pressure</v>
      </c>
      <c r="AX303" s="414" t="b">
        <f t="shared" si="32"/>
        <v>0</v>
      </c>
      <c r="AY303" s="523" t="b">
        <f t="array" ref="AY303">AND(D303:G303=inp_used_minimal,A303=inp_used_usersel)</f>
        <v>0</v>
      </c>
      <c r="AZ303" s="523" t="b">
        <f t="array" ref="AZ303">AND(A303=inp_used_usersel,D303:R303=inp_used_nonvessel1,AB303:AV303=inp_used_nonvessel2,IF(B303=1,inp_used_pressure=inp_autosize_pressure,inp_used_gravity=inp_autosize_gravity))</f>
        <v>0</v>
      </c>
      <c r="BA303" s="523" t="b">
        <f t="array" ref="BA303">AND(D303:AV303=inp_used,A303=inp_used_usersel)</f>
        <v>0</v>
      </c>
      <c r="BB303" s="523" t="b">
        <f t="shared" si="30"/>
        <v>0</v>
      </c>
      <c r="BC303" s="523" t="b">
        <f t="shared" si="31"/>
        <v>0</v>
      </c>
    </row>
    <row r="304" spans="1:55" s="563" customFormat="1">
      <c r="A304" s="563">
        <v>19</v>
      </c>
      <c r="B304" s="563">
        <v>1</v>
      </c>
      <c r="C304" s="564">
        <v>8</v>
      </c>
      <c r="D304" s="918">
        <v>75.072000000000003</v>
      </c>
      <c r="E304" s="563" t="s">
        <v>188</v>
      </c>
      <c r="F304" s="564">
        <v>37.536000000000001</v>
      </c>
      <c r="G304" s="563" t="s">
        <v>188</v>
      </c>
      <c r="H304" s="919" t="s">
        <v>3139</v>
      </c>
      <c r="I304" s="563" t="s">
        <v>398</v>
      </c>
      <c r="J304" s="564">
        <v>12</v>
      </c>
      <c r="M304" s="565"/>
      <c r="N304" s="919" t="s">
        <v>194</v>
      </c>
      <c r="O304" s="563">
        <v>15</v>
      </c>
      <c r="Q304" s="565"/>
      <c r="R304" s="919">
        <v>3</v>
      </c>
      <c r="S304" s="563" t="s">
        <v>3491</v>
      </c>
      <c r="T304" s="566"/>
      <c r="V304" s="566"/>
      <c r="W304" s="567"/>
      <c r="X304" s="566"/>
      <c r="Y304" s="566"/>
      <c r="Z304" s="566"/>
      <c r="AA304" s="567"/>
      <c r="AB304" s="919">
        <v>48</v>
      </c>
      <c r="AC304" s="564" t="s">
        <v>2060</v>
      </c>
      <c r="AD304" s="568" t="s">
        <v>498</v>
      </c>
      <c r="AE304" s="563" t="s">
        <v>2615</v>
      </c>
      <c r="AF304" s="554" t="s">
        <v>500</v>
      </c>
      <c r="AG304" s="919"/>
      <c r="AH304" s="564"/>
      <c r="AJ304" s="564"/>
      <c r="AP304" s="565"/>
      <c r="AQ304" s="919"/>
      <c r="AV304" s="565"/>
      <c r="AW304" s="564" t="str">
        <f t="shared" si="27"/>
        <v>Atrazine, Pressure</v>
      </c>
      <c r="AX304" s="564" t="b">
        <f t="shared" si="32"/>
        <v>0</v>
      </c>
      <c r="AY304" s="563" t="b">
        <f t="array" ref="AY304">AND(D304:G304=inp_used_minimal,A304=inp_used_usersel)</f>
        <v>0</v>
      </c>
      <c r="AZ304" s="563" t="b">
        <f t="array" ref="AZ304">AND(A304=inp_used_usersel,D304:R304=inp_used_nonvessel1,AB304:AV304=inp_used_nonvessel2,IF(B304=1,inp_used_pressure=inp_autosize_pressure,inp_used_gravity=inp_autosize_gravity))</f>
        <v>0</v>
      </c>
      <c r="BA304" s="563" t="b">
        <f t="array" ref="BA304">AND(D304:AV304=inp_used,A304=inp_used_usersel)</f>
        <v>0</v>
      </c>
      <c r="BB304" s="563" t="b">
        <f t="shared" si="30"/>
        <v>0</v>
      </c>
      <c r="BC304" s="563" t="b">
        <f t="shared" si="31"/>
        <v>0</v>
      </c>
    </row>
    <row r="305" spans="1:55" s="523" customFormat="1">
      <c r="A305" s="523">
        <v>19</v>
      </c>
      <c r="B305" s="523">
        <v>2</v>
      </c>
      <c r="C305" s="523">
        <v>1</v>
      </c>
      <c r="D305" s="917">
        <v>0.03</v>
      </c>
      <c r="E305" s="523" t="s">
        <v>188</v>
      </c>
      <c r="F305" s="414">
        <v>7.0000000000000001E-3</v>
      </c>
      <c r="G305" s="523" t="s">
        <v>188</v>
      </c>
      <c r="H305" s="917" t="s">
        <v>3138</v>
      </c>
      <c r="I305" s="523" t="s">
        <v>398</v>
      </c>
      <c r="J305" s="558">
        <v>12</v>
      </c>
      <c r="N305" s="917" t="s">
        <v>194</v>
      </c>
      <c r="O305" s="523">
        <v>15</v>
      </c>
      <c r="R305" s="917"/>
      <c r="T305" s="559"/>
      <c r="U305" s="559"/>
      <c r="V305" s="559"/>
      <c r="W305" s="560"/>
      <c r="X305" s="559" t="s">
        <v>3491</v>
      </c>
      <c r="Y305" s="414"/>
      <c r="Z305" s="414"/>
      <c r="AA305" s="414"/>
      <c r="AB305" s="917">
        <v>48</v>
      </c>
      <c r="AC305" s="414" t="s">
        <v>2060</v>
      </c>
      <c r="AD305" s="414" t="s">
        <v>2875</v>
      </c>
      <c r="AE305" s="523" t="s">
        <v>499</v>
      </c>
      <c r="AF305" s="414" t="s">
        <v>500</v>
      </c>
      <c r="AG305" s="917"/>
      <c r="AI305" s="438"/>
      <c r="AJ305" s="414"/>
      <c r="AQ305" s="917"/>
      <c r="AV305" s="561"/>
      <c r="AW305" s="414" t="str">
        <f t="shared" si="27"/>
        <v>Atrazine, Gravity</v>
      </c>
      <c r="AX305" s="414" t="b">
        <f t="shared" si="32"/>
        <v>0</v>
      </c>
      <c r="AY305" s="523" t="b">
        <f t="array" ref="AY305">AND(D305:G305=inp_used_minimal,A305=inp_used_usersel)</f>
        <v>0</v>
      </c>
      <c r="AZ305" s="523" t="b">
        <f t="array" ref="AZ305">AND(A305=inp_used_usersel,D305:R305=inp_used_nonvessel1,AB305:AV305=inp_used_nonvessel2,IF(B305=1,inp_used_pressure=inp_autosize_pressure,inp_used_gravity=inp_autosize_gravity))</f>
        <v>0</v>
      </c>
      <c r="BA305" s="523" t="b">
        <f t="array" ref="BA305">AND(D305:AV305=inp_used,A305=inp_used_usersel)</f>
        <v>0</v>
      </c>
    </row>
    <row r="306" spans="1:55" s="523" customFormat="1">
      <c r="A306" s="523">
        <v>19</v>
      </c>
      <c r="B306" s="523">
        <v>2</v>
      </c>
      <c r="C306" s="523">
        <v>2</v>
      </c>
      <c r="D306" s="557">
        <v>0.124</v>
      </c>
      <c r="E306" s="523" t="s">
        <v>188</v>
      </c>
      <c r="F306" s="414">
        <v>3.5000000000000003E-2</v>
      </c>
      <c r="G306" s="523" t="s">
        <v>188</v>
      </c>
      <c r="H306" s="557" t="s">
        <v>3139</v>
      </c>
      <c r="I306" s="523" t="s">
        <v>398</v>
      </c>
      <c r="J306" s="523">
        <v>12</v>
      </c>
      <c r="N306" s="557" t="s">
        <v>194</v>
      </c>
      <c r="O306" s="523">
        <v>15</v>
      </c>
      <c r="R306" s="557"/>
      <c r="T306" s="559"/>
      <c r="U306" s="559"/>
      <c r="V306" s="559"/>
      <c r="W306" s="560"/>
      <c r="X306" s="559" t="s">
        <v>3491</v>
      </c>
      <c r="Y306" s="414"/>
      <c r="Z306" s="414"/>
      <c r="AA306" s="414"/>
      <c r="AB306" s="557">
        <v>48</v>
      </c>
      <c r="AC306" s="414" t="s">
        <v>2060</v>
      </c>
      <c r="AD306" s="414" t="s">
        <v>2875</v>
      </c>
      <c r="AE306" s="523" t="s">
        <v>499</v>
      </c>
      <c r="AF306" s="414" t="s">
        <v>500</v>
      </c>
      <c r="AG306" s="557"/>
      <c r="AI306" s="438"/>
      <c r="AJ306" s="414"/>
      <c r="AQ306" s="557"/>
      <c r="AV306" s="561"/>
      <c r="AW306" s="414" t="str">
        <f t="shared" si="27"/>
        <v>Atrazine, Gravity</v>
      </c>
      <c r="AX306" s="414" t="b">
        <f t="shared" si="32"/>
        <v>0</v>
      </c>
      <c r="AY306" s="523" t="b">
        <f t="array" ref="AY306">AND(D306:G306=inp_used_minimal,A306=inp_used_usersel)</f>
        <v>0</v>
      </c>
      <c r="AZ306" s="523" t="b">
        <f t="array" ref="AZ306">AND(A306=inp_used_usersel,D306:R306=inp_used_nonvessel1,AB306:AV306=inp_used_nonvessel2,IF(B306=1,inp_used_pressure=inp_autosize_pressure,inp_used_gravity=inp_autosize_gravity))</f>
        <v>0</v>
      </c>
      <c r="BA306" s="523" t="b">
        <f t="array" ref="BA306">AND(D306:AV306=inp_used,A306=inp_used_usersel)</f>
        <v>0</v>
      </c>
    </row>
    <row r="307" spans="1:55" s="523" customFormat="1">
      <c r="A307" s="523">
        <v>19</v>
      </c>
      <c r="B307" s="523">
        <v>2</v>
      </c>
      <c r="C307" s="523">
        <v>3</v>
      </c>
      <c r="D307" s="557">
        <v>0.30499999999999999</v>
      </c>
      <c r="E307" s="523" t="s">
        <v>188</v>
      </c>
      <c r="F307" s="414">
        <v>9.4E-2</v>
      </c>
      <c r="G307" s="523" t="s">
        <v>188</v>
      </c>
      <c r="H307" s="557" t="s">
        <v>3139</v>
      </c>
      <c r="I307" s="523" t="s">
        <v>398</v>
      </c>
      <c r="J307" s="523">
        <v>12</v>
      </c>
      <c r="N307" s="557" t="s">
        <v>194</v>
      </c>
      <c r="O307" s="523">
        <v>15</v>
      </c>
      <c r="R307" s="557"/>
      <c r="T307" s="559"/>
      <c r="U307" s="559"/>
      <c r="V307" s="559"/>
      <c r="W307" s="560"/>
      <c r="X307" s="559" t="s">
        <v>3491</v>
      </c>
      <c r="Y307" s="414"/>
      <c r="Z307" s="414"/>
      <c r="AA307" s="414"/>
      <c r="AB307" s="557">
        <v>48</v>
      </c>
      <c r="AC307" s="414" t="s">
        <v>2060</v>
      </c>
      <c r="AD307" s="414" t="s">
        <v>2875</v>
      </c>
      <c r="AE307" s="523" t="s">
        <v>2615</v>
      </c>
      <c r="AF307" s="414" t="s">
        <v>500</v>
      </c>
      <c r="AG307" s="557"/>
      <c r="AI307" s="438"/>
      <c r="AJ307" s="414"/>
      <c r="AQ307" s="557"/>
      <c r="AV307" s="561"/>
      <c r="AW307" s="414" t="str">
        <f t="shared" si="27"/>
        <v>Atrazine, Gravity</v>
      </c>
      <c r="AX307" s="414" t="b">
        <f t="shared" si="32"/>
        <v>0</v>
      </c>
      <c r="AY307" s="523" t="b">
        <f t="array" ref="AY307">AND(D307:G307=inp_used_minimal,A307=inp_used_usersel)</f>
        <v>0</v>
      </c>
      <c r="AZ307" s="523" t="b">
        <f t="array" ref="AZ307">AND(A307=inp_used_usersel,D307:R307=inp_used_nonvessel1,AB307:AV307=inp_used_nonvessel2,IF(B307=1,inp_used_pressure=inp_autosize_pressure,inp_used_gravity=inp_autosize_gravity))</f>
        <v>0</v>
      </c>
      <c r="BA307" s="523" t="b">
        <f t="array" ref="BA307">AND(D307:AV307=inp_used,A307=inp_used_usersel)</f>
        <v>0</v>
      </c>
    </row>
    <row r="308" spans="1:55" s="523" customFormat="1">
      <c r="A308" s="523">
        <v>19</v>
      </c>
      <c r="B308" s="523">
        <v>2</v>
      </c>
      <c r="C308" s="523">
        <v>4</v>
      </c>
      <c r="D308" s="557">
        <v>0.74</v>
      </c>
      <c r="E308" s="523" t="s">
        <v>188</v>
      </c>
      <c r="F308" s="414">
        <v>0.251</v>
      </c>
      <c r="G308" s="523" t="s">
        <v>188</v>
      </c>
      <c r="H308" s="557" t="s">
        <v>3139</v>
      </c>
      <c r="I308" s="523" t="s">
        <v>398</v>
      </c>
      <c r="J308" s="523">
        <v>12</v>
      </c>
      <c r="N308" s="557" t="s">
        <v>194</v>
      </c>
      <c r="O308" s="523">
        <v>15</v>
      </c>
      <c r="R308" s="557"/>
      <c r="T308" s="559"/>
      <c r="U308" s="559"/>
      <c r="V308" s="559"/>
      <c r="W308" s="560"/>
      <c r="X308" s="559" t="s">
        <v>3491</v>
      </c>
      <c r="Y308" s="414"/>
      <c r="Z308" s="414"/>
      <c r="AA308" s="414"/>
      <c r="AB308" s="557">
        <v>48</v>
      </c>
      <c r="AC308" s="414" t="s">
        <v>2060</v>
      </c>
      <c r="AD308" s="414" t="s">
        <v>2875</v>
      </c>
      <c r="AE308" s="523" t="s">
        <v>2615</v>
      </c>
      <c r="AF308" s="414" t="s">
        <v>500</v>
      </c>
      <c r="AG308" s="557"/>
      <c r="AI308" s="438"/>
      <c r="AJ308" s="414"/>
      <c r="AQ308" s="557"/>
      <c r="AV308" s="561"/>
      <c r="AW308" s="414" t="str">
        <f t="shared" si="27"/>
        <v>Atrazine, Gravity</v>
      </c>
      <c r="AX308" s="414" t="b">
        <f t="shared" si="32"/>
        <v>0</v>
      </c>
      <c r="AY308" s="523" t="b">
        <f t="array" ref="AY308">AND(D308:G308=inp_used_minimal,A308=inp_used_usersel)</f>
        <v>0</v>
      </c>
      <c r="AZ308" s="523" t="b">
        <f t="array" ref="AZ308">AND(A308=inp_used_usersel,D308:R308=inp_used_nonvessel1,AB308:AV308=inp_used_nonvessel2,IF(B308=1,inp_used_pressure=inp_autosize_pressure,inp_used_gravity=inp_autosize_gravity))</f>
        <v>0</v>
      </c>
      <c r="BA308" s="523" t="b">
        <f t="array" ref="BA308">AND(D308:AV308=inp_used,A308=inp_used_usersel)</f>
        <v>0</v>
      </c>
    </row>
    <row r="309" spans="1:55" s="523" customFormat="1">
      <c r="A309" s="523">
        <v>19</v>
      </c>
      <c r="B309" s="523">
        <v>2</v>
      </c>
      <c r="C309" s="414">
        <v>5</v>
      </c>
      <c r="D309" s="529">
        <v>2.1520000000000001</v>
      </c>
      <c r="E309" s="523" t="s">
        <v>188</v>
      </c>
      <c r="F309" s="414">
        <v>0.81899999999999995</v>
      </c>
      <c r="G309" s="523" t="s">
        <v>188</v>
      </c>
      <c r="H309" s="557" t="s">
        <v>3139</v>
      </c>
      <c r="I309" s="523" t="s">
        <v>398</v>
      </c>
      <c r="J309" s="414">
        <v>12</v>
      </c>
      <c r="N309" s="557" t="s">
        <v>194</v>
      </c>
      <c r="O309" s="523">
        <v>15</v>
      </c>
      <c r="R309" s="557"/>
      <c r="T309" s="559"/>
      <c r="U309" s="559"/>
      <c r="V309" s="559"/>
      <c r="W309" s="560"/>
      <c r="X309" s="559" t="s">
        <v>3491</v>
      </c>
      <c r="Y309" s="414"/>
      <c r="Z309" s="414"/>
      <c r="AA309" s="414"/>
      <c r="AB309" s="557">
        <v>48</v>
      </c>
      <c r="AC309" s="414" t="s">
        <v>2060</v>
      </c>
      <c r="AD309" s="414" t="s">
        <v>2875</v>
      </c>
      <c r="AE309" s="523" t="s">
        <v>2615</v>
      </c>
      <c r="AF309" s="562" t="s">
        <v>500</v>
      </c>
      <c r="AG309" s="557"/>
      <c r="AH309" s="414"/>
      <c r="AJ309" s="414"/>
      <c r="AQ309" s="557"/>
      <c r="AV309" s="561"/>
      <c r="AW309" s="414" t="str">
        <f t="shared" si="27"/>
        <v>Atrazine, Gravity</v>
      </c>
      <c r="AX309" s="414" t="b">
        <f t="shared" si="32"/>
        <v>0</v>
      </c>
      <c r="AY309" s="523" t="b">
        <f t="array" ref="AY309">AND(D309:G309=inp_used_minimal,A309=inp_used_usersel)</f>
        <v>0</v>
      </c>
      <c r="AZ309" s="523" t="b">
        <f t="array" ref="AZ309">AND(A309=inp_used_usersel,D309:R309=inp_used_nonvessel1,AB309:AV309=inp_used_nonvessel2,IF(B309=1,inp_used_pressure=inp_autosize_pressure,inp_used_gravity=inp_autosize_gravity))</f>
        <v>0</v>
      </c>
      <c r="BA309" s="523" t="b">
        <f t="array" ref="BA309">AND(D309:AV309=inp_used,A309=inp_used_usersel)</f>
        <v>0</v>
      </c>
    </row>
    <row r="310" spans="1:55" s="523" customFormat="1">
      <c r="A310" s="523">
        <v>19</v>
      </c>
      <c r="B310" s="523">
        <v>2</v>
      </c>
      <c r="C310" s="414">
        <v>6</v>
      </c>
      <c r="D310" s="529">
        <v>7.3650000000000002</v>
      </c>
      <c r="E310" s="523" t="s">
        <v>188</v>
      </c>
      <c r="F310" s="414">
        <v>3.2</v>
      </c>
      <c r="G310" s="523" t="s">
        <v>188</v>
      </c>
      <c r="H310" s="557" t="s">
        <v>3139</v>
      </c>
      <c r="I310" s="523" t="s">
        <v>398</v>
      </c>
      <c r="J310" s="414">
        <v>12</v>
      </c>
      <c r="N310" s="557" t="s">
        <v>194</v>
      </c>
      <c r="O310" s="523">
        <v>15</v>
      </c>
      <c r="R310" s="557"/>
      <c r="T310" s="559"/>
      <c r="U310" s="559"/>
      <c r="V310" s="559"/>
      <c r="W310" s="560"/>
      <c r="X310" s="559" t="s">
        <v>3491</v>
      </c>
      <c r="Y310" s="414"/>
      <c r="Z310" s="414"/>
      <c r="AA310" s="414"/>
      <c r="AB310" s="557">
        <v>48</v>
      </c>
      <c r="AC310" s="414" t="s">
        <v>2060</v>
      </c>
      <c r="AD310" s="414" t="s">
        <v>2875</v>
      </c>
      <c r="AE310" s="523" t="s">
        <v>2615</v>
      </c>
      <c r="AF310" s="562" t="s">
        <v>500</v>
      </c>
      <c r="AG310" s="557"/>
      <c r="AH310" s="414"/>
      <c r="AJ310" s="414"/>
      <c r="AQ310" s="557"/>
      <c r="AV310" s="561"/>
      <c r="AW310" s="414" t="str">
        <f t="shared" si="27"/>
        <v>Atrazine, Gravity</v>
      </c>
      <c r="AX310" s="414" t="b">
        <f t="shared" si="32"/>
        <v>0</v>
      </c>
      <c r="AY310" s="523" t="b">
        <f t="array" ref="AY310">AND(D310:G310=inp_used_minimal,A310=inp_used_usersel)</f>
        <v>0</v>
      </c>
      <c r="AZ310" s="523" t="b">
        <f t="array" ref="AZ310">AND(A310=inp_used_usersel,D310:R310=inp_used_nonvessel1,AB310:AV310=inp_used_nonvessel2,IF(B310=1,inp_used_pressure=inp_autosize_pressure,inp_used_gravity=inp_autosize_gravity))</f>
        <v>0</v>
      </c>
      <c r="BA310" s="523" t="b">
        <f t="array" ref="BA310">AND(D310:AV310=inp_used,A310=inp_used_usersel)</f>
        <v>0</v>
      </c>
    </row>
    <row r="311" spans="1:55" s="523" customFormat="1">
      <c r="A311" s="523">
        <v>19</v>
      </c>
      <c r="B311" s="523">
        <v>2</v>
      </c>
      <c r="C311" s="414">
        <v>7</v>
      </c>
      <c r="D311" s="529">
        <v>22.614000000000001</v>
      </c>
      <c r="E311" s="523" t="s">
        <v>188</v>
      </c>
      <c r="F311" s="414">
        <v>11.066000000000001</v>
      </c>
      <c r="G311" s="523" t="s">
        <v>188</v>
      </c>
      <c r="H311" s="557" t="s">
        <v>3139</v>
      </c>
      <c r="I311" s="523" t="s">
        <v>398</v>
      </c>
      <c r="J311" s="414">
        <v>12</v>
      </c>
      <c r="N311" s="557" t="s">
        <v>194</v>
      </c>
      <c r="O311" s="523">
        <v>15</v>
      </c>
      <c r="R311" s="557"/>
      <c r="T311" s="559"/>
      <c r="U311" s="559"/>
      <c r="V311" s="559"/>
      <c r="W311" s="560"/>
      <c r="X311" s="559" t="s">
        <v>3491</v>
      </c>
      <c r="Y311" s="414"/>
      <c r="Z311" s="414"/>
      <c r="AA311" s="414"/>
      <c r="AB311" s="557">
        <v>48</v>
      </c>
      <c r="AC311" s="414" t="s">
        <v>2060</v>
      </c>
      <c r="AD311" s="414" t="s">
        <v>2875</v>
      </c>
      <c r="AE311" s="523" t="s">
        <v>2615</v>
      </c>
      <c r="AF311" s="562" t="s">
        <v>500</v>
      </c>
      <c r="AG311" s="557"/>
      <c r="AH311" s="414"/>
      <c r="AJ311" s="414"/>
      <c r="AQ311" s="557"/>
      <c r="AV311" s="561"/>
      <c r="AW311" s="414" t="str">
        <f t="shared" si="27"/>
        <v>Atrazine, Gravity</v>
      </c>
      <c r="AX311" s="414" t="b">
        <f t="shared" si="32"/>
        <v>0</v>
      </c>
      <c r="AY311" s="523" t="b">
        <f t="array" ref="AY311">AND(D311:G311=inp_used_minimal,A311=inp_used_usersel)</f>
        <v>0</v>
      </c>
      <c r="AZ311" s="523" t="b">
        <f t="array" ref="AZ311">AND(A311=inp_used_usersel,D311:R311=inp_used_nonvessel1,AB311:AV311=inp_used_nonvessel2,IF(B311=1,inp_used_pressure=inp_autosize_pressure,inp_used_gravity=inp_autosize_gravity))</f>
        <v>0</v>
      </c>
      <c r="BA311" s="523" t="b">
        <f t="array" ref="BA311">AND(D311:AV311=inp_used,A311=inp_used_usersel)</f>
        <v>0</v>
      </c>
    </row>
    <row r="312" spans="1:55" s="563" customFormat="1">
      <c r="A312" s="563">
        <v>19</v>
      </c>
      <c r="B312" s="563">
        <v>2</v>
      </c>
      <c r="C312" s="564">
        <v>8</v>
      </c>
      <c r="D312" s="918">
        <v>75.072000000000003</v>
      </c>
      <c r="E312" s="563" t="s">
        <v>188</v>
      </c>
      <c r="F312" s="564">
        <v>37.536000000000001</v>
      </c>
      <c r="G312" s="563" t="s">
        <v>188</v>
      </c>
      <c r="H312" s="919" t="s">
        <v>3139</v>
      </c>
      <c r="I312" s="563" t="s">
        <v>398</v>
      </c>
      <c r="J312" s="564">
        <v>12</v>
      </c>
      <c r="M312" s="565"/>
      <c r="N312" s="919" t="s">
        <v>194</v>
      </c>
      <c r="O312" s="563">
        <v>15</v>
      </c>
      <c r="Q312" s="565"/>
      <c r="R312" s="919"/>
      <c r="T312" s="566"/>
      <c r="U312" s="566"/>
      <c r="V312" s="566"/>
      <c r="W312" s="567"/>
      <c r="X312" s="566" t="s">
        <v>3491</v>
      </c>
      <c r="Y312" s="564"/>
      <c r="Z312" s="564"/>
      <c r="AA312" s="554"/>
      <c r="AB312" s="919">
        <v>48</v>
      </c>
      <c r="AC312" s="564" t="s">
        <v>2060</v>
      </c>
      <c r="AD312" s="564" t="s">
        <v>2875</v>
      </c>
      <c r="AE312" s="563" t="s">
        <v>2615</v>
      </c>
      <c r="AF312" s="554" t="s">
        <v>500</v>
      </c>
      <c r="AG312" s="919"/>
      <c r="AH312" s="564"/>
      <c r="AJ312" s="564"/>
      <c r="AP312" s="565"/>
      <c r="AQ312" s="919"/>
      <c r="AV312" s="565"/>
      <c r="AW312" s="564" t="str">
        <f t="shared" si="27"/>
        <v>Atrazine, Gravity</v>
      </c>
      <c r="AX312" s="564" t="b">
        <f t="shared" si="32"/>
        <v>0</v>
      </c>
      <c r="AY312" s="563" t="b">
        <f t="array" ref="AY312">AND(D312:G312=inp_used_minimal,A312=inp_used_usersel)</f>
        <v>0</v>
      </c>
      <c r="AZ312" s="563" t="b">
        <f t="array" ref="AZ312">AND(A312=inp_used_usersel,D312:R312=inp_used_nonvessel1,AB312:AV312=inp_used_nonvessel2,IF(B312=1,inp_used_pressure=inp_autosize_pressure,inp_used_gravity=inp_autosize_gravity))</f>
        <v>0</v>
      </c>
      <c r="BA312" s="563" t="b">
        <f t="array" ref="BA312">AND(D312:AV312=inp_used,A312=inp_used_usersel)</f>
        <v>0</v>
      </c>
    </row>
    <row r="313" spans="1:55" s="523" customFormat="1">
      <c r="A313" s="523">
        <v>20</v>
      </c>
      <c r="B313" s="523">
        <v>1</v>
      </c>
      <c r="C313" s="523">
        <v>1</v>
      </c>
      <c r="D313" s="917">
        <v>0.03</v>
      </c>
      <c r="E313" s="523" t="s">
        <v>188</v>
      </c>
      <c r="F313" s="414">
        <v>7.0000000000000001E-3</v>
      </c>
      <c r="G313" s="523" t="s">
        <v>188</v>
      </c>
      <c r="H313" s="917" t="s">
        <v>3304</v>
      </c>
      <c r="I313" s="523" t="s">
        <v>398</v>
      </c>
      <c r="J313" s="414">
        <v>24</v>
      </c>
      <c r="N313" s="917" t="s">
        <v>194</v>
      </c>
      <c r="O313" s="414">
        <v>30</v>
      </c>
      <c r="R313" s="917">
        <v>3</v>
      </c>
      <c r="S313" s="523" t="s">
        <v>3491</v>
      </c>
      <c r="T313" s="559"/>
      <c r="V313" s="559"/>
      <c r="W313" s="560"/>
      <c r="X313" s="559"/>
      <c r="Y313" s="559"/>
      <c r="Z313" s="559"/>
      <c r="AA313" s="559"/>
      <c r="AB313" s="917">
        <v>168</v>
      </c>
      <c r="AC313" s="414" t="s">
        <v>2060</v>
      </c>
      <c r="AD313" s="438" t="s">
        <v>497</v>
      </c>
      <c r="AE313" s="523" t="s">
        <v>499</v>
      </c>
      <c r="AF313" s="561"/>
      <c r="AG313" s="917"/>
      <c r="AH313" s="523">
        <v>0</v>
      </c>
      <c r="AI313" s="438"/>
      <c r="AJ313" s="414"/>
      <c r="AQ313" s="917"/>
      <c r="AV313" s="561"/>
      <c r="AW313" s="414" t="str">
        <f t="shared" si="27"/>
        <v>Radon, Pressure</v>
      </c>
      <c r="AX313" s="414" t="b">
        <f t="shared" si="32"/>
        <v>0</v>
      </c>
      <c r="AY313" s="523" t="b">
        <f t="array" ref="AY313">AND(D313:G313=inp_used_minimal,A313=inp_used_usersel)</f>
        <v>0</v>
      </c>
      <c r="AZ313" s="523" t="b">
        <f t="array" ref="AZ313">AND(A313=inp_used_usersel,D313:R313=inp_used_nonvessel1,AB313:AV313=inp_used_nonvessel2,IF(B313=1,inp_used_pressure=inp_autosize_pressure,inp_used_gravity=inp_autosize_gravity))</f>
        <v>0</v>
      </c>
      <c r="BA313" s="523" t="b">
        <f t="array" ref="BA313">AND(D313:AV313=inp_used,A313=inp_used_usersel)</f>
        <v>0</v>
      </c>
      <c r="BB313" s="523" t="b">
        <f t="shared" ref="BB313:BB320" si="33">CHOOSE(design_type,AX313,AX321)</f>
        <v>0</v>
      </c>
      <c r="BC313" s="523" t="b">
        <f t="shared" ref="BC313:BC320" si="34">CHOOSE(design_type,AY313,AY321)</f>
        <v>0</v>
      </c>
    </row>
    <row r="314" spans="1:55" s="523" customFormat="1">
      <c r="A314" s="523">
        <v>20</v>
      </c>
      <c r="B314" s="523">
        <v>1</v>
      </c>
      <c r="C314" s="523">
        <v>2</v>
      </c>
      <c r="D314" s="557">
        <v>0.124</v>
      </c>
      <c r="E314" s="523" t="s">
        <v>188</v>
      </c>
      <c r="F314" s="414">
        <v>3.5000000000000003E-2</v>
      </c>
      <c r="G314" s="523" t="s">
        <v>188</v>
      </c>
      <c r="H314" s="557" t="s">
        <v>3304</v>
      </c>
      <c r="I314" s="523" t="s">
        <v>398</v>
      </c>
      <c r="J314" s="414">
        <v>24</v>
      </c>
      <c r="N314" s="557" t="s">
        <v>194</v>
      </c>
      <c r="O314" s="414">
        <v>30</v>
      </c>
      <c r="R314" s="557">
        <v>3</v>
      </c>
      <c r="S314" s="523" t="s">
        <v>3491</v>
      </c>
      <c r="T314" s="559"/>
      <c r="V314" s="559"/>
      <c r="W314" s="560"/>
      <c r="X314" s="559"/>
      <c r="Y314" s="559"/>
      <c r="Z314" s="559"/>
      <c r="AA314" s="559"/>
      <c r="AB314" s="557">
        <v>168</v>
      </c>
      <c r="AC314" s="414" t="s">
        <v>2060</v>
      </c>
      <c r="AD314" s="438" t="s">
        <v>498</v>
      </c>
      <c r="AE314" s="523" t="s">
        <v>499</v>
      </c>
      <c r="AF314" s="562" t="s">
        <v>500</v>
      </c>
      <c r="AG314" s="557"/>
      <c r="AH314" s="523">
        <v>0</v>
      </c>
      <c r="AI314" s="438"/>
      <c r="AJ314" s="414"/>
      <c r="AQ314" s="557"/>
      <c r="AV314" s="561"/>
      <c r="AW314" s="414" t="str">
        <f t="shared" si="27"/>
        <v>Radon, Pressure</v>
      </c>
      <c r="AX314" s="414" t="b">
        <f t="shared" si="32"/>
        <v>0</v>
      </c>
      <c r="AY314" s="523" t="b">
        <f t="array" ref="AY314">AND(D314:G314=inp_used_minimal,A314=inp_used_usersel)</f>
        <v>0</v>
      </c>
      <c r="AZ314" s="523" t="b">
        <f t="array" ref="AZ314">AND(A314=inp_used_usersel,D314:R314=inp_used_nonvessel1,AB314:AV314=inp_used_nonvessel2,IF(B314=1,inp_used_pressure=inp_autosize_pressure,inp_used_gravity=inp_autosize_gravity))</f>
        <v>0</v>
      </c>
      <c r="BA314" s="523" t="b">
        <f t="array" ref="BA314">AND(D314:AV314=inp_used,A314=inp_used_usersel)</f>
        <v>0</v>
      </c>
      <c r="BB314" s="523" t="b">
        <f t="shared" si="33"/>
        <v>0</v>
      </c>
      <c r="BC314" s="523" t="b">
        <f t="shared" si="34"/>
        <v>0</v>
      </c>
    </row>
    <row r="315" spans="1:55" s="523" customFormat="1">
      <c r="A315" s="523">
        <v>20</v>
      </c>
      <c r="B315" s="523">
        <v>1</v>
      </c>
      <c r="C315" s="523">
        <v>3</v>
      </c>
      <c r="D315" s="557">
        <v>0.30499999999999999</v>
      </c>
      <c r="E315" s="523" t="s">
        <v>188</v>
      </c>
      <c r="F315" s="414">
        <v>9.4E-2</v>
      </c>
      <c r="G315" s="523" t="s">
        <v>188</v>
      </c>
      <c r="H315" s="557" t="s">
        <v>3304</v>
      </c>
      <c r="I315" s="523" t="s">
        <v>398</v>
      </c>
      <c r="J315" s="414">
        <v>24</v>
      </c>
      <c r="N315" s="557" t="s">
        <v>194</v>
      </c>
      <c r="O315" s="414">
        <v>30</v>
      </c>
      <c r="R315" s="557">
        <v>3</v>
      </c>
      <c r="S315" s="523" t="s">
        <v>3491</v>
      </c>
      <c r="T315" s="559"/>
      <c r="V315" s="559"/>
      <c r="W315" s="560"/>
      <c r="X315" s="559"/>
      <c r="Y315" s="559"/>
      <c r="Z315" s="559"/>
      <c r="AA315" s="559"/>
      <c r="AB315" s="557">
        <v>168</v>
      </c>
      <c r="AC315" s="414" t="s">
        <v>2060</v>
      </c>
      <c r="AD315" s="438" t="s">
        <v>498</v>
      </c>
      <c r="AE315" s="523" t="s">
        <v>2615</v>
      </c>
      <c r="AF315" s="562" t="s">
        <v>500</v>
      </c>
      <c r="AG315" s="557"/>
      <c r="AH315" s="523">
        <v>0</v>
      </c>
      <c r="AI315" s="438"/>
      <c r="AJ315" s="414"/>
      <c r="AQ315" s="557"/>
      <c r="AV315" s="561"/>
      <c r="AW315" s="414" t="str">
        <f t="shared" si="27"/>
        <v>Radon, Pressure</v>
      </c>
      <c r="AX315" s="414" t="b">
        <f t="shared" si="32"/>
        <v>0</v>
      </c>
      <c r="AY315" s="523" t="b">
        <f t="array" ref="AY315">AND(D315:G315=inp_used_minimal,A315=inp_used_usersel)</f>
        <v>0</v>
      </c>
      <c r="AZ315" s="523" t="b">
        <f t="array" ref="AZ315">AND(A315=inp_used_usersel,D315:R315=inp_used_nonvessel1,AB315:AV315=inp_used_nonvessel2,IF(B315=1,inp_used_pressure=inp_autosize_pressure,inp_used_gravity=inp_autosize_gravity))</f>
        <v>0</v>
      </c>
      <c r="BA315" s="523" t="b">
        <f t="array" ref="BA315">AND(D315:AV315=inp_used,A315=inp_used_usersel)</f>
        <v>0</v>
      </c>
      <c r="BB315" s="523" t="b">
        <f t="shared" si="33"/>
        <v>0</v>
      </c>
      <c r="BC315" s="523" t="b">
        <f t="shared" si="34"/>
        <v>0</v>
      </c>
    </row>
    <row r="316" spans="1:55" s="523" customFormat="1">
      <c r="A316" s="523">
        <v>20</v>
      </c>
      <c r="B316" s="523">
        <v>1</v>
      </c>
      <c r="C316" s="523">
        <v>4</v>
      </c>
      <c r="D316" s="557">
        <v>0.74</v>
      </c>
      <c r="E316" s="523" t="s">
        <v>188</v>
      </c>
      <c r="F316" s="414">
        <v>0.251</v>
      </c>
      <c r="G316" s="523" t="s">
        <v>188</v>
      </c>
      <c r="H316" s="557" t="s">
        <v>3304</v>
      </c>
      <c r="I316" s="523" t="s">
        <v>398</v>
      </c>
      <c r="J316" s="414">
        <v>24</v>
      </c>
      <c r="N316" s="557" t="s">
        <v>194</v>
      </c>
      <c r="O316" s="414">
        <v>30</v>
      </c>
      <c r="R316" s="557">
        <v>3</v>
      </c>
      <c r="S316" s="523" t="s">
        <v>3491</v>
      </c>
      <c r="T316" s="559"/>
      <c r="V316" s="559"/>
      <c r="W316" s="560"/>
      <c r="X316" s="559"/>
      <c r="Y316" s="559"/>
      <c r="Z316" s="559"/>
      <c r="AA316" s="559"/>
      <c r="AB316" s="557">
        <v>168</v>
      </c>
      <c r="AC316" s="414" t="s">
        <v>2060</v>
      </c>
      <c r="AD316" s="438" t="s">
        <v>498</v>
      </c>
      <c r="AE316" s="523" t="s">
        <v>2615</v>
      </c>
      <c r="AF316" s="562" t="s">
        <v>500</v>
      </c>
      <c r="AG316" s="557"/>
      <c r="AH316" s="523">
        <v>0</v>
      </c>
      <c r="AI316" s="438"/>
      <c r="AJ316" s="414"/>
      <c r="AQ316" s="557"/>
      <c r="AV316" s="561"/>
      <c r="AW316" s="414" t="str">
        <f t="shared" si="27"/>
        <v>Radon, Pressure</v>
      </c>
      <c r="AX316" s="414" t="b">
        <f t="shared" si="32"/>
        <v>0</v>
      </c>
      <c r="AY316" s="523" t="b">
        <f t="array" ref="AY316">AND(D316:G316=inp_used_minimal,A316=inp_used_usersel)</f>
        <v>0</v>
      </c>
      <c r="AZ316" s="523" t="b">
        <f t="array" ref="AZ316">AND(A316=inp_used_usersel,D316:R316=inp_used_nonvessel1,AB316:AV316=inp_used_nonvessel2,IF(B316=1,inp_used_pressure=inp_autosize_pressure,inp_used_gravity=inp_autosize_gravity))</f>
        <v>0</v>
      </c>
      <c r="BA316" s="523" t="b">
        <f t="array" ref="BA316">AND(D316:AV316=inp_used,A316=inp_used_usersel)</f>
        <v>0</v>
      </c>
      <c r="BB316" s="523" t="b">
        <f t="shared" si="33"/>
        <v>0</v>
      </c>
      <c r="BC316" s="523" t="b">
        <f t="shared" si="34"/>
        <v>0</v>
      </c>
    </row>
    <row r="317" spans="1:55" s="523" customFormat="1">
      <c r="A317" s="523">
        <v>20</v>
      </c>
      <c r="B317" s="523">
        <v>1</v>
      </c>
      <c r="C317" s="414">
        <v>5</v>
      </c>
      <c r="D317" s="529">
        <v>2.1520000000000001</v>
      </c>
      <c r="E317" s="523" t="s">
        <v>188</v>
      </c>
      <c r="F317" s="414">
        <v>0.81899999999999995</v>
      </c>
      <c r="G317" s="523" t="s">
        <v>188</v>
      </c>
      <c r="H317" s="557" t="s">
        <v>3304</v>
      </c>
      <c r="I317" s="523" t="s">
        <v>398</v>
      </c>
      <c r="J317" s="414">
        <v>24</v>
      </c>
      <c r="N317" s="557" t="s">
        <v>194</v>
      </c>
      <c r="O317" s="414">
        <v>30</v>
      </c>
      <c r="R317" s="557">
        <v>3</v>
      </c>
      <c r="S317" s="523" t="s">
        <v>3491</v>
      </c>
      <c r="T317" s="559"/>
      <c r="V317" s="559"/>
      <c r="W317" s="560"/>
      <c r="X317" s="559"/>
      <c r="Y317" s="559"/>
      <c r="Z317" s="559"/>
      <c r="AA317" s="559"/>
      <c r="AB317" s="557">
        <v>168</v>
      </c>
      <c r="AC317" s="414" t="s">
        <v>2060</v>
      </c>
      <c r="AD317" s="438" t="s">
        <v>498</v>
      </c>
      <c r="AE317" s="523" t="s">
        <v>2615</v>
      </c>
      <c r="AF317" s="562" t="s">
        <v>500</v>
      </c>
      <c r="AG317" s="557"/>
      <c r="AH317" s="523">
        <v>0</v>
      </c>
      <c r="AI317" s="438"/>
      <c r="AJ317" s="414"/>
      <c r="AQ317" s="557"/>
      <c r="AV317" s="561"/>
      <c r="AW317" s="414" t="str">
        <f t="shared" si="27"/>
        <v>Radon, Pressure</v>
      </c>
      <c r="AX317" s="414" t="b">
        <f t="shared" si="32"/>
        <v>0</v>
      </c>
      <c r="AY317" s="523" t="b">
        <f t="array" ref="AY317">AND(D317:G317=inp_used_minimal,A317=inp_used_usersel)</f>
        <v>0</v>
      </c>
      <c r="AZ317" s="523" t="b">
        <f t="array" ref="AZ317">AND(A317=inp_used_usersel,D317:R317=inp_used_nonvessel1,AB317:AV317=inp_used_nonvessel2,IF(B317=1,inp_used_pressure=inp_autosize_pressure,inp_used_gravity=inp_autosize_gravity))</f>
        <v>0</v>
      </c>
      <c r="BA317" s="523" t="b">
        <f t="array" ref="BA317">AND(D317:AV317=inp_used,A317=inp_used_usersel)</f>
        <v>0</v>
      </c>
      <c r="BB317" s="523" t="b">
        <f t="shared" si="33"/>
        <v>0</v>
      </c>
      <c r="BC317" s="523" t="b">
        <f t="shared" si="34"/>
        <v>0</v>
      </c>
    </row>
    <row r="318" spans="1:55" s="523" customFormat="1">
      <c r="A318" s="523">
        <v>20</v>
      </c>
      <c r="B318" s="523">
        <v>1</v>
      </c>
      <c r="C318" s="414">
        <v>6</v>
      </c>
      <c r="D318" s="529">
        <v>7.3650000000000002</v>
      </c>
      <c r="E318" s="523" t="s">
        <v>188</v>
      </c>
      <c r="F318" s="414">
        <v>3.2</v>
      </c>
      <c r="G318" s="523" t="s">
        <v>188</v>
      </c>
      <c r="H318" s="557" t="s">
        <v>3304</v>
      </c>
      <c r="I318" s="523" t="s">
        <v>398</v>
      </c>
      <c r="J318" s="414">
        <v>24</v>
      </c>
      <c r="N318" s="557" t="s">
        <v>194</v>
      </c>
      <c r="O318" s="414">
        <v>30</v>
      </c>
      <c r="R318" s="557">
        <v>3</v>
      </c>
      <c r="S318" s="523" t="s">
        <v>3491</v>
      </c>
      <c r="T318" s="559"/>
      <c r="V318" s="559"/>
      <c r="W318" s="560"/>
      <c r="X318" s="559"/>
      <c r="Y318" s="559"/>
      <c r="Z318" s="559"/>
      <c r="AA318" s="559"/>
      <c r="AB318" s="557">
        <v>168</v>
      </c>
      <c r="AC318" s="414" t="s">
        <v>2060</v>
      </c>
      <c r="AD318" s="438" t="s">
        <v>498</v>
      </c>
      <c r="AE318" s="523" t="s">
        <v>2615</v>
      </c>
      <c r="AF318" s="562" t="s">
        <v>500</v>
      </c>
      <c r="AG318" s="557"/>
      <c r="AH318" s="523">
        <v>0</v>
      </c>
      <c r="AI318" s="438"/>
      <c r="AJ318" s="414"/>
      <c r="AQ318" s="557"/>
      <c r="AV318" s="561"/>
      <c r="AW318" s="414" t="str">
        <f t="shared" si="27"/>
        <v>Radon, Pressure</v>
      </c>
      <c r="AX318" s="414" t="b">
        <f t="shared" si="32"/>
        <v>0</v>
      </c>
      <c r="AY318" s="523" t="b">
        <f t="array" ref="AY318">AND(D318:G318=inp_used_minimal,A318=inp_used_usersel)</f>
        <v>0</v>
      </c>
      <c r="AZ318" s="523" t="b">
        <f t="array" ref="AZ318">AND(A318=inp_used_usersel,D318:R318=inp_used_nonvessel1,AB318:AV318=inp_used_nonvessel2,IF(B318=1,inp_used_pressure=inp_autosize_pressure,inp_used_gravity=inp_autosize_gravity))</f>
        <v>0</v>
      </c>
      <c r="BA318" s="523" t="b">
        <f t="array" ref="BA318">AND(D318:AV318=inp_used,A318=inp_used_usersel)</f>
        <v>0</v>
      </c>
      <c r="BB318" s="523" t="b">
        <f t="shared" si="33"/>
        <v>0</v>
      </c>
      <c r="BC318" s="523" t="b">
        <f t="shared" si="34"/>
        <v>0</v>
      </c>
    </row>
    <row r="319" spans="1:55" s="523" customFormat="1">
      <c r="A319" s="523">
        <v>20</v>
      </c>
      <c r="B319" s="523">
        <v>1</v>
      </c>
      <c r="C319" s="414">
        <v>7</v>
      </c>
      <c r="D319" s="529">
        <v>22.614000000000001</v>
      </c>
      <c r="E319" s="523" t="s">
        <v>188</v>
      </c>
      <c r="F319" s="414">
        <v>11.066000000000001</v>
      </c>
      <c r="G319" s="523" t="s">
        <v>188</v>
      </c>
      <c r="H319" s="557" t="s">
        <v>3304</v>
      </c>
      <c r="I319" s="523" t="s">
        <v>398</v>
      </c>
      <c r="J319" s="414">
        <v>24</v>
      </c>
      <c r="N319" s="557" t="s">
        <v>194</v>
      </c>
      <c r="O319" s="414">
        <v>30</v>
      </c>
      <c r="R319" s="557">
        <v>3</v>
      </c>
      <c r="S319" s="523" t="s">
        <v>3491</v>
      </c>
      <c r="T319" s="559"/>
      <c r="V319" s="559"/>
      <c r="W319" s="560"/>
      <c r="X319" s="559"/>
      <c r="Y319" s="559"/>
      <c r="Z319" s="559"/>
      <c r="AA319" s="559"/>
      <c r="AB319" s="557">
        <v>168</v>
      </c>
      <c r="AC319" s="414" t="s">
        <v>2060</v>
      </c>
      <c r="AD319" s="438" t="s">
        <v>498</v>
      </c>
      <c r="AE319" s="523" t="s">
        <v>2615</v>
      </c>
      <c r="AF319" s="562" t="s">
        <v>500</v>
      </c>
      <c r="AG319" s="557"/>
      <c r="AH319" s="523">
        <v>0</v>
      </c>
      <c r="AI319" s="438"/>
      <c r="AJ319" s="414"/>
      <c r="AQ319" s="557"/>
      <c r="AV319" s="561"/>
      <c r="AW319" s="414" t="str">
        <f t="shared" si="27"/>
        <v>Radon, Pressure</v>
      </c>
      <c r="AX319" s="414" t="b">
        <f t="shared" si="32"/>
        <v>0</v>
      </c>
      <c r="AY319" s="523" t="b">
        <f t="array" ref="AY319">AND(D319:G319=inp_used_minimal,A319=inp_used_usersel)</f>
        <v>0</v>
      </c>
      <c r="AZ319" s="523" t="b">
        <f t="array" ref="AZ319">AND(A319=inp_used_usersel,D319:R319=inp_used_nonvessel1,AB319:AV319=inp_used_nonvessel2,IF(B319=1,inp_used_pressure=inp_autosize_pressure,inp_used_gravity=inp_autosize_gravity))</f>
        <v>0</v>
      </c>
      <c r="BA319" s="523" t="b">
        <f t="array" ref="BA319">AND(D319:AV319=inp_used,A319=inp_used_usersel)</f>
        <v>0</v>
      </c>
      <c r="BB319" s="523" t="b">
        <f t="shared" si="33"/>
        <v>0</v>
      </c>
      <c r="BC319" s="523" t="b">
        <f t="shared" si="34"/>
        <v>0</v>
      </c>
    </row>
    <row r="320" spans="1:55" s="563" customFormat="1">
      <c r="A320" s="563">
        <v>20</v>
      </c>
      <c r="B320" s="563">
        <v>1</v>
      </c>
      <c r="C320" s="564">
        <v>8</v>
      </c>
      <c r="D320" s="918">
        <v>75.072000000000003</v>
      </c>
      <c r="E320" s="563" t="s">
        <v>188</v>
      </c>
      <c r="F320" s="564">
        <v>37.536000000000001</v>
      </c>
      <c r="G320" s="563" t="s">
        <v>188</v>
      </c>
      <c r="H320" s="919" t="s">
        <v>3304</v>
      </c>
      <c r="I320" s="563" t="s">
        <v>398</v>
      </c>
      <c r="J320" s="564">
        <v>24</v>
      </c>
      <c r="M320" s="565"/>
      <c r="N320" s="919" t="s">
        <v>194</v>
      </c>
      <c r="O320" s="564">
        <v>30</v>
      </c>
      <c r="Q320" s="565"/>
      <c r="R320" s="919">
        <v>3</v>
      </c>
      <c r="S320" s="563" t="s">
        <v>3491</v>
      </c>
      <c r="T320" s="566"/>
      <c r="V320" s="566"/>
      <c r="W320" s="567"/>
      <c r="X320" s="566"/>
      <c r="Y320" s="566"/>
      <c r="Z320" s="566"/>
      <c r="AA320" s="567"/>
      <c r="AB320" s="919">
        <v>168</v>
      </c>
      <c r="AC320" s="564" t="s">
        <v>2060</v>
      </c>
      <c r="AD320" s="568" t="s">
        <v>498</v>
      </c>
      <c r="AE320" s="563" t="s">
        <v>2615</v>
      </c>
      <c r="AF320" s="554" t="s">
        <v>500</v>
      </c>
      <c r="AG320" s="919"/>
      <c r="AH320" s="563">
        <v>0</v>
      </c>
      <c r="AI320" s="568"/>
      <c r="AJ320" s="564"/>
      <c r="AP320" s="565"/>
      <c r="AQ320" s="919"/>
      <c r="AV320" s="565"/>
      <c r="AW320" s="564" t="str">
        <f t="shared" si="27"/>
        <v>Radon, Pressure</v>
      </c>
      <c r="AX320" s="564" t="b">
        <f t="shared" si="32"/>
        <v>0</v>
      </c>
      <c r="AY320" s="563" t="b">
        <f t="array" ref="AY320">AND(D320:G320=inp_used_minimal,A320=inp_used_usersel)</f>
        <v>0</v>
      </c>
      <c r="AZ320" s="563" t="b">
        <f t="array" ref="AZ320">AND(A320=inp_used_usersel,D320:R320=inp_used_nonvessel1,AB320:AV320=inp_used_nonvessel2,IF(B320=1,inp_used_pressure=inp_autosize_pressure,inp_used_gravity=inp_autosize_gravity))</f>
        <v>0</v>
      </c>
      <c r="BA320" s="563" t="b">
        <f t="array" ref="BA320">AND(D320:AV320=inp_used,A320=inp_used_usersel)</f>
        <v>0</v>
      </c>
      <c r="BB320" s="563" t="b">
        <f t="shared" si="33"/>
        <v>0</v>
      </c>
      <c r="BC320" s="563" t="b">
        <f t="shared" si="34"/>
        <v>0</v>
      </c>
    </row>
    <row r="321" spans="1:55" s="523" customFormat="1">
      <c r="A321" s="523">
        <v>20</v>
      </c>
      <c r="B321" s="523">
        <v>2</v>
      </c>
      <c r="C321" s="523">
        <v>1</v>
      </c>
      <c r="D321" s="917">
        <v>0.03</v>
      </c>
      <c r="E321" s="523" t="s">
        <v>188</v>
      </c>
      <c r="F321" s="414">
        <v>7.0000000000000001E-3</v>
      </c>
      <c r="G321" s="523" t="s">
        <v>188</v>
      </c>
      <c r="H321" s="917" t="s">
        <v>3304</v>
      </c>
      <c r="I321" s="523" t="s">
        <v>398</v>
      </c>
      <c r="J321" s="414">
        <v>24</v>
      </c>
      <c r="N321" s="917" t="s">
        <v>194</v>
      </c>
      <c r="O321" s="414">
        <v>30</v>
      </c>
      <c r="R321" s="917"/>
      <c r="T321" s="559"/>
      <c r="U321" s="559"/>
      <c r="V321" s="559"/>
      <c r="W321" s="560"/>
      <c r="X321" s="559" t="s">
        <v>3491</v>
      </c>
      <c r="Y321" s="414"/>
      <c r="Z321" s="414"/>
      <c r="AA321" s="414"/>
      <c r="AB321" s="917">
        <v>168</v>
      </c>
      <c r="AC321" s="414" t="s">
        <v>2060</v>
      </c>
      <c r="AD321" s="414" t="s">
        <v>2875</v>
      </c>
      <c r="AE321" s="523" t="s">
        <v>499</v>
      </c>
      <c r="AF321" s="414" t="s">
        <v>500</v>
      </c>
      <c r="AG321" s="917"/>
      <c r="AI321" s="438"/>
      <c r="AJ321" s="414"/>
      <c r="AQ321" s="917"/>
      <c r="AV321" s="561"/>
      <c r="AW321" s="414" t="str">
        <f t="shared" si="27"/>
        <v>Radon, Gravity</v>
      </c>
      <c r="AX321" s="414" t="b">
        <f t="shared" si="32"/>
        <v>0</v>
      </c>
      <c r="AY321" s="523" t="b">
        <f t="array" ref="AY321">AND(D321:G321=inp_used_minimal,A321=inp_used_usersel)</f>
        <v>0</v>
      </c>
      <c r="AZ321" s="523" t="b">
        <f t="array" ref="AZ321">AND(A321=inp_used_usersel,D321:R321=inp_used_nonvessel1,AB321:AV321=inp_used_nonvessel2,IF(B321=1,inp_used_pressure=inp_autosize_pressure,inp_used_gravity=inp_autosize_gravity))</f>
        <v>0</v>
      </c>
      <c r="BA321" s="523" t="b">
        <f t="array" ref="BA321">AND(D321:AV321=inp_used,A321=inp_used_usersel)</f>
        <v>0</v>
      </c>
    </row>
    <row r="322" spans="1:55" s="523" customFormat="1">
      <c r="A322" s="523">
        <v>20</v>
      </c>
      <c r="B322" s="523">
        <v>2</v>
      </c>
      <c r="C322" s="523">
        <v>2</v>
      </c>
      <c r="D322" s="557">
        <v>0.124</v>
      </c>
      <c r="E322" s="523" t="s">
        <v>188</v>
      </c>
      <c r="F322" s="414">
        <v>3.5000000000000003E-2</v>
      </c>
      <c r="G322" s="523" t="s">
        <v>188</v>
      </c>
      <c r="H322" s="557" t="s">
        <v>3304</v>
      </c>
      <c r="I322" s="523" t="s">
        <v>398</v>
      </c>
      <c r="J322" s="414">
        <v>24</v>
      </c>
      <c r="N322" s="557" t="s">
        <v>194</v>
      </c>
      <c r="O322" s="414">
        <v>30</v>
      </c>
      <c r="R322" s="557"/>
      <c r="T322" s="559"/>
      <c r="U322" s="559"/>
      <c r="V322" s="559"/>
      <c r="W322" s="560"/>
      <c r="X322" s="559" t="s">
        <v>3491</v>
      </c>
      <c r="Y322" s="414"/>
      <c r="Z322" s="414"/>
      <c r="AA322" s="414"/>
      <c r="AB322" s="557">
        <v>168</v>
      </c>
      <c r="AC322" s="414" t="s">
        <v>2060</v>
      </c>
      <c r="AD322" s="414" t="s">
        <v>2875</v>
      </c>
      <c r="AE322" s="523" t="s">
        <v>499</v>
      </c>
      <c r="AF322" s="414" t="s">
        <v>500</v>
      </c>
      <c r="AG322" s="557"/>
      <c r="AI322" s="438"/>
      <c r="AJ322" s="414"/>
      <c r="AQ322" s="557"/>
      <c r="AV322" s="561"/>
      <c r="AW322" s="414" t="str">
        <f t="shared" si="27"/>
        <v>Radon, Gravity</v>
      </c>
      <c r="AX322" s="414" t="b">
        <f t="shared" si="32"/>
        <v>0</v>
      </c>
      <c r="AY322" s="523" t="b">
        <f t="array" ref="AY322">AND(D322:G322=inp_used_minimal,A322=inp_used_usersel)</f>
        <v>0</v>
      </c>
      <c r="AZ322" s="523" t="b">
        <f t="array" ref="AZ322">AND(A322=inp_used_usersel,D322:R322=inp_used_nonvessel1,AB322:AV322=inp_used_nonvessel2,IF(B322=1,inp_used_pressure=inp_autosize_pressure,inp_used_gravity=inp_autosize_gravity))</f>
        <v>0</v>
      </c>
      <c r="BA322" s="523" t="b">
        <f t="array" ref="BA322">AND(D322:AV322=inp_used,A322=inp_used_usersel)</f>
        <v>0</v>
      </c>
    </row>
    <row r="323" spans="1:55" s="523" customFormat="1">
      <c r="A323" s="523">
        <v>20</v>
      </c>
      <c r="B323" s="523">
        <v>2</v>
      </c>
      <c r="C323" s="523">
        <v>3</v>
      </c>
      <c r="D323" s="557">
        <v>0.30499999999999999</v>
      </c>
      <c r="E323" s="523" t="s">
        <v>188</v>
      </c>
      <c r="F323" s="414">
        <v>9.4E-2</v>
      </c>
      <c r="G323" s="523" t="s">
        <v>188</v>
      </c>
      <c r="H323" s="557" t="s">
        <v>3304</v>
      </c>
      <c r="I323" s="523" t="s">
        <v>398</v>
      </c>
      <c r="J323" s="414">
        <v>24</v>
      </c>
      <c r="N323" s="557" t="s">
        <v>194</v>
      </c>
      <c r="O323" s="414">
        <v>30</v>
      </c>
      <c r="R323" s="557"/>
      <c r="T323" s="559"/>
      <c r="U323" s="559"/>
      <c r="V323" s="559"/>
      <c r="W323" s="560"/>
      <c r="X323" s="559" t="s">
        <v>3491</v>
      </c>
      <c r="Y323" s="414"/>
      <c r="Z323" s="414"/>
      <c r="AA323" s="414"/>
      <c r="AB323" s="557">
        <v>168</v>
      </c>
      <c r="AC323" s="414" t="s">
        <v>2060</v>
      </c>
      <c r="AD323" s="414" t="s">
        <v>2875</v>
      </c>
      <c r="AE323" s="523" t="s">
        <v>2615</v>
      </c>
      <c r="AF323" s="414" t="s">
        <v>500</v>
      </c>
      <c r="AG323" s="557"/>
      <c r="AI323" s="438"/>
      <c r="AJ323" s="414"/>
      <c r="AQ323" s="557"/>
      <c r="AV323" s="561"/>
      <c r="AW323" s="414" t="str">
        <f t="shared" si="27"/>
        <v>Radon, Gravity</v>
      </c>
      <c r="AX323" s="414" t="b">
        <f t="shared" si="32"/>
        <v>0</v>
      </c>
      <c r="AY323" s="523" t="b">
        <f t="array" ref="AY323">AND(D323:G323=inp_used_minimal,A323=inp_used_usersel)</f>
        <v>0</v>
      </c>
      <c r="AZ323" s="523" t="b">
        <f t="array" ref="AZ323">AND(A323=inp_used_usersel,D323:R323=inp_used_nonvessel1,AB323:AV323=inp_used_nonvessel2,IF(B323=1,inp_used_pressure=inp_autosize_pressure,inp_used_gravity=inp_autosize_gravity))</f>
        <v>0</v>
      </c>
      <c r="BA323" s="523" t="b">
        <f t="array" ref="BA323">AND(D323:AV323=inp_used,A323=inp_used_usersel)</f>
        <v>0</v>
      </c>
    </row>
    <row r="324" spans="1:55" s="523" customFormat="1">
      <c r="A324" s="523">
        <v>20</v>
      </c>
      <c r="B324" s="523">
        <v>2</v>
      </c>
      <c r="C324" s="523">
        <v>4</v>
      </c>
      <c r="D324" s="557">
        <v>0.74</v>
      </c>
      <c r="E324" s="523" t="s">
        <v>188</v>
      </c>
      <c r="F324" s="414">
        <v>0.251</v>
      </c>
      <c r="G324" s="523" t="s">
        <v>188</v>
      </c>
      <c r="H324" s="557" t="s">
        <v>3304</v>
      </c>
      <c r="I324" s="523" t="s">
        <v>398</v>
      </c>
      <c r="J324" s="414">
        <v>24</v>
      </c>
      <c r="N324" s="557" t="s">
        <v>194</v>
      </c>
      <c r="O324" s="414">
        <v>30</v>
      </c>
      <c r="R324" s="557"/>
      <c r="T324" s="559"/>
      <c r="U324" s="559"/>
      <c r="V324" s="559"/>
      <c r="W324" s="560"/>
      <c r="X324" s="559" t="s">
        <v>3491</v>
      </c>
      <c r="Y324" s="414"/>
      <c r="Z324" s="414"/>
      <c r="AA324" s="414"/>
      <c r="AB324" s="557">
        <v>168</v>
      </c>
      <c r="AC324" s="414" t="s">
        <v>2060</v>
      </c>
      <c r="AD324" s="414" t="s">
        <v>2875</v>
      </c>
      <c r="AE324" s="523" t="s">
        <v>2615</v>
      </c>
      <c r="AF324" s="414" t="s">
        <v>500</v>
      </c>
      <c r="AG324" s="557"/>
      <c r="AI324" s="438"/>
      <c r="AJ324" s="414"/>
      <c r="AQ324" s="557"/>
      <c r="AV324" s="561"/>
      <c r="AW324" s="414" t="str">
        <f t="shared" si="27"/>
        <v>Radon, Gravity</v>
      </c>
      <c r="AX324" s="414" t="b">
        <f t="shared" si="32"/>
        <v>0</v>
      </c>
      <c r="AY324" s="523" t="b">
        <f t="array" ref="AY324">AND(D324:G324=inp_used_minimal,A324=inp_used_usersel)</f>
        <v>0</v>
      </c>
      <c r="AZ324" s="523" t="b">
        <f t="array" ref="AZ324">AND(A324=inp_used_usersel,D324:R324=inp_used_nonvessel1,AB324:AV324=inp_used_nonvessel2,IF(B324=1,inp_used_pressure=inp_autosize_pressure,inp_used_gravity=inp_autosize_gravity))</f>
        <v>0</v>
      </c>
      <c r="BA324" s="523" t="b">
        <f t="array" ref="BA324">AND(D324:AV324=inp_used,A324=inp_used_usersel)</f>
        <v>0</v>
      </c>
    </row>
    <row r="325" spans="1:55" s="523" customFormat="1">
      <c r="A325" s="523">
        <v>20</v>
      </c>
      <c r="B325" s="523">
        <v>2</v>
      </c>
      <c r="C325" s="414">
        <v>5</v>
      </c>
      <c r="D325" s="529">
        <v>2.1520000000000001</v>
      </c>
      <c r="E325" s="523" t="s">
        <v>188</v>
      </c>
      <c r="F325" s="414">
        <v>0.81899999999999995</v>
      </c>
      <c r="G325" s="523" t="s">
        <v>188</v>
      </c>
      <c r="H325" s="557" t="s">
        <v>3304</v>
      </c>
      <c r="I325" s="523" t="s">
        <v>398</v>
      </c>
      <c r="J325" s="414">
        <v>24</v>
      </c>
      <c r="N325" s="557" t="s">
        <v>194</v>
      </c>
      <c r="O325" s="414">
        <v>30</v>
      </c>
      <c r="R325" s="557"/>
      <c r="T325" s="559"/>
      <c r="U325" s="559"/>
      <c r="V325" s="559"/>
      <c r="W325" s="560"/>
      <c r="X325" s="559" t="s">
        <v>3491</v>
      </c>
      <c r="Y325" s="414"/>
      <c r="Z325" s="414"/>
      <c r="AA325" s="414"/>
      <c r="AB325" s="557">
        <v>168</v>
      </c>
      <c r="AC325" s="414" t="s">
        <v>2060</v>
      </c>
      <c r="AD325" s="414" t="s">
        <v>2875</v>
      </c>
      <c r="AE325" s="523" t="s">
        <v>2615</v>
      </c>
      <c r="AF325" s="414" t="s">
        <v>500</v>
      </c>
      <c r="AG325" s="557"/>
      <c r="AI325" s="438"/>
      <c r="AJ325" s="414"/>
      <c r="AQ325" s="557"/>
      <c r="AV325" s="561"/>
      <c r="AW325" s="414" t="str">
        <f t="shared" si="27"/>
        <v>Radon, Gravity</v>
      </c>
      <c r="AX325" s="414" t="b">
        <f t="shared" si="32"/>
        <v>0</v>
      </c>
      <c r="AY325" s="523" t="b">
        <f t="array" ref="AY325">AND(D325:G325=inp_used_minimal,A325=inp_used_usersel)</f>
        <v>0</v>
      </c>
      <c r="AZ325" s="523" t="b">
        <f t="array" ref="AZ325">AND(A325=inp_used_usersel,D325:R325=inp_used_nonvessel1,AB325:AV325=inp_used_nonvessel2,IF(B325=1,inp_used_pressure=inp_autosize_pressure,inp_used_gravity=inp_autosize_gravity))</f>
        <v>0</v>
      </c>
      <c r="BA325" s="523" t="b">
        <f t="array" ref="BA325">AND(D325:AV325=inp_used,A325=inp_used_usersel)</f>
        <v>0</v>
      </c>
    </row>
    <row r="326" spans="1:55" s="523" customFormat="1">
      <c r="A326" s="523">
        <v>20</v>
      </c>
      <c r="B326" s="523">
        <v>2</v>
      </c>
      <c r="C326" s="414">
        <v>6</v>
      </c>
      <c r="D326" s="529">
        <v>7.3650000000000002</v>
      </c>
      <c r="E326" s="523" t="s">
        <v>188</v>
      </c>
      <c r="F326" s="414">
        <v>3.2</v>
      </c>
      <c r="G326" s="523" t="s">
        <v>188</v>
      </c>
      <c r="H326" s="557" t="s">
        <v>3304</v>
      </c>
      <c r="I326" s="523" t="s">
        <v>398</v>
      </c>
      <c r="J326" s="414">
        <v>24</v>
      </c>
      <c r="N326" s="557" t="s">
        <v>194</v>
      </c>
      <c r="O326" s="414">
        <v>30</v>
      </c>
      <c r="R326" s="557"/>
      <c r="T326" s="559"/>
      <c r="U326" s="559"/>
      <c r="V326" s="559"/>
      <c r="W326" s="560"/>
      <c r="X326" s="559" t="s">
        <v>3491</v>
      </c>
      <c r="Y326" s="414"/>
      <c r="Z326" s="414"/>
      <c r="AA326" s="414"/>
      <c r="AB326" s="557">
        <v>168</v>
      </c>
      <c r="AC326" s="414" t="s">
        <v>2060</v>
      </c>
      <c r="AD326" s="414" t="s">
        <v>2875</v>
      </c>
      <c r="AE326" s="523" t="s">
        <v>2615</v>
      </c>
      <c r="AF326" s="414" t="s">
        <v>500</v>
      </c>
      <c r="AG326" s="557"/>
      <c r="AI326" s="438"/>
      <c r="AJ326" s="414"/>
      <c r="AQ326" s="557"/>
      <c r="AV326" s="561"/>
      <c r="AW326" s="414" t="str">
        <f t="shared" si="27"/>
        <v>Radon, Gravity</v>
      </c>
      <c r="AX326" s="414" t="b">
        <f t="shared" si="32"/>
        <v>0</v>
      </c>
      <c r="AY326" s="523" t="b">
        <f t="array" ref="AY326">AND(D326:G326=inp_used_minimal,A326=inp_used_usersel)</f>
        <v>0</v>
      </c>
      <c r="AZ326" s="523" t="b">
        <f t="array" ref="AZ326">AND(A326=inp_used_usersel,D326:R326=inp_used_nonvessel1,AB326:AV326=inp_used_nonvessel2,IF(B326=1,inp_used_pressure=inp_autosize_pressure,inp_used_gravity=inp_autosize_gravity))</f>
        <v>0</v>
      </c>
      <c r="BA326" s="523" t="b">
        <f t="array" ref="BA326">AND(D326:AV326=inp_used,A326=inp_used_usersel)</f>
        <v>0</v>
      </c>
    </row>
    <row r="327" spans="1:55" s="523" customFormat="1">
      <c r="A327" s="523">
        <v>20</v>
      </c>
      <c r="B327" s="523">
        <v>2</v>
      </c>
      <c r="C327" s="414">
        <v>7</v>
      </c>
      <c r="D327" s="529">
        <v>22.614000000000001</v>
      </c>
      <c r="E327" s="523" t="s">
        <v>188</v>
      </c>
      <c r="F327" s="414">
        <v>11.066000000000001</v>
      </c>
      <c r="G327" s="523" t="s">
        <v>188</v>
      </c>
      <c r="H327" s="557" t="s">
        <v>3304</v>
      </c>
      <c r="I327" s="523" t="s">
        <v>398</v>
      </c>
      <c r="J327" s="414">
        <v>24</v>
      </c>
      <c r="N327" s="557" t="s">
        <v>194</v>
      </c>
      <c r="O327" s="414">
        <v>30</v>
      </c>
      <c r="R327" s="557"/>
      <c r="T327" s="559"/>
      <c r="U327" s="559"/>
      <c r="V327" s="559"/>
      <c r="W327" s="560"/>
      <c r="X327" s="559" t="s">
        <v>3491</v>
      </c>
      <c r="Y327" s="414"/>
      <c r="Z327" s="414"/>
      <c r="AA327" s="414"/>
      <c r="AB327" s="557">
        <v>168</v>
      </c>
      <c r="AC327" s="414" t="s">
        <v>2060</v>
      </c>
      <c r="AD327" s="414" t="s">
        <v>2875</v>
      </c>
      <c r="AE327" s="523" t="s">
        <v>2615</v>
      </c>
      <c r="AF327" s="414" t="s">
        <v>500</v>
      </c>
      <c r="AG327" s="557"/>
      <c r="AI327" s="438"/>
      <c r="AJ327" s="414"/>
      <c r="AQ327" s="557"/>
      <c r="AV327" s="561"/>
      <c r="AW327" s="414" t="str">
        <f t="shared" si="27"/>
        <v>Radon, Gravity</v>
      </c>
      <c r="AX327" s="414" t="b">
        <f t="shared" si="32"/>
        <v>0</v>
      </c>
      <c r="AY327" s="523" t="b">
        <f t="array" ref="AY327">AND(D327:G327=inp_used_minimal,A327=inp_used_usersel)</f>
        <v>0</v>
      </c>
      <c r="AZ327" s="523" t="b">
        <f t="array" ref="AZ327">AND(A327=inp_used_usersel,D327:R327=inp_used_nonvessel1,AB327:AV327=inp_used_nonvessel2,IF(B327=1,inp_used_pressure=inp_autosize_pressure,inp_used_gravity=inp_autosize_gravity))</f>
        <v>0</v>
      </c>
      <c r="BA327" s="523" t="b">
        <f t="array" ref="BA327">AND(D327:AV327=inp_used,A327=inp_used_usersel)</f>
        <v>0</v>
      </c>
    </row>
    <row r="328" spans="1:55" s="563" customFormat="1">
      <c r="A328" s="563">
        <v>20</v>
      </c>
      <c r="B328" s="563">
        <v>2</v>
      </c>
      <c r="C328" s="564">
        <v>8</v>
      </c>
      <c r="D328" s="918">
        <v>75.072000000000003</v>
      </c>
      <c r="E328" s="563" t="s">
        <v>188</v>
      </c>
      <c r="F328" s="564">
        <v>37.536000000000001</v>
      </c>
      <c r="G328" s="563" t="s">
        <v>188</v>
      </c>
      <c r="H328" s="919" t="s">
        <v>3304</v>
      </c>
      <c r="I328" s="563" t="s">
        <v>398</v>
      </c>
      <c r="J328" s="564">
        <v>24</v>
      </c>
      <c r="M328" s="565"/>
      <c r="N328" s="919" t="s">
        <v>194</v>
      </c>
      <c r="O328" s="564">
        <v>30</v>
      </c>
      <c r="Q328" s="565"/>
      <c r="R328" s="919"/>
      <c r="T328" s="566"/>
      <c r="U328" s="566"/>
      <c r="V328" s="566"/>
      <c r="W328" s="567"/>
      <c r="X328" s="566" t="s">
        <v>3491</v>
      </c>
      <c r="Y328" s="564"/>
      <c r="Z328" s="564"/>
      <c r="AA328" s="554"/>
      <c r="AB328" s="919">
        <v>168</v>
      </c>
      <c r="AC328" s="564" t="s">
        <v>2060</v>
      </c>
      <c r="AD328" s="564" t="s">
        <v>2875</v>
      </c>
      <c r="AE328" s="563" t="s">
        <v>2615</v>
      </c>
      <c r="AF328" s="564" t="s">
        <v>500</v>
      </c>
      <c r="AG328" s="919"/>
      <c r="AI328" s="568"/>
      <c r="AJ328" s="564"/>
      <c r="AP328" s="565"/>
      <c r="AQ328" s="919"/>
      <c r="AV328" s="565"/>
      <c r="AW328" s="564" t="str">
        <f t="shared" si="27"/>
        <v>Radon, Gravity</v>
      </c>
      <c r="AX328" s="564" t="b">
        <f t="shared" si="32"/>
        <v>0</v>
      </c>
      <c r="AY328" s="563" t="b">
        <f t="array" ref="AY328">AND(D328:G328=inp_used_minimal,A328=inp_used_usersel)</f>
        <v>0</v>
      </c>
      <c r="AZ328" s="563" t="b">
        <f t="array" ref="AZ328">AND(A328=inp_used_usersel,D328:R328=inp_used_nonvessel1,AB328:AV328=inp_used_nonvessel2,IF(B328=1,inp_used_pressure=inp_autosize_pressure,inp_used_gravity=inp_autosize_gravity))</f>
        <v>0</v>
      </c>
      <c r="BA328" s="563" t="b">
        <f t="array" ref="BA328">AND(D328:AV328=inp_used,A328=inp_used_usersel)</f>
        <v>0</v>
      </c>
    </row>
    <row r="329" spans="1:55" s="523" customFormat="1">
      <c r="A329" s="523">
        <v>21</v>
      </c>
      <c r="B329" s="523">
        <v>1</v>
      </c>
      <c r="C329" s="523">
        <v>1</v>
      </c>
      <c r="D329" s="917">
        <v>0.03</v>
      </c>
      <c r="E329" s="523" t="s">
        <v>188</v>
      </c>
      <c r="F329" s="414">
        <v>7.0000000000000001E-3</v>
      </c>
      <c r="G329" s="523" t="s">
        <v>188</v>
      </c>
      <c r="H329" s="917" t="s">
        <v>3139</v>
      </c>
      <c r="I329" s="523" t="s">
        <v>398</v>
      </c>
      <c r="J329" s="414">
        <v>12</v>
      </c>
      <c r="M329" s="561"/>
      <c r="N329" s="917" t="s">
        <v>194</v>
      </c>
      <c r="O329" s="523">
        <v>4</v>
      </c>
      <c r="Q329" s="561"/>
      <c r="R329" s="917">
        <v>1</v>
      </c>
      <c r="S329" s="523" t="s">
        <v>3491</v>
      </c>
      <c r="T329" s="559"/>
      <c r="V329" s="559"/>
      <c r="W329" s="560"/>
      <c r="X329" s="559"/>
      <c r="Y329" s="559"/>
      <c r="Z329" s="559"/>
      <c r="AA329" s="559"/>
      <c r="AB329" s="917">
        <v>168</v>
      </c>
      <c r="AC329" s="414" t="s">
        <v>2060</v>
      </c>
      <c r="AD329" s="438" t="s">
        <v>1377</v>
      </c>
      <c r="AE329" s="523" t="s">
        <v>499</v>
      </c>
      <c r="AG329" s="917">
        <v>0</v>
      </c>
      <c r="AH329" s="523">
        <v>0</v>
      </c>
      <c r="AI329" s="438" t="s">
        <v>1799</v>
      </c>
      <c r="AJ329" s="414" t="s">
        <v>1800</v>
      </c>
      <c r="AK329" s="523" t="s">
        <v>1932</v>
      </c>
      <c r="AP329" s="523" t="s">
        <v>2174</v>
      </c>
      <c r="AQ329" s="917"/>
      <c r="AV329" s="561"/>
      <c r="AW329" s="414" t="str">
        <f t="shared" ref="AW329:AW360" si="35">IF(VLOOKUP(A329,contam_lookup,2,FALSE)="","",VLOOKUP(A329,contam_lookup,2,FALSE))&amp;", "&amp;IF(B329=1,"Pressure","Gravity")</f>
        <v>UVAOP Quench (Add-on), Pressure</v>
      </c>
      <c r="AX329" s="414" t="b">
        <f t="shared" si="32"/>
        <v>0</v>
      </c>
      <c r="AY329" s="523" t="b">
        <f t="array" ref="AY329">AND(D329:G329=inp_used_minimal,A329=inp_used_usersel)</f>
        <v>0</v>
      </c>
      <c r="AZ329" s="523" t="b">
        <f t="array" ref="AZ329">AND(A329=inp_used_usersel,D329:R329=inp_used_nonvessel1,AB329:AV329=inp_used_nonvessel2,IF(B329=1,inp_used_pressure=inp_autosize_pressure,inp_used_gravity=inp_autosize_gravity))</f>
        <v>0</v>
      </c>
      <c r="BA329" s="523" t="b">
        <f t="array" ref="BA329">AND(D329:AV329=inp_used,A329=inp_used_usersel)</f>
        <v>0</v>
      </c>
      <c r="BB329" s="523" t="b">
        <f t="shared" ref="BB329:BC336" si="36">CHOOSE(design_type,AX329,AX337)</f>
        <v>0</v>
      </c>
      <c r="BC329" s="523" t="b">
        <f t="shared" si="36"/>
        <v>0</v>
      </c>
    </row>
    <row r="330" spans="1:55" s="523" customFormat="1">
      <c r="A330" s="523">
        <v>21</v>
      </c>
      <c r="B330" s="523">
        <v>1</v>
      </c>
      <c r="C330" s="523">
        <v>2</v>
      </c>
      <c r="D330" s="557">
        <v>0.124</v>
      </c>
      <c r="E330" s="523" t="s">
        <v>188</v>
      </c>
      <c r="F330" s="414">
        <v>3.5000000000000003E-2</v>
      </c>
      <c r="G330" s="523" t="s">
        <v>188</v>
      </c>
      <c r="H330" s="557" t="s">
        <v>3139</v>
      </c>
      <c r="I330" s="523" t="s">
        <v>398</v>
      </c>
      <c r="J330" s="414">
        <v>12</v>
      </c>
      <c r="M330" s="561"/>
      <c r="N330" s="557" t="s">
        <v>194</v>
      </c>
      <c r="O330" s="523">
        <v>4</v>
      </c>
      <c r="Q330" s="561"/>
      <c r="R330" s="557">
        <v>1</v>
      </c>
      <c r="S330" s="523" t="s">
        <v>3491</v>
      </c>
      <c r="T330" s="559"/>
      <c r="V330" s="559"/>
      <c r="W330" s="560"/>
      <c r="X330" s="559"/>
      <c r="Y330" s="559"/>
      <c r="Z330" s="559"/>
      <c r="AA330" s="559"/>
      <c r="AB330" s="557">
        <v>168</v>
      </c>
      <c r="AC330" s="414" t="s">
        <v>2060</v>
      </c>
      <c r="AD330" s="438" t="s">
        <v>1377</v>
      </c>
      <c r="AE330" s="523" t="s">
        <v>499</v>
      </c>
      <c r="AF330" s="414"/>
      <c r="AG330" s="806">
        <v>0</v>
      </c>
      <c r="AH330" s="523">
        <v>0</v>
      </c>
      <c r="AI330" s="438" t="s">
        <v>1799</v>
      </c>
      <c r="AJ330" s="414" t="s">
        <v>1800</v>
      </c>
      <c r="AK330" s="523" t="s">
        <v>1932</v>
      </c>
      <c r="AP330" s="523" t="s">
        <v>2174</v>
      </c>
      <c r="AQ330" s="557"/>
      <c r="AV330" s="561"/>
      <c r="AW330" s="414" t="str">
        <f t="shared" si="35"/>
        <v>UVAOP Quench (Add-on), Pressure</v>
      </c>
      <c r="AX330" s="414" t="b">
        <f t="shared" si="32"/>
        <v>0</v>
      </c>
      <c r="AY330" s="523" t="b">
        <f t="array" ref="AY330">AND(D330:G330=inp_used_minimal,A330=inp_used_usersel)</f>
        <v>0</v>
      </c>
      <c r="AZ330" s="523" t="b">
        <f t="array" ref="AZ330">AND(A330=inp_used_usersel,D330:R330=inp_used_nonvessel1,AB330:AV330=inp_used_nonvessel2,IF(B330=1,inp_used_pressure=inp_autosize_pressure,inp_used_gravity=inp_autosize_gravity))</f>
        <v>0</v>
      </c>
      <c r="BA330" s="523" t="b">
        <f t="array" ref="BA330">AND(D330:AV330=inp_used,A330=inp_used_usersel)</f>
        <v>0</v>
      </c>
      <c r="BB330" s="523" t="b">
        <f t="shared" si="36"/>
        <v>0</v>
      </c>
      <c r="BC330" s="523" t="b">
        <f t="shared" si="36"/>
        <v>0</v>
      </c>
    </row>
    <row r="331" spans="1:55" s="523" customFormat="1">
      <c r="A331" s="523">
        <v>21</v>
      </c>
      <c r="B331" s="523">
        <v>1</v>
      </c>
      <c r="C331" s="523">
        <v>3</v>
      </c>
      <c r="D331" s="557">
        <v>0.30499999999999999</v>
      </c>
      <c r="E331" s="523" t="s">
        <v>188</v>
      </c>
      <c r="F331" s="414">
        <v>9.4E-2</v>
      </c>
      <c r="G331" s="523" t="s">
        <v>188</v>
      </c>
      <c r="H331" s="557" t="s">
        <v>3139</v>
      </c>
      <c r="I331" s="523" t="s">
        <v>398</v>
      </c>
      <c r="J331" s="414">
        <v>12</v>
      </c>
      <c r="M331" s="561"/>
      <c r="N331" s="557" t="s">
        <v>194</v>
      </c>
      <c r="O331" s="523">
        <v>4</v>
      </c>
      <c r="Q331" s="561"/>
      <c r="R331" s="557">
        <v>1</v>
      </c>
      <c r="S331" s="523" t="s">
        <v>3491</v>
      </c>
      <c r="T331" s="559"/>
      <c r="V331" s="559"/>
      <c r="W331" s="560"/>
      <c r="X331" s="559"/>
      <c r="Y331" s="559"/>
      <c r="Z331" s="559"/>
      <c r="AA331" s="559"/>
      <c r="AB331" s="557">
        <v>168</v>
      </c>
      <c r="AC331" s="414" t="s">
        <v>2060</v>
      </c>
      <c r="AD331" s="438" t="s">
        <v>1377</v>
      </c>
      <c r="AE331" s="523" t="s">
        <v>499</v>
      </c>
      <c r="AF331" s="414"/>
      <c r="AG331" s="806">
        <v>0</v>
      </c>
      <c r="AH331" s="523">
        <v>0</v>
      </c>
      <c r="AI331" s="438" t="s">
        <v>1799</v>
      </c>
      <c r="AJ331" s="414" t="s">
        <v>1800</v>
      </c>
      <c r="AK331" s="523" t="s">
        <v>1932</v>
      </c>
      <c r="AP331" s="523" t="s">
        <v>2174</v>
      </c>
      <c r="AQ331" s="557"/>
      <c r="AV331" s="561"/>
      <c r="AW331" s="414" t="str">
        <f t="shared" si="35"/>
        <v>UVAOP Quench (Add-on), Pressure</v>
      </c>
      <c r="AX331" s="414" t="b">
        <f t="shared" si="32"/>
        <v>0</v>
      </c>
      <c r="AY331" s="523" t="b">
        <f t="array" ref="AY331">AND(D331:G331=inp_used_minimal,A331=inp_used_usersel)</f>
        <v>0</v>
      </c>
      <c r="AZ331" s="523" t="b">
        <f t="array" ref="AZ331">AND(A331=inp_used_usersel,D331:R331=inp_used_nonvessel1,AB331:AV331=inp_used_nonvessel2,IF(B331=1,inp_used_pressure=inp_autosize_pressure,inp_used_gravity=inp_autosize_gravity))</f>
        <v>0</v>
      </c>
      <c r="BA331" s="523" t="b">
        <f t="array" ref="BA331">AND(D331:AV331=inp_used,A331=inp_used_usersel)</f>
        <v>0</v>
      </c>
      <c r="BB331" s="523" t="b">
        <f t="shared" si="36"/>
        <v>0</v>
      </c>
      <c r="BC331" s="523" t="b">
        <f t="shared" si="36"/>
        <v>0</v>
      </c>
    </row>
    <row r="332" spans="1:55" s="523" customFormat="1">
      <c r="A332" s="523">
        <v>21</v>
      </c>
      <c r="B332" s="523">
        <v>1</v>
      </c>
      <c r="C332" s="523">
        <v>4</v>
      </c>
      <c r="D332" s="557">
        <v>0.74</v>
      </c>
      <c r="E332" s="523" t="s">
        <v>188</v>
      </c>
      <c r="F332" s="414">
        <v>0.251</v>
      </c>
      <c r="G332" s="523" t="s">
        <v>188</v>
      </c>
      <c r="H332" s="557" t="s">
        <v>3139</v>
      </c>
      <c r="I332" s="523" t="s">
        <v>398</v>
      </c>
      <c r="J332" s="414">
        <v>12</v>
      </c>
      <c r="M332" s="561"/>
      <c r="N332" s="557" t="s">
        <v>194</v>
      </c>
      <c r="O332" s="523">
        <v>4</v>
      </c>
      <c r="Q332" s="561"/>
      <c r="R332" s="557">
        <v>1</v>
      </c>
      <c r="S332" s="523" t="s">
        <v>3491</v>
      </c>
      <c r="T332" s="559"/>
      <c r="V332" s="559"/>
      <c r="W332" s="560"/>
      <c r="X332" s="559"/>
      <c r="Y332" s="559"/>
      <c r="Z332" s="559"/>
      <c r="AA332" s="559"/>
      <c r="AB332" s="557">
        <v>168</v>
      </c>
      <c r="AC332" s="414" t="s">
        <v>2060</v>
      </c>
      <c r="AD332" s="438" t="s">
        <v>1377</v>
      </c>
      <c r="AE332" s="523" t="s">
        <v>499</v>
      </c>
      <c r="AF332" s="414"/>
      <c r="AG332" s="806">
        <v>0</v>
      </c>
      <c r="AH332" s="523">
        <v>0</v>
      </c>
      <c r="AI332" s="438" t="s">
        <v>1799</v>
      </c>
      <c r="AJ332" s="414" t="s">
        <v>1800</v>
      </c>
      <c r="AK332" s="523" t="s">
        <v>1932</v>
      </c>
      <c r="AP332" s="523" t="s">
        <v>2174</v>
      </c>
      <c r="AQ332" s="557"/>
      <c r="AV332" s="561"/>
      <c r="AW332" s="414" t="str">
        <f t="shared" si="35"/>
        <v>UVAOP Quench (Add-on), Pressure</v>
      </c>
      <c r="AX332" s="414" t="b">
        <f t="shared" si="32"/>
        <v>0</v>
      </c>
      <c r="AY332" s="523" t="b">
        <f t="array" ref="AY332">AND(D332:G332=inp_used_minimal,A332=inp_used_usersel)</f>
        <v>0</v>
      </c>
      <c r="AZ332" s="523" t="b">
        <f t="array" ref="AZ332">AND(A332=inp_used_usersel,D332:R332=inp_used_nonvessel1,AB332:AV332=inp_used_nonvessel2,IF(B332=1,inp_used_pressure=inp_autosize_pressure,inp_used_gravity=inp_autosize_gravity))</f>
        <v>0</v>
      </c>
      <c r="BA332" s="523" t="b">
        <f t="array" ref="BA332">AND(D332:AV332=inp_used,A332=inp_used_usersel)</f>
        <v>0</v>
      </c>
      <c r="BB332" s="523" t="b">
        <f t="shared" si="36"/>
        <v>0</v>
      </c>
      <c r="BC332" s="523" t="b">
        <f t="shared" si="36"/>
        <v>0</v>
      </c>
    </row>
    <row r="333" spans="1:55" s="523" customFormat="1">
      <c r="A333" s="523">
        <v>21</v>
      </c>
      <c r="B333" s="523">
        <v>1</v>
      </c>
      <c r="C333" s="414">
        <v>5</v>
      </c>
      <c r="D333" s="529">
        <v>2.1520000000000001</v>
      </c>
      <c r="E333" s="523" t="s">
        <v>188</v>
      </c>
      <c r="F333" s="414">
        <v>0.81899999999999995</v>
      </c>
      <c r="G333" s="523" t="s">
        <v>188</v>
      </c>
      <c r="H333" s="557" t="s">
        <v>3139</v>
      </c>
      <c r="I333" s="523" t="s">
        <v>398</v>
      </c>
      <c r="J333" s="414">
        <v>12</v>
      </c>
      <c r="M333" s="561"/>
      <c r="N333" s="557" t="s">
        <v>194</v>
      </c>
      <c r="O333" s="523">
        <v>4</v>
      </c>
      <c r="Q333" s="561"/>
      <c r="R333" s="557">
        <v>1</v>
      </c>
      <c r="S333" s="523" t="s">
        <v>3491</v>
      </c>
      <c r="T333" s="559"/>
      <c r="V333" s="559"/>
      <c r="W333" s="560"/>
      <c r="X333" s="559"/>
      <c r="Y333" s="559"/>
      <c r="Z333" s="559"/>
      <c r="AA333" s="559"/>
      <c r="AB333" s="557">
        <v>168</v>
      </c>
      <c r="AC333" s="414" t="s">
        <v>2060</v>
      </c>
      <c r="AD333" s="438" t="s">
        <v>1377</v>
      </c>
      <c r="AE333" s="523" t="s">
        <v>499</v>
      </c>
      <c r="AF333" s="414"/>
      <c r="AG333" s="806">
        <v>0</v>
      </c>
      <c r="AH333" s="523">
        <v>0</v>
      </c>
      <c r="AI333" s="438" t="s">
        <v>1799</v>
      </c>
      <c r="AJ333" s="414" t="s">
        <v>1800</v>
      </c>
      <c r="AK333" s="523" t="s">
        <v>1932</v>
      </c>
      <c r="AP333" s="523" t="s">
        <v>2174</v>
      </c>
      <c r="AQ333" s="557"/>
      <c r="AV333" s="561"/>
      <c r="AW333" s="414" t="str">
        <f t="shared" si="35"/>
        <v>UVAOP Quench (Add-on), Pressure</v>
      </c>
      <c r="AX333" s="414" t="b">
        <f t="shared" si="32"/>
        <v>0</v>
      </c>
      <c r="AY333" s="523" t="b">
        <f t="array" ref="AY333">AND(D333:G333=inp_used_minimal,A333=inp_used_usersel)</f>
        <v>0</v>
      </c>
      <c r="AZ333" s="523" t="b">
        <f t="array" ref="AZ333">AND(A333=inp_used_usersel,D333:R333=inp_used_nonvessel1,AB333:AV333=inp_used_nonvessel2,IF(B333=1,inp_used_pressure=inp_autosize_pressure,inp_used_gravity=inp_autosize_gravity))</f>
        <v>0</v>
      </c>
      <c r="BA333" s="523" t="b">
        <f t="array" ref="BA333">AND(D333:AV333=inp_used,A333=inp_used_usersel)</f>
        <v>0</v>
      </c>
      <c r="BB333" s="523" t="b">
        <f t="shared" si="36"/>
        <v>0</v>
      </c>
      <c r="BC333" s="523" t="b">
        <f t="shared" si="36"/>
        <v>0</v>
      </c>
    </row>
    <row r="334" spans="1:55" s="523" customFormat="1">
      <c r="A334" s="523">
        <v>21</v>
      </c>
      <c r="B334" s="523">
        <v>1</v>
      </c>
      <c r="C334" s="414">
        <v>6</v>
      </c>
      <c r="D334" s="529">
        <v>7.3650000000000002</v>
      </c>
      <c r="E334" s="523" t="s">
        <v>188</v>
      </c>
      <c r="F334" s="414">
        <v>3.2</v>
      </c>
      <c r="G334" s="523" t="s">
        <v>188</v>
      </c>
      <c r="H334" s="557" t="s">
        <v>3139</v>
      </c>
      <c r="I334" s="523" t="s">
        <v>398</v>
      </c>
      <c r="J334" s="414">
        <v>12</v>
      </c>
      <c r="M334" s="561"/>
      <c r="N334" s="557" t="s">
        <v>194</v>
      </c>
      <c r="O334" s="523">
        <v>4</v>
      </c>
      <c r="Q334" s="561"/>
      <c r="R334" s="557">
        <v>1</v>
      </c>
      <c r="S334" s="523" t="s">
        <v>3491</v>
      </c>
      <c r="T334" s="559"/>
      <c r="V334" s="559"/>
      <c r="W334" s="560"/>
      <c r="X334" s="559"/>
      <c r="Y334" s="559"/>
      <c r="Z334" s="559"/>
      <c r="AA334" s="559"/>
      <c r="AB334" s="557">
        <v>168</v>
      </c>
      <c r="AC334" s="414" t="s">
        <v>2060</v>
      </c>
      <c r="AD334" s="438" t="s">
        <v>1377</v>
      </c>
      <c r="AE334" s="523" t="s">
        <v>499</v>
      </c>
      <c r="AF334" s="414"/>
      <c r="AG334" s="806">
        <v>0</v>
      </c>
      <c r="AH334" s="523">
        <v>0</v>
      </c>
      <c r="AI334" s="438" t="s">
        <v>1799</v>
      </c>
      <c r="AJ334" s="414" t="s">
        <v>1800</v>
      </c>
      <c r="AK334" s="523" t="s">
        <v>1932</v>
      </c>
      <c r="AP334" s="523" t="s">
        <v>2174</v>
      </c>
      <c r="AQ334" s="557"/>
      <c r="AV334" s="561"/>
      <c r="AW334" s="414" t="str">
        <f t="shared" si="35"/>
        <v>UVAOP Quench (Add-on), Pressure</v>
      </c>
      <c r="AX334" s="414" t="b">
        <f t="shared" si="32"/>
        <v>0</v>
      </c>
      <c r="AY334" s="523" t="b">
        <f t="array" ref="AY334">AND(D334:G334=inp_used_minimal,A334=inp_used_usersel)</f>
        <v>0</v>
      </c>
      <c r="AZ334" s="523" t="b">
        <f t="array" ref="AZ334">AND(A334=inp_used_usersel,D334:R334=inp_used_nonvessel1,AB334:AV334=inp_used_nonvessel2,IF(B334=1,inp_used_pressure=inp_autosize_pressure,inp_used_gravity=inp_autosize_gravity))</f>
        <v>0</v>
      </c>
      <c r="BA334" s="523" t="b">
        <f t="array" ref="BA334">AND(D334:AV334=inp_used,A334=inp_used_usersel)</f>
        <v>0</v>
      </c>
      <c r="BB334" s="523" t="b">
        <f t="shared" si="36"/>
        <v>0</v>
      </c>
      <c r="BC334" s="523" t="b">
        <f t="shared" si="36"/>
        <v>0</v>
      </c>
    </row>
    <row r="335" spans="1:55" s="523" customFormat="1">
      <c r="A335" s="523">
        <v>21</v>
      </c>
      <c r="B335" s="523">
        <v>1</v>
      </c>
      <c r="C335" s="414">
        <v>7</v>
      </c>
      <c r="D335" s="529">
        <v>22.614000000000001</v>
      </c>
      <c r="E335" s="523" t="s">
        <v>188</v>
      </c>
      <c r="F335" s="414">
        <v>11.066000000000001</v>
      </c>
      <c r="G335" s="523" t="s">
        <v>188</v>
      </c>
      <c r="H335" s="557" t="s">
        <v>3139</v>
      </c>
      <c r="I335" s="523" t="s">
        <v>398</v>
      </c>
      <c r="J335" s="414">
        <v>12</v>
      </c>
      <c r="M335" s="561"/>
      <c r="N335" s="557" t="s">
        <v>194</v>
      </c>
      <c r="O335" s="523">
        <v>4</v>
      </c>
      <c r="Q335" s="561"/>
      <c r="R335" s="557">
        <v>1</v>
      </c>
      <c r="S335" s="523" t="s">
        <v>3491</v>
      </c>
      <c r="T335" s="559"/>
      <c r="V335" s="559"/>
      <c r="W335" s="560"/>
      <c r="X335" s="559"/>
      <c r="Y335" s="559"/>
      <c r="Z335" s="559"/>
      <c r="AA335" s="559"/>
      <c r="AB335" s="557">
        <v>168</v>
      </c>
      <c r="AC335" s="414" t="s">
        <v>2060</v>
      </c>
      <c r="AD335" s="438" t="s">
        <v>1377</v>
      </c>
      <c r="AE335" s="523" t="s">
        <v>499</v>
      </c>
      <c r="AF335" s="414"/>
      <c r="AG335" s="806">
        <v>0</v>
      </c>
      <c r="AH335" s="523">
        <v>0</v>
      </c>
      <c r="AI335" s="438" t="s">
        <v>1799</v>
      </c>
      <c r="AJ335" s="414" t="s">
        <v>1800</v>
      </c>
      <c r="AK335" s="523" t="s">
        <v>1932</v>
      </c>
      <c r="AP335" s="523" t="s">
        <v>2174</v>
      </c>
      <c r="AQ335" s="557"/>
      <c r="AV335" s="561"/>
      <c r="AW335" s="414" t="str">
        <f t="shared" si="35"/>
        <v>UVAOP Quench (Add-on), Pressure</v>
      </c>
      <c r="AX335" s="414" t="b">
        <f t="shared" si="32"/>
        <v>0</v>
      </c>
      <c r="AY335" s="523" t="b">
        <f t="array" ref="AY335">AND(D335:G335=inp_used_minimal,A335=inp_used_usersel)</f>
        <v>0</v>
      </c>
      <c r="AZ335" s="523" t="b">
        <f t="array" ref="AZ335">AND(A335=inp_used_usersel,D335:R335=inp_used_nonvessel1,AB335:AV335=inp_used_nonvessel2,IF(B335=1,inp_used_pressure=inp_autosize_pressure,inp_used_gravity=inp_autosize_gravity))</f>
        <v>0</v>
      </c>
      <c r="BA335" s="523" t="b">
        <f t="array" ref="BA335">AND(D335:AV335=inp_used,A335=inp_used_usersel)</f>
        <v>0</v>
      </c>
      <c r="BB335" s="523" t="b">
        <f t="shared" si="36"/>
        <v>0</v>
      </c>
      <c r="BC335" s="523" t="b">
        <f t="shared" si="36"/>
        <v>0</v>
      </c>
    </row>
    <row r="336" spans="1:55" s="563" customFormat="1">
      <c r="A336" s="563">
        <v>21</v>
      </c>
      <c r="B336" s="563">
        <v>1</v>
      </c>
      <c r="C336" s="564">
        <v>8</v>
      </c>
      <c r="D336" s="918">
        <v>75.072000000000003</v>
      </c>
      <c r="E336" s="563" t="s">
        <v>188</v>
      </c>
      <c r="F336" s="564">
        <v>37.536000000000001</v>
      </c>
      <c r="G336" s="563" t="s">
        <v>188</v>
      </c>
      <c r="H336" s="919" t="s">
        <v>3139</v>
      </c>
      <c r="I336" s="563" t="s">
        <v>398</v>
      </c>
      <c r="J336" s="564">
        <v>12</v>
      </c>
      <c r="M336" s="565"/>
      <c r="N336" s="919" t="s">
        <v>194</v>
      </c>
      <c r="O336" s="563">
        <v>4</v>
      </c>
      <c r="Q336" s="565"/>
      <c r="R336" s="919">
        <v>1</v>
      </c>
      <c r="S336" s="563" t="s">
        <v>3491</v>
      </c>
      <c r="T336" s="566"/>
      <c r="V336" s="566"/>
      <c r="W336" s="567"/>
      <c r="X336" s="566"/>
      <c r="Y336" s="566"/>
      <c r="Z336" s="566"/>
      <c r="AA336" s="567"/>
      <c r="AB336" s="919">
        <v>168</v>
      </c>
      <c r="AC336" s="564" t="s">
        <v>2060</v>
      </c>
      <c r="AD336" s="568" t="s">
        <v>1377</v>
      </c>
      <c r="AE336" s="563" t="s">
        <v>499</v>
      </c>
      <c r="AF336" s="564"/>
      <c r="AG336" s="919">
        <v>0</v>
      </c>
      <c r="AH336" s="563">
        <v>0</v>
      </c>
      <c r="AI336" s="568" t="s">
        <v>1799</v>
      </c>
      <c r="AJ336" s="564" t="s">
        <v>1800</v>
      </c>
      <c r="AK336" s="563" t="s">
        <v>1932</v>
      </c>
      <c r="AP336" s="565" t="s">
        <v>2174</v>
      </c>
      <c r="AQ336" s="919"/>
      <c r="AV336" s="565"/>
      <c r="AW336" s="564" t="str">
        <f t="shared" si="35"/>
        <v>UVAOP Quench (Add-on), Pressure</v>
      </c>
      <c r="AX336" s="564" t="b">
        <f t="shared" si="32"/>
        <v>0</v>
      </c>
      <c r="AY336" s="563" t="b">
        <f t="array" ref="AY336">AND(D336:G336=inp_used_minimal,A336=inp_used_usersel)</f>
        <v>0</v>
      </c>
      <c r="AZ336" s="563" t="b">
        <f t="array" ref="AZ336">AND(A336=inp_used_usersel,D336:R336=inp_used_nonvessel1,AB336:AV336=inp_used_nonvessel2,IF(B336=1,inp_used_pressure=inp_autosize_pressure,inp_used_gravity=inp_autosize_gravity))</f>
        <v>0</v>
      </c>
      <c r="BA336" s="563" t="b">
        <f t="array" ref="BA336">AND(D336:AV336=inp_used,A336=inp_used_usersel)</f>
        <v>0</v>
      </c>
      <c r="BB336" s="563" t="b">
        <f t="shared" si="36"/>
        <v>0</v>
      </c>
      <c r="BC336" s="563" t="b">
        <f t="shared" si="36"/>
        <v>0</v>
      </c>
    </row>
    <row r="337" spans="1:55" s="523" customFormat="1">
      <c r="A337" s="523">
        <v>21</v>
      </c>
      <c r="B337" s="523">
        <v>2</v>
      </c>
      <c r="C337" s="523">
        <v>1</v>
      </c>
      <c r="D337" s="917">
        <v>0.03</v>
      </c>
      <c r="E337" s="523" t="s">
        <v>188</v>
      </c>
      <c r="F337" s="414">
        <v>7.0000000000000001E-3</v>
      </c>
      <c r="G337" s="523" t="s">
        <v>188</v>
      </c>
      <c r="H337" s="917" t="s">
        <v>3139</v>
      </c>
      <c r="I337" s="523" t="s">
        <v>398</v>
      </c>
      <c r="J337" s="414">
        <v>12</v>
      </c>
      <c r="M337" s="561"/>
      <c r="N337" s="917" t="s">
        <v>194</v>
      </c>
      <c r="O337" s="523">
        <v>4</v>
      </c>
      <c r="Q337" s="561"/>
      <c r="R337" s="917"/>
      <c r="T337" s="559"/>
      <c r="U337" s="559"/>
      <c r="V337" s="559"/>
      <c r="W337" s="560"/>
      <c r="X337" s="559" t="s">
        <v>3491</v>
      </c>
      <c r="Y337" s="414"/>
      <c r="Z337" s="414"/>
      <c r="AA337" s="414"/>
      <c r="AB337" s="917">
        <v>168</v>
      </c>
      <c r="AC337" s="414" t="s">
        <v>2060</v>
      </c>
      <c r="AD337" s="414" t="s">
        <v>1377</v>
      </c>
      <c r="AE337" s="523" t="s">
        <v>499</v>
      </c>
      <c r="AF337" s="414"/>
      <c r="AG337" s="917">
        <v>0</v>
      </c>
      <c r="AH337" s="523">
        <v>0</v>
      </c>
      <c r="AI337" s="438" t="s">
        <v>1799</v>
      </c>
      <c r="AJ337" s="414" t="s">
        <v>1800</v>
      </c>
      <c r="AK337" s="523" t="s">
        <v>1932</v>
      </c>
      <c r="AP337" s="523" t="s">
        <v>2174</v>
      </c>
      <c r="AQ337" s="917"/>
      <c r="AV337" s="561"/>
      <c r="AW337" s="414" t="str">
        <f t="shared" si="35"/>
        <v>UVAOP Quench (Add-on), Gravity</v>
      </c>
      <c r="AX337" s="414" t="b">
        <f t="shared" si="32"/>
        <v>0</v>
      </c>
      <c r="AY337" s="523" t="b">
        <f t="array" ref="AY337">AND(D337:G337=inp_used_minimal,A337=inp_used_usersel)</f>
        <v>0</v>
      </c>
      <c r="AZ337" s="523" t="b">
        <f t="array" ref="AZ337">AND(A337=inp_used_usersel,D337:R337=inp_used_nonvessel1,AB337:AV337=inp_used_nonvessel2,IF(B337=1,inp_used_pressure=inp_autosize_pressure,inp_used_gravity=inp_autosize_gravity))</f>
        <v>0</v>
      </c>
      <c r="BA337" s="523" t="b">
        <f t="array" ref="BA337">AND(D337:AV337=inp_used,A337=inp_used_usersel)</f>
        <v>0</v>
      </c>
    </row>
    <row r="338" spans="1:55" s="523" customFormat="1">
      <c r="A338" s="523">
        <v>21</v>
      </c>
      <c r="B338" s="523">
        <v>2</v>
      </c>
      <c r="C338" s="523">
        <v>2</v>
      </c>
      <c r="D338" s="557">
        <v>0.124</v>
      </c>
      <c r="E338" s="523" t="s">
        <v>188</v>
      </c>
      <c r="F338" s="414">
        <v>3.5000000000000003E-2</v>
      </c>
      <c r="G338" s="523" t="s">
        <v>188</v>
      </c>
      <c r="H338" s="557" t="s">
        <v>3139</v>
      </c>
      <c r="I338" s="523" t="s">
        <v>398</v>
      </c>
      <c r="J338" s="414">
        <v>12</v>
      </c>
      <c r="M338" s="561"/>
      <c r="N338" s="557" t="s">
        <v>194</v>
      </c>
      <c r="O338" s="523">
        <v>4</v>
      </c>
      <c r="Q338" s="561"/>
      <c r="R338" s="557"/>
      <c r="T338" s="559"/>
      <c r="U338" s="559"/>
      <c r="V338" s="559"/>
      <c r="W338" s="560"/>
      <c r="X338" s="559" t="s">
        <v>3491</v>
      </c>
      <c r="Y338" s="414"/>
      <c r="Z338" s="414"/>
      <c r="AA338" s="414"/>
      <c r="AB338" s="557">
        <v>168</v>
      </c>
      <c r="AC338" s="414" t="s">
        <v>2060</v>
      </c>
      <c r="AD338" s="414" t="s">
        <v>1377</v>
      </c>
      <c r="AE338" s="523" t="s">
        <v>499</v>
      </c>
      <c r="AF338" s="414"/>
      <c r="AG338" s="806">
        <v>0</v>
      </c>
      <c r="AH338" s="523">
        <v>0</v>
      </c>
      <c r="AI338" s="438" t="s">
        <v>1799</v>
      </c>
      <c r="AJ338" s="414" t="s">
        <v>1800</v>
      </c>
      <c r="AK338" s="523" t="s">
        <v>1932</v>
      </c>
      <c r="AP338" s="523" t="s">
        <v>2174</v>
      </c>
      <c r="AQ338" s="557"/>
      <c r="AV338" s="561"/>
      <c r="AW338" s="414" t="str">
        <f t="shared" si="35"/>
        <v>UVAOP Quench (Add-on), Gravity</v>
      </c>
      <c r="AX338" s="414" t="b">
        <f t="shared" si="32"/>
        <v>0</v>
      </c>
      <c r="AY338" s="523" t="b">
        <f t="array" ref="AY338">AND(D338:G338=inp_used_minimal,A338=inp_used_usersel)</f>
        <v>0</v>
      </c>
      <c r="AZ338" s="523" t="b">
        <f t="array" ref="AZ338">AND(A338=inp_used_usersel,D338:R338=inp_used_nonvessel1,AB338:AV338=inp_used_nonvessel2,IF(B338=1,inp_used_pressure=inp_autosize_pressure,inp_used_gravity=inp_autosize_gravity))</f>
        <v>0</v>
      </c>
      <c r="BA338" s="523" t="b">
        <f t="array" ref="BA338">AND(D338:AV338=inp_used,A338=inp_used_usersel)</f>
        <v>0</v>
      </c>
    </row>
    <row r="339" spans="1:55" s="523" customFormat="1">
      <c r="A339" s="523">
        <v>21</v>
      </c>
      <c r="B339" s="523">
        <v>2</v>
      </c>
      <c r="C339" s="523">
        <v>3</v>
      </c>
      <c r="D339" s="557">
        <v>0.30499999999999999</v>
      </c>
      <c r="E339" s="523" t="s">
        <v>188</v>
      </c>
      <c r="F339" s="414">
        <v>9.4E-2</v>
      </c>
      <c r="G339" s="523" t="s">
        <v>188</v>
      </c>
      <c r="H339" s="557" t="s">
        <v>3139</v>
      </c>
      <c r="I339" s="523" t="s">
        <v>398</v>
      </c>
      <c r="J339" s="414">
        <v>12</v>
      </c>
      <c r="M339" s="561"/>
      <c r="N339" s="557" t="s">
        <v>194</v>
      </c>
      <c r="O339" s="523">
        <v>4</v>
      </c>
      <c r="Q339" s="561"/>
      <c r="R339" s="557"/>
      <c r="T339" s="559"/>
      <c r="U339" s="559"/>
      <c r="V339" s="559"/>
      <c r="W339" s="560"/>
      <c r="X339" s="559" t="s">
        <v>3491</v>
      </c>
      <c r="Y339" s="414"/>
      <c r="Z339" s="414"/>
      <c r="AA339" s="414"/>
      <c r="AB339" s="557">
        <v>168</v>
      </c>
      <c r="AC339" s="414" t="s">
        <v>2060</v>
      </c>
      <c r="AD339" s="414" t="s">
        <v>1377</v>
      </c>
      <c r="AE339" s="523" t="s">
        <v>499</v>
      </c>
      <c r="AF339" s="414"/>
      <c r="AG339" s="806">
        <v>0</v>
      </c>
      <c r="AH339" s="523">
        <v>0</v>
      </c>
      <c r="AI339" s="438" t="s">
        <v>1799</v>
      </c>
      <c r="AJ339" s="414" t="s">
        <v>1800</v>
      </c>
      <c r="AK339" s="523" t="s">
        <v>1932</v>
      </c>
      <c r="AP339" s="523" t="s">
        <v>2174</v>
      </c>
      <c r="AQ339" s="557"/>
      <c r="AV339" s="561"/>
      <c r="AW339" s="414" t="str">
        <f t="shared" si="35"/>
        <v>UVAOP Quench (Add-on), Gravity</v>
      </c>
      <c r="AX339" s="414" t="b">
        <f t="shared" si="32"/>
        <v>0</v>
      </c>
      <c r="AY339" s="523" t="b">
        <f t="array" ref="AY339">AND(D339:G339=inp_used_minimal,A339=inp_used_usersel)</f>
        <v>0</v>
      </c>
      <c r="AZ339" s="523" t="b">
        <f t="array" ref="AZ339">AND(A339=inp_used_usersel,D339:R339=inp_used_nonvessel1,AB339:AV339=inp_used_nonvessel2,IF(B339=1,inp_used_pressure=inp_autosize_pressure,inp_used_gravity=inp_autosize_gravity))</f>
        <v>0</v>
      </c>
      <c r="BA339" s="523" t="b">
        <f t="array" ref="BA339">AND(D339:AV339=inp_used,A339=inp_used_usersel)</f>
        <v>0</v>
      </c>
    </row>
    <row r="340" spans="1:55" s="523" customFormat="1">
      <c r="A340" s="523">
        <v>21</v>
      </c>
      <c r="B340" s="523">
        <v>2</v>
      </c>
      <c r="C340" s="523">
        <v>4</v>
      </c>
      <c r="D340" s="557">
        <v>0.74</v>
      </c>
      <c r="E340" s="523" t="s">
        <v>188</v>
      </c>
      <c r="F340" s="414">
        <v>0.251</v>
      </c>
      <c r="G340" s="523" t="s">
        <v>188</v>
      </c>
      <c r="H340" s="557" t="s">
        <v>3139</v>
      </c>
      <c r="I340" s="523" t="s">
        <v>398</v>
      </c>
      <c r="J340" s="414">
        <v>12</v>
      </c>
      <c r="M340" s="561"/>
      <c r="N340" s="557" t="s">
        <v>194</v>
      </c>
      <c r="O340" s="523">
        <v>4</v>
      </c>
      <c r="Q340" s="561"/>
      <c r="R340" s="557"/>
      <c r="T340" s="559"/>
      <c r="U340" s="559"/>
      <c r="V340" s="559"/>
      <c r="W340" s="560"/>
      <c r="X340" s="559" t="s">
        <v>3491</v>
      </c>
      <c r="Y340" s="414"/>
      <c r="Z340" s="414"/>
      <c r="AA340" s="414"/>
      <c r="AB340" s="557">
        <v>168</v>
      </c>
      <c r="AC340" s="414" t="s">
        <v>2060</v>
      </c>
      <c r="AD340" s="414" t="s">
        <v>1377</v>
      </c>
      <c r="AE340" s="523" t="s">
        <v>499</v>
      </c>
      <c r="AF340" s="414"/>
      <c r="AG340" s="806">
        <v>0</v>
      </c>
      <c r="AH340" s="523">
        <v>0</v>
      </c>
      <c r="AI340" s="438" t="s">
        <v>1799</v>
      </c>
      <c r="AJ340" s="414" t="s">
        <v>1800</v>
      </c>
      <c r="AK340" s="523" t="s">
        <v>1932</v>
      </c>
      <c r="AP340" s="523" t="s">
        <v>2174</v>
      </c>
      <c r="AQ340" s="557"/>
      <c r="AV340" s="561"/>
      <c r="AW340" s="414" t="str">
        <f t="shared" si="35"/>
        <v>UVAOP Quench (Add-on), Gravity</v>
      </c>
      <c r="AX340" s="414" t="b">
        <f t="shared" si="32"/>
        <v>0</v>
      </c>
      <c r="AY340" s="523" t="b">
        <f t="array" ref="AY340">AND(D340:G340=inp_used_minimal,A340=inp_used_usersel)</f>
        <v>0</v>
      </c>
      <c r="AZ340" s="523" t="b">
        <f t="array" ref="AZ340">AND(A340=inp_used_usersel,D340:R340=inp_used_nonvessel1,AB340:AV340=inp_used_nonvessel2,IF(B340=1,inp_used_pressure=inp_autosize_pressure,inp_used_gravity=inp_autosize_gravity))</f>
        <v>0</v>
      </c>
      <c r="BA340" s="523" t="b">
        <f t="array" ref="BA340">AND(D340:AV340=inp_used,A340=inp_used_usersel)</f>
        <v>0</v>
      </c>
    </row>
    <row r="341" spans="1:55" s="523" customFormat="1">
      <c r="A341" s="523">
        <v>21</v>
      </c>
      <c r="B341" s="523">
        <v>2</v>
      </c>
      <c r="C341" s="414">
        <v>5</v>
      </c>
      <c r="D341" s="529">
        <v>2.1520000000000001</v>
      </c>
      <c r="E341" s="523" t="s">
        <v>188</v>
      </c>
      <c r="F341" s="414">
        <v>0.81899999999999995</v>
      </c>
      <c r="G341" s="523" t="s">
        <v>188</v>
      </c>
      <c r="H341" s="557" t="s">
        <v>3139</v>
      </c>
      <c r="I341" s="523" t="s">
        <v>398</v>
      </c>
      <c r="J341" s="414">
        <v>12</v>
      </c>
      <c r="M341" s="561"/>
      <c r="N341" s="557" t="s">
        <v>194</v>
      </c>
      <c r="O341" s="523">
        <v>4</v>
      </c>
      <c r="Q341" s="561"/>
      <c r="R341" s="557"/>
      <c r="T341" s="559"/>
      <c r="U341" s="559"/>
      <c r="V341" s="559"/>
      <c r="W341" s="560"/>
      <c r="X341" s="559" t="s">
        <v>3491</v>
      </c>
      <c r="Y341" s="414"/>
      <c r="Z341" s="414"/>
      <c r="AA341" s="414"/>
      <c r="AB341" s="557">
        <v>168</v>
      </c>
      <c r="AC341" s="414" t="s">
        <v>2060</v>
      </c>
      <c r="AD341" s="414" t="s">
        <v>1377</v>
      </c>
      <c r="AE341" s="523" t="s">
        <v>499</v>
      </c>
      <c r="AF341" s="414"/>
      <c r="AG341" s="806">
        <v>0</v>
      </c>
      <c r="AH341" s="523">
        <v>0</v>
      </c>
      <c r="AI341" s="438" t="s">
        <v>1799</v>
      </c>
      <c r="AJ341" s="414" t="s">
        <v>1800</v>
      </c>
      <c r="AK341" s="523" t="s">
        <v>1932</v>
      </c>
      <c r="AP341" s="523" t="s">
        <v>2174</v>
      </c>
      <c r="AQ341" s="557"/>
      <c r="AV341" s="561"/>
      <c r="AW341" s="414" t="str">
        <f t="shared" si="35"/>
        <v>UVAOP Quench (Add-on), Gravity</v>
      </c>
      <c r="AX341" s="414" t="b">
        <f t="shared" si="32"/>
        <v>0</v>
      </c>
      <c r="AY341" s="523" t="b">
        <f t="array" ref="AY341">AND(D341:G341=inp_used_minimal,A341=inp_used_usersel)</f>
        <v>0</v>
      </c>
      <c r="AZ341" s="523" t="b">
        <f t="array" ref="AZ341">AND(A341=inp_used_usersel,D341:R341=inp_used_nonvessel1,AB341:AV341=inp_used_nonvessel2,IF(B341=1,inp_used_pressure=inp_autosize_pressure,inp_used_gravity=inp_autosize_gravity))</f>
        <v>0</v>
      </c>
      <c r="BA341" s="523" t="b">
        <f t="array" ref="BA341">AND(D341:AV341=inp_used,A341=inp_used_usersel)</f>
        <v>0</v>
      </c>
    </row>
    <row r="342" spans="1:55" s="523" customFormat="1">
      <c r="A342" s="523">
        <v>21</v>
      </c>
      <c r="B342" s="523">
        <v>2</v>
      </c>
      <c r="C342" s="414">
        <v>6</v>
      </c>
      <c r="D342" s="529">
        <v>7.3650000000000002</v>
      </c>
      <c r="E342" s="523" t="s">
        <v>188</v>
      </c>
      <c r="F342" s="414">
        <v>3.2</v>
      </c>
      <c r="G342" s="523" t="s">
        <v>188</v>
      </c>
      <c r="H342" s="557" t="s">
        <v>3139</v>
      </c>
      <c r="I342" s="523" t="s">
        <v>398</v>
      </c>
      <c r="J342" s="414">
        <v>12</v>
      </c>
      <c r="M342" s="561"/>
      <c r="N342" s="557" t="s">
        <v>194</v>
      </c>
      <c r="O342" s="523">
        <v>4</v>
      </c>
      <c r="Q342" s="561"/>
      <c r="R342" s="557"/>
      <c r="T342" s="559"/>
      <c r="U342" s="559"/>
      <c r="V342" s="559"/>
      <c r="W342" s="560"/>
      <c r="X342" s="559" t="s">
        <v>3491</v>
      </c>
      <c r="Y342" s="414"/>
      <c r="Z342" s="414"/>
      <c r="AA342" s="414"/>
      <c r="AB342" s="557">
        <v>168</v>
      </c>
      <c r="AC342" s="414" t="s">
        <v>2060</v>
      </c>
      <c r="AD342" s="414" t="s">
        <v>1377</v>
      </c>
      <c r="AE342" s="523" t="s">
        <v>499</v>
      </c>
      <c r="AF342" s="414"/>
      <c r="AG342" s="806">
        <v>0</v>
      </c>
      <c r="AH342" s="523">
        <v>0</v>
      </c>
      <c r="AI342" s="438" t="s">
        <v>1799</v>
      </c>
      <c r="AJ342" s="414" t="s">
        <v>1800</v>
      </c>
      <c r="AK342" s="523" t="s">
        <v>1932</v>
      </c>
      <c r="AP342" s="523" t="s">
        <v>2174</v>
      </c>
      <c r="AQ342" s="557"/>
      <c r="AV342" s="561"/>
      <c r="AW342" s="414" t="str">
        <f t="shared" si="35"/>
        <v>UVAOP Quench (Add-on), Gravity</v>
      </c>
      <c r="AX342" s="414" t="b">
        <f t="shared" si="32"/>
        <v>0</v>
      </c>
      <c r="AY342" s="523" t="b">
        <f t="array" ref="AY342">AND(D342:G342=inp_used_minimal,A342=inp_used_usersel)</f>
        <v>0</v>
      </c>
      <c r="AZ342" s="523" t="b">
        <f t="array" ref="AZ342">AND(A342=inp_used_usersel,D342:R342=inp_used_nonvessel1,AB342:AV342=inp_used_nonvessel2,IF(B342=1,inp_used_pressure=inp_autosize_pressure,inp_used_gravity=inp_autosize_gravity))</f>
        <v>0</v>
      </c>
      <c r="BA342" s="523" t="b">
        <f t="array" ref="BA342">AND(D342:AV342=inp_used,A342=inp_used_usersel)</f>
        <v>0</v>
      </c>
    </row>
    <row r="343" spans="1:55" s="523" customFormat="1">
      <c r="A343" s="523">
        <v>21</v>
      </c>
      <c r="B343" s="523">
        <v>2</v>
      </c>
      <c r="C343" s="414">
        <v>7</v>
      </c>
      <c r="D343" s="529">
        <v>22.614000000000001</v>
      </c>
      <c r="E343" s="523" t="s">
        <v>188</v>
      </c>
      <c r="F343" s="414">
        <v>11.066000000000001</v>
      </c>
      <c r="G343" s="523" t="s">
        <v>188</v>
      </c>
      <c r="H343" s="557" t="s">
        <v>3139</v>
      </c>
      <c r="I343" s="523" t="s">
        <v>398</v>
      </c>
      <c r="J343" s="414">
        <v>12</v>
      </c>
      <c r="M343" s="561"/>
      <c r="N343" s="557" t="s">
        <v>194</v>
      </c>
      <c r="O343" s="523">
        <v>4</v>
      </c>
      <c r="Q343" s="561"/>
      <c r="R343" s="557"/>
      <c r="T343" s="559"/>
      <c r="U343" s="559"/>
      <c r="V343" s="559"/>
      <c r="W343" s="560"/>
      <c r="X343" s="559" t="s">
        <v>3491</v>
      </c>
      <c r="Y343" s="414"/>
      <c r="Z343" s="414"/>
      <c r="AA343" s="414"/>
      <c r="AB343" s="557">
        <v>168</v>
      </c>
      <c r="AC343" s="414" t="s">
        <v>2060</v>
      </c>
      <c r="AD343" s="414" t="s">
        <v>1377</v>
      </c>
      <c r="AE343" s="523" t="s">
        <v>499</v>
      </c>
      <c r="AF343" s="414"/>
      <c r="AG343" s="806">
        <v>0</v>
      </c>
      <c r="AH343" s="523">
        <v>0</v>
      </c>
      <c r="AI343" s="438" t="s">
        <v>1799</v>
      </c>
      <c r="AJ343" s="414" t="s">
        <v>1800</v>
      </c>
      <c r="AK343" s="523" t="s">
        <v>1932</v>
      </c>
      <c r="AP343" s="523" t="s">
        <v>2174</v>
      </c>
      <c r="AQ343" s="557"/>
      <c r="AV343" s="561"/>
      <c r="AW343" s="414" t="str">
        <f t="shared" si="35"/>
        <v>UVAOP Quench (Add-on), Gravity</v>
      </c>
      <c r="AX343" s="414" t="b">
        <f t="shared" si="32"/>
        <v>0</v>
      </c>
      <c r="AY343" s="523" t="b">
        <f t="array" ref="AY343">AND(D343:G343=inp_used_minimal,A343=inp_used_usersel)</f>
        <v>0</v>
      </c>
      <c r="AZ343" s="523" t="b">
        <f t="array" ref="AZ343">AND(A343=inp_used_usersel,D343:R343=inp_used_nonvessel1,AB343:AV343=inp_used_nonvessel2,IF(B343=1,inp_used_pressure=inp_autosize_pressure,inp_used_gravity=inp_autosize_gravity))</f>
        <v>0</v>
      </c>
      <c r="BA343" s="523" t="b">
        <f t="array" ref="BA343">AND(D343:AV343=inp_used,A343=inp_used_usersel)</f>
        <v>0</v>
      </c>
    </row>
    <row r="344" spans="1:55" s="563" customFormat="1">
      <c r="A344" s="563">
        <v>21</v>
      </c>
      <c r="B344" s="563">
        <v>2</v>
      </c>
      <c r="C344" s="564">
        <v>8</v>
      </c>
      <c r="D344" s="918">
        <v>75.072000000000003</v>
      </c>
      <c r="E344" s="563" t="s">
        <v>188</v>
      </c>
      <c r="F344" s="564">
        <v>37.536000000000001</v>
      </c>
      <c r="G344" s="563" t="s">
        <v>188</v>
      </c>
      <c r="H344" s="919" t="s">
        <v>3139</v>
      </c>
      <c r="I344" s="563" t="s">
        <v>398</v>
      </c>
      <c r="J344" s="564">
        <v>12</v>
      </c>
      <c r="M344" s="565"/>
      <c r="N344" s="919" t="s">
        <v>194</v>
      </c>
      <c r="O344" s="563">
        <v>4</v>
      </c>
      <c r="Q344" s="565"/>
      <c r="R344" s="919"/>
      <c r="T344" s="566"/>
      <c r="U344" s="566"/>
      <c r="V344" s="566"/>
      <c r="W344" s="567"/>
      <c r="X344" s="566" t="s">
        <v>3491</v>
      </c>
      <c r="Y344" s="564"/>
      <c r="Z344" s="564"/>
      <c r="AA344" s="554"/>
      <c r="AB344" s="919">
        <v>168</v>
      </c>
      <c r="AC344" s="564" t="s">
        <v>2060</v>
      </c>
      <c r="AD344" s="564" t="s">
        <v>1377</v>
      </c>
      <c r="AE344" s="563" t="s">
        <v>499</v>
      </c>
      <c r="AF344" s="564"/>
      <c r="AG344" s="919">
        <v>0</v>
      </c>
      <c r="AH344" s="563">
        <v>0</v>
      </c>
      <c r="AI344" s="568" t="s">
        <v>1799</v>
      </c>
      <c r="AJ344" s="564" t="s">
        <v>1800</v>
      </c>
      <c r="AK344" s="563" t="s">
        <v>1932</v>
      </c>
      <c r="AP344" s="565" t="s">
        <v>2174</v>
      </c>
      <c r="AQ344" s="919"/>
      <c r="AV344" s="565"/>
      <c r="AW344" s="564" t="str">
        <f t="shared" si="35"/>
        <v>UVAOP Quench (Add-on), Gravity</v>
      </c>
      <c r="AX344" s="564" t="b">
        <f t="shared" si="32"/>
        <v>0</v>
      </c>
      <c r="AY344" s="563" t="b">
        <f t="array" ref="AY344">AND(D344:G344=inp_used_minimal,A344=inp_used_usersel)</f>
        <v>0</v>
      </c>
      <c r="AZ344" s="563" t="b">
        <f t="array" ref="AZ344">AND(A344=inp_used_usersel,D344:R344=inp_used_nonvessel1,AB344:AV344=inp_used_nonvessel2,IF(B344=1,inp_used_pressure=inp_autosize_pressure,inp_used_gravity=inp_autosize_gravity))</f>
        <v>0</v>
      </c>
      <c r="BA344" s="563" t="b">
        <f t="array" ref="BA344">AND(D344:AV344=inp_used,A344=inp_used_usersel)</f>
        <v>0</v>
      </c>
    </row>
    <row r="345" spans="1:55" s="523" customFormat="1">
      <c r="A345" s="523">
        <v>22</v>
      </c>
      <c r="B345" s="523">
        <v>1</v>
      </c>
      <c r="C345" s="523">
        <v>1</v>
      </c>
      <c r="D345" s="557">
        <v>0.03</v>
      </c>
      <c r="E345" s="523" t="s">
        <v>188</v>
      </c>
      <c r="F345" s="414">
        <v>7.0000000000000001E-3</v>
      </c>
      <c r="G345" s="523" t="s">
        <v>188</v>
      </c>
      <c r="H345" s="557"/>
      <c r="M345" s="561"/>
      <c r="N345" s="557"/>
      <c r="Q345" s="561"/>
      <c r="R345" s="557"/>
      <c r="W345" s="561"/>
      <c r="AB345" s="557"/>
      <c r="AF345" s="561"/>
      <c r="AG345" s="557"/>
      <c r="AH345" s="414"/>
      <c r="AQ345" s="557"/>
      <c r="AV345" s="561"/>
      <c r="AW345" s="414" t="str">
        <f t="shared" si="35"/>
        <v>Other, Pressure</v>
      </c>
      <c r="AX345" s="414" t="b">
        <f t="shared" si="32"/>
        <v>0</v>
      </c>
      <c r="AY345" s="523" t="b">
        <f t="array" ref="AY345">AND(D345:G345=inp_used_minimal,A345=inp_used_usersel)</f>
        <v>0</v>
      </c>
      <c r="AZ345" s="523" t="b">
        <f t="array" ref="AZ345">AND(A345=inp_used_usersel,D345:R345=inp_used_nonvessel1,AB345:AV345=inp_used_nonvessel2,IF(B345=1,inp_used_pressure=inp_autosize_pressure,inp_used_gravity=inp_autosize_gravity))</f>
        <v>0</v>
      </c>
      <c r="BA345" s="523" t="b">
        <f t="array" ref="BA345">AND(D345:AV345=inp_used,A345=inp_used_usersel)</f>
        <v>0</v>
      </c>
      <c r="BB345" s="523" t="b">
        <f t="shared" ref="BB345:BC352" si="37">CHOOSE(design_type,AX345,AX353)</f>
        <v>0</v>
      </c>
      <c r="BC345" s="523" t="b">
        <f t="shared" si="37"/>
        <v>0</v>
      </c>
    </row>
    <row r="346" spans="1:55" s="523" customFormat="1">
      <c r="A346" s="523">
        <v>22</v>
      </c>
      <c r="B346" s="523">
        <v>1</v>
      </c>
      <c r="C346" s="523">
        <v>2</v>
      </c>
      <c r="D346" s="557">
        <v>0.124</v>
      </c>
      <c r="E346" s="523" t="s">
        <v>188</v>
      </c>
      <c r="F346" s="414">
        <v>3.5000000000000003E-2</v>
      </c>
      <c r="G346" s="523" t="s">
        <v>188</v>
      </c>
      <c r="H346" s="557"/>
      <c r="M346" s="561"/>
      <c r="N346" s="557"/>
      <c r="Q346" s="561"/>
      <c r="R346" s="557"/>
      <c r="W346" s="561"/>
      <c r="AB346" s="557"/>
      <c r="AF346" s="561"/>
      <c r="AG346" s="557"/>
      <c r="AH346" s="414"/>
      <c r="AQ346" s="557"/>
      <c r="AV346" s="561"/>
      <c r="AW346" s="414" t="str">
        <f t="shared" si="35"/>
        <v>Other, Pressure</v>
      </c>
      <c r="AX346" s="414" t="b">
        <f t="shared" si="32"/>
        <v>0</v>
      </c>
      <c r="AY346" s="523" t="b">
        <f t="array" ref="AY346">AND(D346:G346=inp_used_minimal,A346=inp_used_usersel)</f>
        <v>0</v>
      </c>
      <c r="AZ346" s="523" t="b">
        <f t="array" ref="AZ346">AND(A346=inp_used_usersel,D346:R346=inp_used_nonvessel1,AB346:AV346=inp_used_nonvessel2,IF(B346=1,inp_used_pressure=inp_autosize_pressure,inp_used_gravity=inp_autosize_gravity))</f>
        <v>0</v>
      </c>
      <c r="BA346" s="523" t="b">
        <f t="array" ref="BA346">AND(D346:AV346=inp_used,A346=inp_used_usersel)</f>
        <v>0</v>
      </c>
      <c r="BB346" s="523" t="b">
        <f t="shared" si="37"/>
        <v>0</v>
      </c>
      <c r="BC346" s="523" t="b">
        <f t="shared" si="37"/>
        <v>0</v>
      </c>
    </row>
    <row r="347" spans="1:55" s="523" customFormat="1">
      <c r="A347" s="523">
        <v>22</v>
      </c>
      <c r="B347" s="523">
        <v>1</v>
      </c>
      <c r="C347" s="523">
        <v>3</v>
      </c>
      <c r="D347" s="557">
        <v>0.30499999999999999</v>
      </c>
      <c r="E347" s="523" t="s">
        <v>188</v>
      </c>
      <c r="F347" s="414">
        <v>9.4E-2</v>
      </c>
      <c r="G347" s="523" t="s">
        <v>188</v>
      </c>
      <c r="H347" s="557"/>
      <c r="M347" s="561"/>
      <c r="N347" s="557"/>
      <c r="Q347" s="561"/>
      <c r="R347" s="557"/>
      <c r="W347" s="561"/>
      <c r="AB347" s="557"/>
      <c r="AF347" s="561"/>
      <c r="AG347" s="557"/>
      <c r="AH347" s="414"/>
      <c r="AQ347" s="557"/>
      <c r="AV347" s="561"/>
      <c r="AW347" s="414" t="str">
        <f t="shared" si="35"/>
        <v>Other, Pressure</v>
      </c>
      <c r="AX347" s="414" t="b">
        <f t="shared" si="32"/>
        <v>0</v>
      </c>
      <c r="AY347" s="523" t="b">
        <f t="array" ref="AY347">AND(D347:G347=inp_used_minimal,A347=inp_used_usersel)</f>
        <v>0</v>
      </c>
      <c r="AZ347" s="523" t="b">
        <f t="array" ref="AZ347">AND(A347=inp_used_usersel,D347:R347=inp_used_nonvessel1,AB347:AV347=inp_used_nonvessel2,IF(B347=1,inp_used_pressure=inp_autosize_pressure,inp_used_gravity=inp_autosize_gravity))</f>
        <v>0</v>
      </c>
      <c r="BA347" s="523" t="b">
        <f t="array" ref="BA347">AND(D347:AV347=inp_used,A347=inp_used_usersel)</f>
        <v>0</v>
      </c>
      <c r="BB347" s="523" t="b">
        <f t="shared" si="37"/>
        <v>0</v>
      </c>
      <c r="BC347" s="523" t="b">
        <f t="shared" si="37"/>
        <v>0</v>
      </c>
    </row>
    <row r="348" spans="1:55" s="523" customFormat="1">
      <c r="A348" s="523">
        <v>22</v>
      </c>
      <c r="B348" s="523">
        <v>1</v>
      </c>
      <c r="C348" s="523">
        <v>4</v>
      </c>
      <c r="D348" s="557">
        <v>0.74</v>
      </c>
      <c r="E348" s="523" t="s">
        <v>188</v>
      </c>
      <c r="F348" s="414">
        <v>0.251</v>
      </c>
      <c r="G348" s="523" t="s">
        <v>188</v>
      </c>
      <c r="H348" s="557"/>
      <c r="M348" s="561"/>
      <c r="N348" s="557"/>
      <c r="Q348" s="561"/>
      <c r="R348" s="557"/>
      <c r="W348" s="561"/>
      <c r="AB348" s="557"/>
      <c r="AF348" s="561"/>
      <c r="AG348" s="557"/>
      <c r="AH348" s="414"/>
      <c r="AQ348" s="557"/>
      <c r="AV348" s="561"/>
      <c r="AW348" s="414" t="str">
        <f t="shared" si="35"/>
        <v>Other, Pressure</v>
      </c>
      <c r="AX348" s="414" t="b">
        <f t="shared" si="32"/>
        <v>0</v>
      </c>
      <c r="AY348" s="523" t="b">
        <f t="array" ref="AY348">AND(D348:G348=inp_used_minimal,A348=inp_used_usersel)</f>
        <v>0</v>
      </c>
      <c r="AZ348" s="523" t="b">
        <f t="array" ref="AZ348">AND(A348=inp_used_usersel,D348:R348=inp_used_nonvessel1,AB348:AV348=inp_used_nonvessel2,IF(B348=1,inp_used_pressure=inp_autosize_pressure,inp_used_gravity=inp_autosize_gravity))</f>
        <v>0</v>
      </c>
      <c r="BA348" s="523" t="b">
        <f t="array" ref="BA348">AND(D348:AV348=inp_used,A348=inp_used_usersel)</f>
        <v>0</v>
      </c>
      <c r="BB348" s="523" t="b">
        <f t="shared" si="37"/>
        <v>0</v>
      </c>
      <c r="BC348" s="523" t="b">
        <f t="shared" si="37"/>
        <v>0</v>
      </c>
    </row>
    <row r="349" spans="1:55" s="523" customFormat="1">
      <c r="A349" s="523">
        <v>22</v>
      </c>
      <c r="B349" s="523">
        <v>1</v>
      </c>
      <c r="C349" s="414">
        <v>5</v>
      </c>
      <c r="D349" s="529">
        <v>2.1520000000000001</v>
      </c>
      <c r="E349" s="523" t="s">
        <v>188</v>
      </c>
      <c r="F349" s="414">
        <v>0.81899999999999995</v>
      </c>
      <c r="G349" s="523" t="s">
        <v>188</v>
      </c>
      <c r="H349" s="557"/>
      <c r="M349" s="561"/>
      <c r="N349" s="557"/>
      <c r="Q349" s="561"/>
      <c r="R349" s="557"/>
      <c r="W349" s="561"/>
      <c r="AB349" s="557"/>
      <c r="AF349" s="561"/>
      <c r="AG349" s="557"/>
      <c r="AH349" s="414"/>
      <c r="AQ349" s="557"/>
      <c r="AV349" s="561"/>
      <c r="AW349" s="414" t="str">
        <f t="shared" si="35"/>
        <v>Other, Pressure</v>
      </c>
      <c r="AX349" s="414" t="b">
        <f t="shared" si="32"/>
        <v>0</v>
      </c>
      <c r="AY349" s="523" t="b">
        <f t="array" ref="AY349">AND(D349:G349=inp_used_minimal,A349=inp_used_usersel)</f>
        <v>0</v>
      </c>
      <c r="AZ349" s="523" t="b">
        <f t="array" ref="AZ349">AND(A349=inp_used_usersel,D349:R349=inp_used_nonvessel1,AB349:AV349=inp_used_nonvessel2,IF(B349=1,inp_used_pressure=inp_autosize_pressure,inp_used_gravity=inp_autosize_gravity))</f>
        <v>0</v>
      </c>
      <c r="BA349" s="523" t="b">
        <f t="array" ref="BA349">AND(D349:AV349=inp_used,A349=inp_used_usersel)</f>
        <v>0</v>
      </c>
      <c r="BB349" s="523" t="b">
        <f t="shared" si="37"/>
        <v>0</v>
      </c>
      <c r="BC349" s="523" t="b">
        <f t="shared" si="37"/>
        <v>0</v>
      </c>
    </row>
    <row r="350" spans="1:55" s="523" customFormat="1">
      <c r="A350" s="523">
        <v>22</v>
      </c>
      <c r="B350" s="523">
        <v>1</v>
      </c>
      <c r="C350" s="414">
        <v>6</v>
      </c>
      <c r="D350" s="529">
        <v>7.3650000000000002</v>
      </c>
      <c r="E350" s="523" t="s">
        <v>188</v>
      </c>
      <c r="F350" s="414">
        <v>3.2</v>
      </c>
      <c r="G350" s="523" t="s">
        <v>188</v>
      </c>
      <c r="H350" s="557"/>
      <c r="M350" s="561"/>
      <c r="N350" s="557"/>
      <c r="Q350" s="561"/>
      <c r="R350" s="557"/>
      <c r="W350" s="561"/>
      <c r="AB350" s="557"/>
      <c r="AF350" s="561"/>
      <c r="AG350" s="557"/>
      <c r="AH350" s="414"/>
      <c r="AQ350" s="557"/>
      <c r="AV350" s="561"/>
      <c r="AW350" s="414" t="str">
        <f t="shared" si="35"/>
        <v>Other, Pressure</v>
      </c>
      <c r="AX350" s="414" t="b">
        <f t="shared" si="32"/>
        <v>0</v>
      </c>
      <c r="AY350" s="523" t="b">
        <f t="array" ref="AY350">AND(D350:G350=inp_used_minimal,A350=inp_used_usersel)</f>
        <v>0</v>
      </c>
      <c r="AZ350" s="523" t="b">
        <f t="array" ref="AZ350">AND(A350=inp_used_usersel,D350:R350=inp_used_nonvessel1,AB350:AV350=inp_used_nonvessel2,IF(B350=1,inp_used_pressure=inp_autosize_pressure,inp_used_gravity=inp_autosize_gravity))</f>
        <v>0</v>
      </c>
      <c r="BA350" s="523" t="b">
        <f t="array" ref="BA350">AND(D350:AV350=inp_used,A350=inp_used_usersel)</f>
        <v>0</v>
      </c>
      <c r="BB350" s="523" t="b">
        <f t="shared" si="37"/>
        <v>0</v>
      </c>
      <c r="BC350" s="523" t="b">
        <f t="shared" si="37"/>
        <v>0</v>
      </c>
    </row>
    <row r="351" spans="1:55" s="523" customFormat="1">
      <c r="A351" s="523">
        <v>22</v>
      </c>
      <c r="B351" s="523">
        <v>1</v>
      </c>
      <c r="C351" s="414">
        <v>7</v>
      </c>
      <c r="D351" s="529">
        <v>22.614000000000001</v>
      </c>
      <c r="E351" s="523" t="s">
        <v>188</v>
      </c>
      <c r="F351" s="414">
        <v>11.066000000000001</v>
      </c>
      <c r="G351" s="523" t="s">
        <v>188</v>
      </c>
      <c r="H351" s="557"/>
      <c r="M351" s="561"/>
      <c r="N351" s="557"/>
      <c r="Q351" s="561"/>
      <c r="R351" s="557"/>
      <c r="W351" s="561"/>
      <c r="AB351" s="557"/>
      <c r="AF351" s="561"/>
      <c r="AG351" s="557"/>
      <c r="AH351" s="414"/>
      <c r="AQ351" s="557"/>
      <c r="AV351" s="561"/>
      <c r="AW351" s="414" t="str">
        <f t="shared" si="35"/>
        <v>Other, Pressure</v>
      </c>
      <c r="AX351" s="414" t="b">
        <f t="shared" si="32"/>
        <v>0</v>
      </c>
      <c r="AY351" s="523" t="b">
        <f t="array" ref="AY351">AND(D351:G351=inp_used_minimal,A351=inp_used_usersel)</f>
        <v>0</v>
      </c>
      <c r="AZ351" s="523" t="b">
        <f t="array" ref="AZ351">AND(A351=inp_used_usersel,D351:R351=inp_used_nonvessel1,AB351:AV351=inp_used_nonvessel2,IF(B351=1,inp_used_pressure=inp_autosize_pressure,inp_used_gravity=inp_autosize_gravity))</f>
        <v>0</v>
      </c>
      <c r="BA351" s="523" t="b">
        <f t="array" ref="BA351">AND(D351:AV351=inp_used,A351=inp_used_usersel)</f>
        <v>0</v>
      </c>
      <c r="BB351" s="523" t="b">
        <f t="shared" si="37"/>
        <v>0</v>
      </c>
      <c r="BC351" s="523" t="b">
        <f t="shared" si="37"/>
        <v>0</v>
      </c>
    </row>
    <row r="352" spans="1:55" s="563" customFormat="1">
      <c r="A352" s="563">
        <v>22</v>
      </c>
      <c r="B352" s="563">
        <v>1</v>
      </c>
      <c r="C352" s="564">
        <v>8</v>
      </c>
      <c r="D352" s="918">
        <v>75.072000000000003</v>
      </c>
      <c r="E352" s="563" t="s">
        <v>188</v>
      </c>
      <c r="F352" s="564">
        <v>37.536000000000001</v>
      </c>
      <c r="G352" s="563" t="s">
        <v>188</v>
      </c>
      <c r="H352" s="919"/>
      <c r="M352" s="565"/>
      <c r="N352" s="919"/>
      <c r="Q352" s="565"/>
      <c r="R352" s="919"/>
      <c r="W352" s="565"/>
      <c r="AB352" s="919"/>
      <c r="AF352" s="565"/>
      <c r="AG352" s="919"/>
      <c r="AH352" s="564"/>
      <c r="AP352" s="565"/>
      <c r="AQ352" s="919"/>
      <c r="AV352" s="565"/>
      <c r="AW352" s="564" t="str">
        <f t="shared" si="35"/>
        <v>Other, Pressure</v>
      </c>
      <c r="AX352" s="564" t="b">
        <f t="shared" si="32"/>
        <v>0</v>
      </c>
      <c r="AY352" s="563" t="b">
        <f t="array" ref="AY352">AND(D352:G352=inp_used_minimal,A352=inp_used_usersel)</f>
        <v>0</v>
      </c>
      <c r="AZ352" s="563" t="b">
        <f t="array" ref="AZ352">AND(A352=inp_used_usersel,D352:R352=inp_used_nonvessel1,AB352:AV352=inp_used_nonvessel2,IF(B352=1,inp_used_pressure=inp_autosize_pressure,inp_used_gravity=inp_autosize_gravity))</f>
        <v>0</v>
      </c>
      <c r="BA352" s="563" t="b">
        <f t="array" ref="BA352">AND(D352:AV352=inp_used,A352=inp_used_usersel)</f>
        <v>0</v>
      </c>
      <c r="BB352" s="563" t="b">
        <f t="shared" si="37"/>
        <v>0</v>
      </c>
      <c r="BC352" s="563" t="b">
        <f t="shared" si="37"/>
        <v>0</v>
      </c>
    </row>
    <row r="353" spans="1:53" s="523" customFormat="1">
      <c r="A353" s="523">
        <v>22</v>
      </c>
      <c r="B353" s="523">
        <v>2</v>
      </c>
      <c r="C353" s="523">
        <v>1</v>
      </c>
      <c r="D353" s="917">
        <v>0.03</v>
      </c>
      <c r="E353" s="523" t="s">
        <v>188</v>
      </c>
      <c r="F353" s="414">
        <v>7.0000000000000001E-3</v>
      </c>
      <c r="G353" s="523" t="s">
        <v>188</v>
      </c>
      <c r="H353" s="917"/>
      <c r="M353" s="561"/>
      <c r="N353" s="917"/>
      <c r="Q353" s="561"/>
      <c r="R353" s="917"/>
      <c r="W353" s="561"/>
      <c r="AB353" s="917"/>
      <c r="AF353" s="561"/>
      <c r="AG353" s="917"/>
      <c r="AH353" s="414"/>
      <c r="AQ353" s="917"/>
      <c r="AV353" s="561"/>
      <c r="AW353" s="414" t="str">
        <f t="shared" si="35"/>
        <v>Other, Gravity</v>
      </c>
      <c r="AX353" s="414" t="b">
        <f t="shared" si="32"/>
        <v>0</v>
      </c>
      <c r="AY353" s="523" t="b">
        <f t="array" ref="AY353">AND(D353:G353=inp_used_minimal,A353=inp_used_usersel)</f>
        <v>0</v>
      </c>
      <c r="AZ353" s="523" t="b">
        <f t="array" ref="AZ353">AND(A353=inp_used_usersel,D353:R353=inp_used_nonvessel1,AB353:AV353=inp_used_nonvessel2,IF(B353=1,inp_used_pressure=inp_autosize_pressure,inp_used_gravity=inp_autosize_gravity))</f>
        <v>0</v>
      </c>
      <c r="BA353" s="523" t="b">
        <f t="array" ref="BA353">AND(D353:AV353=inp_used,A353=inp_used_usersel)</f>
        <v>0</v>
      </c>
    </row>
    <row r="354" spans="1:53" s="523" customFormat="1">
      <c r="A354" s="523">
        <v>22</v>
      </c>
      <c r="B354" s="523">
        <v>2</v>
      </c>
      <c r="C354" s="523">
        <v>2</v>
      </c>
      <c r="D354" s="557">
        <v>0.124</v>
      </c>
      <c r="E354" s="523" t="s">
        <v>188</v>
      </c>
      <c r="F354" s="414">
        <v>3.5000000000000003E-2</v>
      </c>
      <c r="G354" s="523" t="s">
        <v>188</v>
      </c>
      <c r="H354" s="557"/>
      <c r="M354" s="561"/>
      <c r="N354" s="557"/>
      <c r="Q354" s="561"/>
      <c r="R354" s="557"/>
      <c r="W354" s="561"/>
      <c r="AB354" s="557"/>
      <c r="AF354" s="561"/>
      <c r="AG354" s="557"/>
      <c r="AH354" s="414"/>
      <c r="AQ354" s="557"/>
      <c r="AV354" s="561"/>
      <c r="AW354" s="414" t="str">
        <f t="shared" si="35"/>
        <v>Other, Gravity</v>
      </c>
      <c r="AX354" s="414" t="b">
        <f t="shared" si="32"/>
        <v>0</v>
      </c>
      <c r="AY354" s="523" t="b">
        <f t="array" ref="AY354">AND(D354:G354=inp_used_minimal,A354=inp_used_usersel)</f>
        <v>0</v>
      </c>
      <c r="AZ354" s="523" t="b">
        <f t="array" ref="AZ354">AND(A354=inp_used_usersel,D354:R354=inp_used_nonvessel1,AB354:AV354=inp_used_nonvessel2,IF(B354=1,inp_used_pressure=inp_autosize_pressure,inp_used_gravity=inp_autosize_gravity))</f>
        <v>0</v>
      </c>
      <c r="BA354" s="523" t="b">
        <f t="array" ref="BA354">AND(D354:AV354=inp_used,A354=inp_used_usersel)</f>
        <v>0</v>
      </c>
    </row>
    <row r="355" spans="1:53" s="523" customFormat="1">
      <c r="A355" s="523">
        <v>22</v>
      </c>
      <c r="B355" s="523">
        <v>2</v>
      </c>
      <c r="C355" s="523">
        <v>3</v>
      </c>
      <c r="D355" s="557">
        <v>0.30499999999999999</v>
      </c>
      <c r="E355" s="523" t="s">
        <v>188</v>
      </c>
      <c r="F355" s="414">
        <v>9.4E-2</v>
      </c>
      <c r="G355" s="523" t="s">
        <v>188</v>
      </c>
      <c r="H355" s="557"/>
      <c r="M355" s="561"/>
      <c r="N355" s="557"/>
      <c r="Q355" s="561"/>
      <c r="R355" s="557"/>
      <c r="W355" s="561"/>
      <c r="AB355" s="557"/>
      <c r="AF355" s="561"/>
      <c r="AG355" s="557"/>
      <c r="AH355" s="414"/>
      <c r="AQ355" s="557"/>
      <c r="AV355" s="561"/>
      <c r="AW355" s="414" t="str">
        <f t="shared" si="35"/>
        <v>Other, Gravity</v>
      </c>
      <c r="AX355" s="414" t="b">
        <f t="shared" si="32"/>
        <v>0</v>
      </c>
      <c r="AY355" s="523" t="b">
        <f t="array" ref="AY355">AND(D355:G355=inp_used_minimal,A355=inp_used_usersel)</f>
        <v>0</v>
      </c>
      <c r="AZ355" s="523" t="b">
        <f t="array" ref="AZ355">AND(A355=inp_used_usersel,D355:R355=inp_used_nonvessel1,AB355:AV355=inp_used_nonvessel2,IF(B355=1,inp_used_pressure=inp_autosize_pressure,inp_used_gravity=inp_autosize_gravity))</f>
        <v>0</v>
      </c>
      <c r="BA355" s="523" t="b">
        <f t="array" ref="BA355">AND(D355:AV355=inp_used,A355=inp_used_usersel)</f>
        <v>0</v>
      </c>
    </row>
    <row r="356" spans="1:53" s="523" customFormat="1">
      <c r="A356" s="523">
        <v>22</v>
      </c>
      <c r="B356" s="523">
        <v>2</v>
      </c>
      <c r="C356" s="523">
        <v>4</v>
      </c>
      <c r="D356" s="557">
        <v>0.74</v>
      </c>
      <c r="E356" s="523" t="s">
        <v>188</v>
      </c>
      <c r="F356" s="414">
        <v>0.251</v>
      </c>
      <c r="G356" s="523" t="s">
        <v>188</v>
      </c>
      <c r="H356" s="557"/>
      <c r="M356" s="561"/>
      <c r="N356" s="557"/>
      <c r="Q356" s="561"/>
      <c r="R356" s="557"/>
      <c r="W356" s="561"/>
      <c r="AB356" s="557"/>
      <c r="AF356" s="561"/>
      <c r="AG356" s="557"/>
      <c r="AH356" s="414"/>
      <c r="AQ356" s="557"/>
      <c r="AV356" s="561"/>
      <c r="AW356" s="414" t="str">
        <f t="shared" si="35"/>
        <v>Other, Gravity</v>
      </c>
      <c r="AX356" s="414" t="b">
        <f t="shared" si="32"/>
        <v>0</v>
      </c>
      <c r="AY356" s="523" t="b">
        <f t="array" ref="AY356">AND(D356:G356=inp_used_minimal,A356=inp_used_usersel)</f>
        <v>0</v>
      </c>
      <c r="AZ356" s="523" t="b">
        <f t="array" ref="AZ356">AND(A356=inp_used_usersel,D356:R356=inp_used_nonvessel1,AB356:AV356=inp_used_nonvessel2,IF(B356=1,inp_used_pressure=inp_autosize_pressure,inp_used_gravity=inp_autosize_gravity))</f>
        <v>0</v>
      </c>
      <c r="BA356" s="523" t="b">
        <f t="array" ref="BA356">AND(D356:AV356=inp_used,A356=inp_used_usersel)</f>
        <v>0</v>
      </c>
    </row>
    <row r="357" spans="1:53" s="523" customFormat="1">
      <c r="A357" s="523">
        <v>22</v>
      </c>
      <c r="B357" s="523">
        <v>2</v>
      </c>
      <c r="C357" s="414">
        <v>5</v>
      </c>
      <c r="D357" s="529">
        <v>2.1520000000000001</v>
      </c>
      <c r="E357" s="523" t="s">
        <v>188</v>
      </c>
      <c r="F357" s="414">
        <v>0.81899999999999995</v>
      </c>
      <c r="G357" s="523" t="s">
        <v>188</v>
      </c>
      <c r="H357" s="557"/>
      <c r="M357" s="561"/>
      <c r="N357" s="557"/>
      <c r="Q357" s="561"/>
      <c r="R357" s="557"/>
      <c r="W357" s="561"/>
      <c r="AB357" s="557"/>
      <c r="AF357" s="561"/>
      <c r="AG357" s="557"/>
      <c r="AH357" s="414"/>
      <c r="AQ357" s="557"/>
      <c r="AV357" s="561"/>
      <c r="AW357" s="414" t="str">
        <f t="shared" si="35"/>
        <v>Other, Gravity</v>
      </c>
      <c r="AX357" s="414" t="b">
        <f t="shared" si="32"/>
        <v>0</v>
      </c>
      <c r="AY357" s="523" t="b">
        <f t="array" ref="AY357">AND(D357:G357=inp_used_minimal,A357=inp_used_usersel)</f>
        <v>0</v>
      </c>
      <c r="AZ357" s="523" t="b">
        <f t="array" ref="AZ357">AND(A357=inp_used_usersel,D357:R357=inp_used_nonvessel1,AB357:AV357=inp_used_nonvessel2,IF(B357=1,inp_used_pressure=inp_autosize_pressure,inp_used_gravity=inp_autosize_gravity))</f>
        <v>0</v>
      </c>
      <c r="BA357" s="523" t="b">
        <f t="array" ref="BA357">AND(D357:AV357=inp_used,A357=inp_used_usersel)</f>
        <v>0</v>
      </c>
    </row>
    <row r="358" spans="1:53" s="523" customFormat="1">
      <c r="A358" s="523">
        <v>22</v>
      </c>
      <c r="B358" s="523">
        <v>2</v>
      </c>
      <c r="C358" s="414">
        <v>6</v>
      </c>
      <c r="D358" s="529">
        <v>7.3650000000000002</v>
      </c>
      <c r="E358" s="523" t="s">
        <v>188</v>
      </c>
      <c r="F358" s="414">
        <v>3.2</v>
      </c>
      <c r="G358" s="523" t="s">
        <v>188</v>
      </c>
      <c r="H358" s="557"/>
      <c r="M358" s="561"/>
      <c r="N358" s="557"/>
      <c r="Q358" s="561"/>
      <c r="R358" s="557"/>
      <c r="W358" s="561"/>
      <c r="AB358" s="557"/>
      <c r="AF358" s="561"/>
      <c r="AG358" s="557"/>
      <c r="AH358" s="414"/>
      <c r="AQ358" s="557"/>
      <c r="AV358" s="561"/>
      <c r="AW358" s="414" t="str">
        <f t="shared" si="35"/>
        <v>Other, Gravity</v>
      </c>
      <c r="AX358" s="414" t="b">
        <f t="shared" si="32"/>
        <v>0</v>
      </c>
      <c r="AY358" s="523" t="b">
        <f t="array" ref="AY358">AND(D358:G358=inp_used_minimal,A358=inp_used_usersel)</f>
        <v>0</v>
      </c>
      <c r="AZ358" s="523" t="b">
        <f t="array" ref="AZ358">AND(A358=inp_used_usersel,D358:R358=inp_used_nonvessel1,AB358:AV358=inp_used_nonvessel2,IF(B358=1,inp_used_pressure=inp_autosize_pressure,inp_used_gravity=inp_autosize_gravity))</f>
        <v>0</v>
      </c>
      <c r="BA358" s="523" t="b">
        <f t="array" ref="BA358">AND(D358:AV358=inp_used,A358=inp_used_usersel)</f>
        <v>0</v>
      </c>
    </row>
    <row r="359" spans="1:53" s="523" customFormat="1">
      <c r="A359" s="523">
        <v>22</v>
      </c>
      <c r="B359" s="523">
        <v>2</v>
      </c>
      <c r="C359" s="414">
        <v>7</v>
      </c>
      <c r="D359" s="529">
        <v>22.614000000000001</v>
      </c>
      <c r="E359" s="523" t="s">
        <v>188</v>
      </c>
      <c r="F359" s="414">
        <v>11.066000000000001</v>
      </c>
      <c r="G359" s="523" t="s">
        <v>188</v>
      </c>
      <c r="H359" s="557"/>
      <c r="M359" s="561"/>
      <c r="N359" s="557"/>
      <c r="Q359" s="561"/>
      <c r="R359" s="557"/>
      <c r="W359" s="561"/>
      <c r="AB359" s="557"/>
      <c r="AF359" s="561"/>
      <c r="AG359" s="557"/>
      <c r="AH359" s="414"/>
      <c r="AQ359" s="557"/>
      <c r="AV359" s="561"/>
      <c r="AW359" s="414" t="str">
        <f t="shared" si="35"/>
        <v>Other, Gravity</v>
      </c>
      <c r="AX359" s="414" t="b">
        <f t="shared" si="32"/>
        <v>0</v>
      </c>
      <c r="AY359" s="523" t="b">
        <f t="array" ref="AY359">AND(D359:G359=inp_used_minimal,A359=inp_used_usersel)</f>
        <v>0</v>
      </c>
      <c r="AZ359" s="523" t="b">
        <f t="array" ref="AZ359">AND(A359=inp_used_usersel,D359:R359=inp_used_nonvessel1,AB359:AV359=inp_used_nonvessel2,IF(B359=1,inp_used_pressure=inp_autosize_pressure,inp_used_gravity=inp_autosize_gravity))</f>
        <v>0</v>
      </c>
      <c r="BA359" s="523" t="b">
        <f t="array" ref="BA359">AND(D359:AV359=inp_used,A359=inp_used_usersel)</f>
        <v>0</v>
      </c>
    </row>
    <row r="360" spans="1:53" s="563" customFormat="1">
      <c r="A360" s="563">
        <v>22</v>
      </c>
      <c r="B360" s="563">
        <v>2</v>
      </c>
      <c r="C360" s="564">
        <v>8</v>
      </c>
      <c r="D360" s="918">
        <v>75.072000000000003</v>
      </c>
      <c r="E360" s="563" t="s">
        <v>188</v>
      </c>
      <c r="F360" s="564">
        <v>37.536000000000001</v>
      </c>
      <c r="G360" s="563" t="s">
        <v>188</v>
      </c>
      <c r="H360" s="919"/>
      <c r="M360" s="565"/>
      <c r="N360" s="919"/>
      <c r="Q360" s="565"/>
      <c r="R360" s="919"/>
      <c r="W360" s="565"/>
      <c r="AB360" s="919"/>
      <c r="AF360" s="565"/>
      <c r="AG360" s="919"/>
      <c r="AH360" s="564"/>
      <c r="AP360" s="565"/>
      <c r="AQ360" s="919"/>
      <c r="AV360" s="565"/>
      <c r="AW360" s="564" t="str">
        <f t="shared" si="35"/>
        <v>Other, Gravity</v>
      </c>
      <c r="AX360" s="564" t="b">
        <f t="shared" si="32"/>
        <v>0</v>
      </c>
      <c r="AY360" s="563" t="b">
        <f t="array" ref="AY360">AND(D360:G360=inp_used_minimal,A360=inp_used_usersel)</f>
        <v>0</v>
      </c>
      <c r="AZ360" s="563" t="b">
        <f t="array" ref="AZ360">AND(A360=inp_used_usersel,D360:R360=inp_used_nonvessel1,AB360:AV360=inp_used_nonvessel2,IF(B360=1,inp_used_pressure=inp_autosize_pressure,inp_used_gravity=inp_autosize_gravity))</f>
        <v>0</v>
      </c>
      <c r="BA360" s="563" t="b">
        <f t="array" ref="BA360">AND(D360:AV360=inp_used,A360=inp_used_usersel)</f>
        <v>0</v>
      </c>
    </row>
    <row r="361" spans="1:53">
      <c r="D361" s="3" t="s">
        <v>3720</v>
      </c>
      <c r="T361" s="3" t="s">
        <v>3721</v>
      </c>
      <c r="Y361" s="3" t="s">
        <v>3722</v>
      </c>
      <c r="AY361" s="523"/>
      <c r="AZ361" s="523"/>
    </row>
    <row r="362" spans="1:53">
      <c r="A362" s="231">
        <f>IF(LEN(contam_type)=0,"",contam_type)</f>
        <v>22</v>
      </c>
      <c r="B362" s="231">
        <f>IF(LEN(design_type)=0,"",design_type)</f>
        <v>1</v>
      </c>
      <c r="C362" s="231" t="s">
        <v>1893</v>
      </c>
      <c r="D362" s="231">
        <f>IF(LEN(design_flow_I)=0,"",design_flow_I)</f>
        <v>2.1520000000000001</v>
      </c>
      <c r="E362" s="231" t="str">
        <f>IF(LEN(df_units)=0,"",df_units)</f>
        <v>MGD</v>
      </c>
      <c r="F362" s="231">
        <f>IF(LEN(average_flow_I)=0,"",average_flow_I)</f>
        <v>2.1520000000000001</v>
      </c>
      <c r="G362" s="231" t="str">
        <f>IF(LEN(af_units)=0,"",af_units)</f>
        <v>MGD</v>
      </c>
      <c r="H362" s="231" t="str">
        <f>IF(LEN(regen_type_I)=0,"",regen_type_I)</f>
        <v>throwaway (hazardous)</v>
      </c>
      <c r="I362" s="231" t="str">
        <f>IF(LEN(freund_type_I)=0,"",freund_type_I)</f>
        <v>carbon life value- bed volumes</v>
      </c>
      <c r="J362" s="231">
        <f>IF(LEN(freund_1)=0,"",freund_1)</f>
        <v>12100</v>
      </c>
      <c r="K362" s="231" t="str">
        <f>IF(LEN(freund_2)=0,"",freund_2)</f>
        <v/>
      </c>
      <c r="L362" s="231" t="str">
        <f>IF(LEN(C_0)=0,"",C_0)</f>
        <v/>
      </c>
      <c r="M362" s="231" t="str">
        <f>IF(LEN(C_b)=0,"",C_b)</f>
        <v/>
      </c>
      <c r="N362" s="231" t="str">
        <f>IF(LEN(EBCT_type_I)=0,"",EBCT_type_I)</f>
        <v>EBCT</v>
      </c>
      <c r="O362" s="231">
        <f>IF(LEN(EBCT_I)=0,"",EBCT_I)</f>
        <v>10</v>
      </c>
      <c r="P362" s="231" t="str">
        <f>IF(LEN(EBCT_O)=0,"",af_unitsEBCT_O)</f>
        <v/>
      </c>
      <c r="Q362" s="231" t="str">
        <f>IF(LEN(Kss)=0,"",Kss)</f>
        <v/>
      </c>
      <c r="R362" s="231">
        <f>IF(LEN(Num_tanks_I)=0,"",Num_tanks_I)</f>
        <v>2</v>
      </c>
      <c r="S362" s="231" t="str">
        <f>IF(LEN(use_autosize)=0,"",use_autosize)</f>
        <v/>
      </c>
      <c r="T362" s="231">
        <f>IF(LEN(bed_depth)=0,"",bed_depth)</f>
        <v>6.3999999999999995</v>
      </c>
      <c r="U362" s="231" t="str">
        <f>IF(LEN(tank_geom_I)=0,"",tank_geom_I)</f>
        <v>upright</v>
      </c>
      <c r="V362" s="231">
        <f>IF(LEN(comm_height_length)=0,"",comm_height_length)</f>
        <v>10.5</v>
      </c>
      <c r="W362" s="231">
        <f>IF(LEN(comm_diam)=0,"",comm_diam)</f>
        <v>10</v>
      </c>
      <c r="X362" s="231" t="str">
        <f>IF(LEN(use_autosizeA)=0,"",use_autosizeA)</f>
        <v/>
      </c>
      <c r="Y362" s="231" t="str">
        <f>IF(LEN(basin_width)=0,"",basin_width)</f>
        <v/>
      </c>
      <c r="Z362" s="231" t="str">
        <f>IF(LEN(basin_length)=0,"",basin_length)</f>
        <v/>
      </c>
      <c r="AA362" s="231" t="str">
        <f>IF(LEN(basin_op_depth)=0,"",basin_op_depth)</f>
        <v/>
      </c>
      <c r="AB362" s="231">
        <f>IF(LEN(back_interval_I)=0,"",back_interval_I)</f>
        <v>168</v>
      </c>
      <c r="AC362" s="231" t="str">
        <f>IF(LEN(res_s2_opt_I)=0,"",res_s2_opt_I)</f>
        <v>recycle</v>
      </c>
      <c r="AD362" s="231" t="str">
        <f>IF(LEN(res_s1_opt_I)=0,"",res_s1_opt_I)</f>
        <v>none</v>
      </c>
      <c r="AE362" s="231" t="str">
        <f>IF(LEN(transfer_method_I)=0,"",transfer_method_I)</f>
        <v>manual transfer</v>
      </c>
      <c r="AF362" s="231" t="str">
        <f>IF(LEN(solids_haz_I)=0,"",solids_haz_I)</f>
        <v>hazardous</v>
      </c>
      <c r="AG362" s="231" t="str">
        <f>IF(LEN(NRD_I)=0,"",NRD_I)</f>
        <v/>
      </c>
      <c r="AH362" s="231" t="str">
        <f>IF(LEN(lines_pump_I)=0,"",lines_pump_I)</f>
        <v/>
      </c>
      <c r="AI362" s="231" t="str">
        <f>IF(LEN(no_backwash_I)=0,"",no_backwash_I)</f>
        <v/>
      </c>
      <c r="AJ362" s="231" t="str">
        <f>IF(LEN(no_back_tank_I)=0,"",no_back_tank_I)</f>
        <v/>
      </c>
      <c r="AK362" s="231" t="str">
        <f>IF(LEN(manual_I)=0,"",manual_I)</f>
        <v/>
      </c>
      <c r="AL362" s="231" t="str">
        <f>IF(LEN(component_level_I)=0,"",component_level_I)</f>
        <v/>
      </c>
      <c r="AM362" s="231" t="str">
        <f>IF(LEN(include_buildings_I)=0,"",include_buildings_I)</f>
        <v>no</v>
      </c>
      <c r="AN362" s="231" t="str">
        <f>IF(LEN(include_HVAC_I)=0,"",include_HVAC_I)</f>
        <v/>
      </c>
      <c r="AO362" s="231" t="str">
        <f>IF(LEN(include_land_I)=0,"",include_land_I)</f>
        <v>no</v>
      </c>
      <c r="AP362" s="231" t="str">
        <f>IF(LEN(addon_I)=0,"",addon_I)</f>
        <v/>
      </c>
      <c r="AQ362" s="231" t="str">
        <f>IF(LEN(retrofit_I)=0,"",retrofit_I)</f>
        <v/>
      </c>
      <c r="AR362" s="231" t="str">
        <f>IF(LEN(r_freund_type_I)=0,"",r_freund_type_I)</f>
        <v/>
      </c>
      <c r="AS362" s="231" t="str">
        <f>IF(LEN(r_freund_1)=0,"",r_freund_1)</f>
        <v/>
      </c>
      <c r="AT362" s="231" t="str">
        <f>IF(LEN(r_freund_2)=0,"",r_freund_2)</f>
        <v/>
      </c>
      <c r="AU362" s="231" t="str">
        <f>IF(LEN(r_C_0)=0,"",r_C_0)</f>
        <v/>
      </c>
      <c r="AV362" s="231" t="str">
        <f>IF(LEN(r_C_b)=0,"",r_C_b)</f>
        <v/>
      </c>
      <c r="AW362" s="414" t="s">
        <v>2471</v>
      </c>
    </row>
    <row r="363" spans="1:53">
      <c r="A363" s="231"/>
      <c r="B363" s="231"/>
      <c r="C363" s="231"/>
      <c r="D363" s="231">
        <v>2.1520000000000001</v>
      </c>
      <c r="E363" s="231" t="s">
        <v>188</v>
      </c>
      <c r="F363" s="231">
        <v>2.1520000000000001</v>
      </c>
      <c r="G363" s="231" t="s">
        <v>188</v>
      </c>
      <c r="H363" s="231" t="s">
        <v>4647</v>
      </c>
      <c r="I363" s="231" t="s">
        <v>936</v>
      </c>
      <c r="J363" s="231">
        <v>12100</v>
      </c>
      <c r="K363" s="231"/>
      <c r="L363" s="231"/>
      <c r="M363" s="231"/>
      <c r="N363" s="231" t="s">
        <v>194</v>
      </c>
      <c r="O363" s="231">
        <v>10</v>
      </c>
      <c r="P363" s="231"/>
      <c r="Q363" s="231"/>
      <c r="R363" s="231">
        <v>2</v>
      </c>
      <c r="S363" s="231"/>
      <c r="T363" s="231">
        <v>6.3999999999999995</v>
      </c>
      <c r="U363" s="231" t="s">
        <v>4636</v>
      </c>
      <c r="V363" s="231">
        <v>10.5</v>
      </c>
      <c r="W363" s="231">
        <v>10</v>
      </c>
      <c r="X363" s="231"/>
      <c r="Y363" s="231"/>
      <c r="Z363" s="231"/>
      <c r="AA363" s="231"/>
      <c r="AB363" s="231">
        <v>168</v>
      </c>
      <c r="AC363" s="231" t="s">
        <v>4646</v>
      </c>
      <c r="AD363" s="231" t="s">
        <v>1377</v>
      </c>
      <c r="AE363" s="231" t="s">
        <v>499</v>
      </c>
      <c r="AF363" s="231" t="s">
        <v>4648</v>
      </c>
      <c r="AG363" s="231"/>
      <c r="AH363" s="231"/>
      <c r="AI363" s="231"/>
      <c r="AJ363" s="231"/>
      <c r="AK363" s="231"/>
      <c r="AL363" s="231"/>
      <c r="AM363" s="231" t="s">
        <v>3492</v>
      </c>
      <c r="AN363" s="231"/>
      <c r="AO363" s="231" t="s">
        <v>3492</v>
      </c>
      <c r="AP363" s="231"/>
      <c r="AQ363" s="231"/>
      <c r="AR363" s="231"/>
      <c r="AS363" s="231"/>
      <c r="AT363" s="231"/>
      <c r="AU363" s="231"/>
      <c r="AV363" s="231"/>
      <c r="AW363" s="414" t="s">
        <v>2472</v>
      </c>
      <c r="AX363" s="414" t="b">
        <f t="array" ref="AX363">AND(D363:AV363=inp_used)</f>
        <v>1</v>
      </c>
    </row>
    <row r="365" spans="1:53">
      <c r="T365" s="3" t="s">
        <v>3723</v>
      </c>
      <c r="Y365" s="3" t="s">
        <v>3724</v>
      </c>
    </row>
    <row r="366" spans="1:53">
      <c r="T366" s="925">
        <f>IFERROR(comp_bed_depth,"")</f>
        <v>6.3999999999999995</v>
      </c>
      <c r="U366" s="925" t="str">
        <f>IFERROR(comp_tank_geom,"")</f>
        <v>upright</v>
      </c>
      <c r="V366" s="925">
        <f>IF(U366="upright",IFERROR(comp_vert_height,""),IFERROR(comp_horiz_length,""))</f>
        <v>10.5</v>
      </c>
      <c r="W366" s="925">
        <f>IF(U366="upright",IFERROR(comp_vert_diam,""),IFERROR(comp_horiz_diam,""))</f>
        <v>10</v>
      </c>
      <c r="Y366" s="926">
        <f>IFERROR(comp_length_width_a,"")</f>
        <v>16</v>
      </c>
      <c r="Z366" s="926">
        <f>IFERROR(comp_length_width_a,"")</f>
        <v>16</v>
      </c>
      <c r="AA366" s="926">
        <f>IFERROR(comp_bed_depth_a,"")</f>
        <v>4</v>
      </c>
    </row>
  </sheetData>
  <mergeCells count="10">
    <mergeCell ref="AX7:BC7"/>
    <mergeCell ref="A6:C6"/>
    <mergeCell ref="AQ6:AV6"/>
    <mergeCell ref="AG6:AP6"/>
    <mergeCell ref="H6:M6"/>
    <mergeCell ref="D6:G6"/>
    <mergeCell ref="N6:Q6"/>
    <mergeCell ref="R6:W6"/>
    <mergeCell ref="AB6:AF6"/>
    <mergeCell ref="X6:AA6"/>
  </mergeCells>
  <phoneticPr fontId="0" type="noConversion"/>
  <dataValidations count="20">
    <dataValidation type="list" allowBlank="1" showInputMessage="1" showErrorMessage="1" sqref="U345:U360 U313:U320 U185:U192 U137:U144 U153:U160 U9:U16 U25:U32 U201:U208 U233:U240 U41:U48 U57:U64 U217:U224 U73:U80 U249:U256 U265:U272 U169:U176 U121:U128 U281:U288 U297:U304 U329:U336 U89:U96 U105:U112" xr:uid="{00000000-0002-0000-0200-000000000000}">
      <formula1>"upright,horizontal"</formula1>
    </dataValidation>
    <dataValidation type="list" allowBlank="1" showInputMessage="1" showErrorMessage="1" sqref="AD345:AD360 AD265:AD272 AD249:AD256 AD233:AD240 AD217:AD224 AD201:AD208 AD41:AD48 AD329:AD336 AD281:AD288 AD57:AD64 AD313:AD320 AD153:AD160 AD137:AD144 AD121:AD128 AD9:AD16 AD185:AD192 AD169:AD176 AD73:AD80 AD297:AD304 AD25:AD32 AD89:AD96 AD105:AD112" xr:uid="{00000000-0002-0000-0200-000001000000}">
      <formula1>res_s1_valid</formula1>
    </dataValidation>
    <dataValidation type="list" allowBlank="1" showInputMessage="1" showErrorMessage="1" sqref="AD337:AD344 AD257:AD264 AD241:AD248 AD225:AD232 AD209:AD216 AD49:AD56 AD273:AD280 AD33:AD40 AD65:AD72 AD321:AD328 AD161:AD168 AD145:AD152 AD129:AD136 AD17:AD24 AD193:AD200 AD177:AD184 AD289:AD296 AD305:AD312 AD81:AD88 AD97:AD104 AD113:AD120" xr:uid="{00000000-0002-0000-0200-000002000000}">
      <formula1>tank_valid</formula1>
    </dataValidation>
    <dataValidation type="decimal" operator="greaterThan" allowBlank="1" showInputMessage="1" showErrorMessage="1" sqref="F9 D9:D16 D25:D360" xr:uid="{00000000-0002-0000-0200-000003000000}">
      <formula1>0</formula1>
    </dataValidation>
    <dataValidation type="list" allowBlank="1" showInputMessage="1" showErrorMessage="1" error="Invalid selection" sqref="G9:G16 G25:G360 E9:E360" xr:uid="{00000000-0002-0000-0200-000004000000}">
      <formula1>"MGD,gpm"</formula1>
    </dataValidation>
    <dataValidation type="list" allowBlank="1" showInputMessage="1" showErrorMessage="1" sqref="AR9:AR360 I9:I360" xr:uid="{00000000-0002-0000-0200-000005000000}">
      <formula1>"carbon life value- months, calculation from Freundlich isotherm, carbon life value- bed volumes"</formula1>
    </dataValidation>
    <dataValidation type="list" allowBlank="1" showInputMessage="1" showErrorMessage="1" sqref="N9:N360" xr:uid="{00000000-0002-0000-0200-000006000000}">
      <formula1>"contaminant removal %, influent and effluent concentrations, EBCT"</formula1>
    </dataValidation>
    <dataValidation type="list" allowBlank="1" showInputMessage="1" showErrorMessage="1" sqref="AC9:AC360" xr:uid="{00000000-0002-0000-0200-000007000000}">
      <formula1>"surface water, POTW, recycle, septic system"</formula1>
    </dataValidation>
    <dataValidation type="list" allowBlank="1" showInputMessage="1" showErrorMessage="1" sqref="AE9:AE360" xr:uid="{00000000-0002-0000-0200-000008000000}">
      <formula1>"eductors,manual transfer"</formula1>
    </dataValidation>
    <dataValidation type="list" allowBlank="1" showInputMessage="1" showErrorMessage="1" sqref="AL9:AL360" xr:uid="{00000000-0002-0000-0200-000009000000}">
      <formula1>"low cost,mid cost,high cost"</formula1>
    </dataValidation>
    <dataValidation type="list" allowBlank="1" showInputMessage="1" showErrorMessage="1" sqref="AK9:AK360" xr:uid="{00000000-0002-0000-0200-00000A000000}">
      <formula1>"manual,semi-automated,fully automated"</formula1>
    </dataValidation>
    <dataValidation type="list" allowBlank="1" showInputMessage="1" showErrorMessage="1" error="Invalid selection" sqref="G17:G24" xr:uid="{00000000-0002-0000-0200-00000B000000}">
      <formula1>"MGD,gpm,fraction of design flow"</formula1>
    </dataValidation>
    <dataValidation type="list" allowBlank="1" showInputMessage="1" showErrorMessage="1" sqref="AI9:AI360" xr:uid="{00000000-0002-0000-0200-00000C000000}">
      <formula1>"existing pumps,new pumps"</formula1>
    </dataValidation>
    <dataValidation type="list" allowBlank="1" showInputMessage="1" showErrorMessage="1" sqref="AJ9:AJ360" xr:uid="{00000000-0002-0000-0200-00000D000000}">
      <formula1>"existing storage,new storage"</formula1>
    </dataValidation>
    <dataValidation type="decimal" operator="notEqual" allowBlank="1" showInputMessage="1" showErrorMessage="1" sqref="AS9:AV360" xr:uid="{00000000-0002-0000-0200-00000E000000}">
      <formula1>0</formula1>
    </dataValidation>
    <dataValidation type="list" allowBlank="1" showInputMessage="1" showErrorMessage="1" sqref="AQ9:AQ360" xr:uid="{00000000-0002-0000-0200-00000F000000}">
      <formula1>"retrofit"</formula1>
    </dataValidation>
    <dataValidation type="list" allowBlank="1" showInputMessage="1" showErrorMessage="1" sqref="AP9:AP360" xr:uid="{00000000-0002-0000-0200-000010000000}">
      <formula1>"add-on"</formula1>
    </dataValidation>
    <dataValidation type="list" allowBlank="1" showInputMessage="1" showErrorMessage="1" sqref="H9:H360" xr:uid="{00000000-0002-0000-0200-000011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AF9:AF360" xr:uid="{00000000-0002-0000-0200-000012000000}">
      <formula1>res_sol_validation</formula1>
    </dataValidation>
    <dataValidation type="list" allowBlank="1" showInputMessage="1" showErrorMessage="1" sqref="X9:X360 S9:S360 AM9:AO360" xr:uid="{00000000-0002-0000-0200-000013000000}">
      <formula1>yes_no_valid</formula1>
    </dataValidation>
  </dataValidations>
  <pageMargins left="0.75" right="0.75" top="1" bottom="1" header="0.5" footer="0.5"/>
  <pageSetup scale="5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4240" r:id="rId4" name="cmdFactoryDefaults">
              <controlPr defaultSize="0" print="0" autoFill="0" autoPict="0" macro="[0]!Sheet12.cmdFactoryDefaults_Click">
                <anchor moveWithCells="1" sizeWithCells="1">
                  <from>
                    <xdr:col>0</xdr:col>
                    <xdr:colOff>38100</xdr:colOff>
                    <xdr:row>2</xdr:row>
                    <xdr:rowOff>50800</xdr:rowOff>
                  </from>
                  <to>
                    <xdr:col>1</xdr:col>
                    <xdr:colOff>673100</xdr:colOff>
                    <xdr:row>4</xdr:row>
                    <xdr:rowOff>88900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I182"/>
  <sheetViews>
    <sheetView workbookViewId="0">
      <pane ySplit="6" topLeftCell="A7" activePane="bottomLeft" state="frozen"/>
      <selection pane="bottomLeft"/>
    </sheetView>
  </sheetViews>
  <sheetFormatPr baseColWidth="10" defaultColWidth="8.83203125" defaultRowHeight="13"/>
  <cols>
    <col min="1" max="1" width="26.5" customWidth="1"/>
    <col min="2" max="2" width="27" style="3" bestFit="1" customWidth="1"/>
  </cols>
  <sheetData>
    <row r="1" spans="1:5">
      <c r="A1" s="1" t="s">
        <v>3268</v>
      </c>
    </row>
    <row r="2" spans="1:5">
      <c r="A2" s="7" t="s">
        <v>3266</v>
      </c>
      <c r="B2"/>
    </row>
    <row r="3" spans="1:5">
      <c r="A3" s="7" t="s">
        <v>3267</v>
      </c>
      <c r="B3"/>
    </row>
    <row r="4" spans="1:5">
      <c r="A4" s="62" t="s">
        <v>1851</v>
      </c>
      <c r="B4" s="60"/>
      <c r="C4" s="60"/>
      <c r="D4" s="60"/>
    </row>
    <row r="5" spans="1:5">
      <c r="A5" s="40" t="s">
        <v>964</v>
      </c>
      <c r="B5" s="64"/>
      <c r="C5" s="64"/>
      <c r="D5" s="64"/>
    </row>
    <row r="6" spans="1:5">
      <c r="A6" s="1"/>
      <c r="C6" s="3"/>
      <c r="D6" s="3"/>
    </row>
    <row r="7" spans="1:5" s="384" customFormat="1">
      <c r="A7" s="382" t="s">
        <v>2095</v>
      </c>
      <c r="B7" s="383"/>
      <c r="C7" s="383"/>
      <c r="D7" s="383"/>
    </row>
    <row r="9" spans="1:5">
      <c r="A9" s="63" t="s">
        <v>2506</v>
      </c>
    </row>
    <row r="10" spans="1:5">
      <c r="A10" t="s">
        <v>2033</v>
      </c>
      <c r="C10">
        <f>design_flow_rate</f>
        <v>1494.4444444444443</v>
      </c>
      <c r="D10" t="s">
        <v>1762</v>
      </c>
    </row>
    <row r="11" spans="1:5">
      <c r="A11" t="s">
        <v>2164</v>
      </c>
      <c r="C11">
        <f>Num_tanks</f>
        <v>2</v>
      </c>
    </row>
    <row r="12" spans="1:5">
      <c r="A12" t="s">
        <v>2473</v>
      </c>
      <c r="C12">
        <f>EBCT</f>
        <v>10</v>
      </c>
      <c r="D12" t="s">
        <v>2034</v>
      </c>
    </row>
    <row r="13" spans="1:5">
      <c r="A13" t="s">
        <v>3111</v>
      </c>
      <c r="C13">
        <f>EBCT_tank</f>
        <v>5</v>
      </c>
      <c r="D13" t="s">
        <v>2034</v>
      </c>
    </row>
    <row r="14" spans="1:5">
      <c r="A14" t="s">
        <v>2474</v>
      </c>
      <c r="B14" s="3" t="s">
        <v>2475</v>
      </c>
      <c r="C14">
        <f>IF(EBCT_tank="-",0,design_flow_rate*EBCT_tank/7.48)</f>
        <v>998.96019013666057</v>
      </c>
      <c r="D14" t="s">
        <v>2165</v>
      </c>
      <c r="E14" s="36" t="s">
        <v>2481</v>
      </c>
    </row>
    <row r="15" spans="1:5">
      <c r="A15" t="s">
        <v>2695</v>
      </c>
      <c r="B15" s="3" t="s">
        <v>2696</v>
      </c>
      <c r="C15" s="40">
        <v>0</v>
      </c>
      <c r="E15" s="36" t="s">
        <v>689</v>
      </c>
    </row>
    <row r="16" spans="1:5">
      <c r="A16" t="s">
        <v>2476</v>
      </c>
      <c r="B16" s="3" t="s">
        <v>2477</v>
      </c>
      <c r="C16">
        <f>design_flow_rate/load_max</f>
        <v>149.44444444444443</v>
      </c>
      <c r="D16" t="s">
        <v>1845</v>
      </c>
      <c r="E16" s="36" t="s">
        <v>2716</v>
      </c>
    </row>
    <row r="17" spans="1:6">
      <c r="A17" t="s">
        <v>2478</v>
      </c>
      <c r="B17" s="3" t="s">
        <v>2479</v>
      </c>
      <c r="C17">
        <f>design_flow_rate/load_min</f>
        <v>2988.8888888888887</v>
      </c>
      <c r="D17" t="s">
        <v>1845</v>
      </c>
      <c r="E17" s="36" t="s">
        <v>2717</v>
      </c>
    </row>
    <row r="18" spans="1:6">
      <c r="A18" t="s">
        <v>2480</v>
      </c>
      <c r="B18" s="3" t="s">
        <v>2166</v>
      </c>
      <c r="C18">
        <f>design_flow_rate*EBCT/7.481</f>
        <v>1997.6533143222086</v>
      </c>
      <c r="D18" t="s">
        <v>2165</v>
      </c>
      <c r="E18" s="36" t="s">
        <v>2718</v>
      </c>
    </row>
    <row r="19" spans="1:6">
      <c r="E19" s="36"/>
    </row>
    <row r="20" spans="1:6">
      <c r="A20" s="2" t="s">
        <v>2719</v>
      </c>
      <c r="E20" s="36"/>
    </row>
    <row r="21" spans="1:6">
      <c r="A21" t="s">
        <v>2720</v>
      </c>
      <c r="B21" s="3" t="s">
        <v>2721</v>
      </c>
      <c r="C21">
        <f>(comp_max_vert_diam/2-Vessel_thickness)*(comp_max_vert_diam/2-Vessel_thickness)*PI()*comp_max_vert_bed_depth</f>
        <v>1308.4733402201487</v>
      </c>
      <c r="D21" t="s">
        <v>2165</v>
      </c>
      <c r="E21" s="36" t="s">
        <v>2504</v>
      </c>
    </row>
    <row r="22" spans="1:6">
      <c r="A22" t="s">
        <v>2722</v>
      </c>
      <c r="B22" s="3" t="s">
        <v>2723</v>
      </c>
      <c r="C22">
        <f>IF(max_diam="-",0,(max_diam/2-Vessel_thickness)*(max_diam/2-Vessel_thickness)*PI())</f>
        <v>153.93804002589985</v>
      </c>
      <c r="D22" t="s">
        <v>1845</v>
      </c>
      <c r="E22" s="36" t="s">
        <v>2515</v>
      </c>
    </row>
    <row r="23" spans="1:6">
      <c r="A23" t="s">
        <v>2724</v>
      </c>
      <c r="B23" s="3" t="s">
        <v>2725</v>
      </c>
      <c r="C23">
        <f>IF(design_flow_I&lt;=0.1,target_bed_depth_under,target_bed_depth_over)</f>
        <v>7</v>
      </c>
      <c r="D23" t="s">
        <v>120</v>
      </c>
      <c r="E23" s="36" t="s">
        <v>305</v>
      </c>
    </row>
    <row r="24" spans="1:6">
      <c r="A24" t="s">
        <v>2726</v>
      </c>
      <c r="B24" s="3" t="s">
        <v>2727</v>
      </c>
      <c r="C24">
        <f>comp_vol_required_stg1/comp_target_bed_depth_vert</f>
        <v>142.70859859095151</v>
      </c>
      <c r="D24" t="s">
        <v>1845</v>
      </c>
      <c r="E24" s="36" t="s">
        <v>306</v>
      </c>
    </row>
    <row r="25" spans="1:6">
      <c r="A25" t="s">
        <v>2728</v>
      </c>
      <c r="E25" s="36" t="s">
        <v>307</v>
      </c>
    </row>
    <row r="26" spans="1:6">
      <c r="A26" s="127" t="s">
        <v>2729</v>
      </c>
      <c r="C26">
        <f>IF(comp_vert_max_sa=0,0,comp_sa_min/comp_vert_max_sa)</f>
        <v>0.97080906330430483</v>
      </c>
      <c r="E26" s="36"/>
    </row>
    <row r="27" spans="1:6">
      <c r="A27" s="127" t="s">
        <v>2730</v>
      </c>
      <c r="C27">
        <f>IF(comp_vert_max_sa=0,0,comp_sa_required_vert/comp_vert_max_sa)</f>
        <v>0.92705219948844997</v>
      </c>
      <c r="E27" s="36"/>
    </row>
    <row r="28" spans="1:6">
      <c r="A28" s="127" t="s">
        <v>2731</v>
      </c>
      <c r="C28">
        <f>comp_vol_required_stg1/comp_vert_max_media</f>
        <v>0.76345475251990003</v>
      </c>
      <c r="E28" s="36"/>
    </row>
    <row r="29" spans="1:6">
      <c r="A29" t="s">
        <v>2732</v>
      </c>
      <c r="B29" s="3" t="s">
        <v>2503</v>
      </c>
      <c r="C29">
        <f>MAX(C26:C28)</f>
        <v>0.97080906330430483</v>
      </c>
      <c r="E29" s="36" t="s">
        <v>308</v>
      </c>
    </row>
    <row r="30" spans="1:6">
      <c r="E30" s="36"/>
    </row>
    <row r="31" spans="1:6">
      <c r="A31" s="2" t="s">
        <v>1487</v>
      </c>
      <c r="E31" s="36"/>
    </row>
    <row r="32" spans="1:6">
      <c r="A32" t="s">
        <v>2230</v>
      </c>
      <c r="B32" s="3" t="s">
        <v>997</v>
      </c>
      <c r="C32">
        <f>MAX(comp_pv_max_sizes)</f>
        <v>27101</v>
      </c>
      <c r="D32" t="s">
        <v>2843</v>
      </c>
      <c r="E32" s="36" t="s">
        <v>2637</v>
      </c>
      <c r="F32" s="36"/>
    </row>
    <row r="33" spans="1:6">
      <c r="A33" t="s">
        <v>2231</v>
      </c>
      <c r="C33">
        <f>comp_max_horiz_diam</f>
        <v>14</v>
      </c>
      <c r="D33" t="s">
        <v>120</v>
      </c>
      <c r="E33" s="36"/>
      <c r="F33" s="36"/>
    </row>
    <row r="34" spans="1:6">
      <c r="A34" t="s">
        <v>2232</v>
      </c>
      <c r="B34" s="3" t="s">
        <v>2233</v>
      </c>
      <c r="C34">
        <f>ROUND(comp_max_vol/7.48/(PI()*comp_max_horiz_diam*comp_max_horiz_diam/4),0)</f>
        <v>24</v>
      </c>
      <c r="D34" t="s">
        <v>120</v>
      </c>
      <c r="E34" s="36" t="s">
        <v>2245</v>
      </c>
      <c r="F34" s="36"/>
    </row>
    <row r="35" spans="1:6">
      <c r="A35" t="s">
        <v>2234</v>
      </c>
      <c r="B35" s="3" t="s">
        <v>2235</v>
      </c>
      <c r="C35">
        <f>IF(comp_round_sa=1,ROUNDUP((comp_max_horiz_diam-2*Vessel_thickness)*comp_max_vol_length,0),(comp_max_horiz_diam-2*Vessel_thickness)*comp_max_vol_length)</f>
        <v>336</v>
      </c>
      <c r="D35" t="s">
        <v>1845</v>
      </c>
      <c r="E35" s="36" t="s">
        <v>2246</v>
      </c>
      <c r="F35" s="36"/>
    </row>
    <row r="36" spans="1:6">
      <c r="A36" t="s">
        <v>2724</v>
      </c>
      <c r="B36" s="3" t="s">
        <v>2236</v>
      </c>
      <c r="C36">
        <f>target_bed_depth_horiz</f>
        <v>8</v>
      </c>
      <c r="D36" t="s">
        <v>120</v>
      </c>
      <c r="E36" s="36" t="s">
        <v>305</v>
      </c>
      <c r="F36" s="36"/>
    </row>
    <row r="37" spans="1:6">
      <c r="A37" t="s">
        <v>2726</v>
      </c>
      <c r="B37" s="3" t="s">
        <v>2237</v>
      </c>
      <c r="C37">
        <f>comp_vol_required_stg1/comp_target_bed_depth_horiz</f>
        <v>124.87002376708257</v>
      </c>
      <c r="D37" t="s">
        <v>1845</v>
      </c>
      <c r="E37" s="36" t="s">
        <v>306</v>
      </c>
      <c r="F37" s="36"/>
    </row>
    <row r="38" spans="1:6">
      <c r="A38" t="s">
        <v>2238</v>
      </c>
      <c r="E38" s="36"/>
      <c r="F38" s="36"/>
    </row>
    <row r="39" spans="1:6">
      <c r="A39" s="127" t="s">
        <v>410</v>
      </c>
      <c r="C39">
        <f>comp_max_vol_length*(comp_max_horiz_diam*comp_max_horiz_diam/2*ASIN(SQRT(free_board/comp_max_horiz_diam))-(comp_max_horiz_diam/2-free_board)*SQRT((comp_max_horiz_diam-free_board)*free_board))</f>
        <v>41.875530099772533</v>
      </c>
      <c r="D39" t="s">
        <v>2165</v>
      </c>
      <c r="E39" s="36" t="s">
        <v>2247</v>
      </c>
      <c r="F39" s="36"/>
    </row>
    <row r="40" spans="1:6">
      <c r="A40" s="127" t="s">
        <v>412</v>
      </c>
      <c r="C40">
        <f>comp_max_vol_length*(comp_max_horiz_diam*comp_max_horiz_diam/2*ASIN(SQRT(horiz_underdrain/comp_max_horiz_diam))-(comp_max_horiz_diam/2-horiz_underdrain)*SQRT((comp_max_horiz_diam-horiz_underdrain)*horiz_underdrain))</f>
        <v>212.75213463857958</v>
      </c>
      <c r="D40" t="s">
        <v>2165</v>
      </c>
      <c r="E40" s="36"/>
      <c r="F40" s="36"/>
    </row>
    <row r="41" spans="1:6">
      <c r="A41" s="128" t="s">
        <v>414</v>
      </c>
      <c r="B41" s="3" t="s">
        <v>2239</v>
      </c>
      <c r="C41">
        <f>SUM(C39:C40)</f>
        <v>254.62766473835211</v>
      </c>
      <c r="D41" t="s">
        <v>2165</v>
      </c>
      <c r="E41" s="36" t="s">
        <v>2658</v>
      </c>
      <c r="F41" s="36"/>
    </row>
    <row r="42" spans="1:6">
      <c r="A42" s="27" t="s">
        <v>2240</v>
      </c>
      <c r="B42" s="3" t="s">
        <v>2241</v>
      </c>
      <c r="C42">
        <f>(comp_max_vol/7.481-comp_horiz_void_required)/(1+bed_expansion)</f>
        <v>2245.3442445388218</v>
      </c>
      <c r="D42" t="s">
        <v>2165</v>
      </c>
      <c r="E42" s="36" t="s">
        <v>2659</v>
      </c>
      <c r="F42" s="36"/>
    </row>
    <row r="43" spans="1:6">
      <c r="A43" t="s">
        <v>2242</v>
      </c>
      <c r="E43" s="36"/>
      <c r="F43" s="36"/>
    </row>
    <row r="44" spans="1:6">
      <c r="A44" s="127" t="s">
        <v>2729</v>
      </c>
      <c r="C44">
        <f>comp_sa_min/comp_max_horiz_sa</f>
        <v>0.44477513227513221</v>
      </c>
      <c r="E44" s="36"/>
      <c r="F44" s="36"/>
    </row>
    <row r="45" spans="1:6">
      <c r="A45" s="127" t="s">
        <v>2730</v>
      </c>
      <c r="C45">
        <f>comp_sa_required_horiz/comp_max_horiz_sa</f>
        <v>0.37163697549726954</v>
      </c>
      <c r="E45" s="36"/>
      <c r="F45" s="36"/>
    </row>
    <row r="46" spans="1:6">
      <c r="A46" s="127" t="s">
        <v>2731</v>
      </c>
      <c r="C46">
        <f>comp_vol_required_stg1/comp_horiz_max_media</f>
        <v>0.44490291079702127</v>
      </c>
      <c r="E46" s="36"/>
    </row>
    <row r="47" spans="1:6">
      <c r="A47" t="s">
        <v>2243</v>
      </c>
      <c r="B47" s="3" t="s">
        <v>2244</v>
      </c>
      <c r="C47">
        <f>MAX(C44:C46)</f>
        <v>0.44490291079702127</v>
      </c>
      <c r="E47" s="36" t="s">
        <v>308</v>
      </c>
      <c r="F47" s="36"/>
    </row>
    <row r="48" spans="1:6">
      <c r="D48" s="36"/>
      <c r="E48" s="36"/>
    </row>
    <row r="49" spans="1:9">
      <c r="D49" s="36"/>
      <c r="E49" s="36"/>
    </row>
    <row r="50" spans="1:9">
      <c r="A50" t="s">
        <v>2660</v>
      </c>
      <c r="B50" s="3" t="s">
        <v>2661</v>
      </c>
      <c r="C50" s="40">
        <v>5</v>
      </c>
      <c r="E50" s="36" t="s">
        <v>2662</v>
      </c>
    </row>
    <row r="51" spans="1:9">
      <c r="A51" t="s">
        <v>2736</v>
      </c>
      <c r="B51" s="3" t="s">
        <v>992</v>
      </c>
      <c r="C51" s="40">
        <v>2</v>
      </c>
      <c r="E51" s="36" t="s">
        <v>2514</v>
      </c>
    </row>
    <row r="53" spans="1:9" s="5" customFormat="1">
      <c r="A53" s="63" t="s">
        <v>798</v>
      </c>
      <c r="B53" s="3"/>
    </row>
    <row r="54" spans="1:9">
      <c r="A54" s="1" t="s">
        <v>2505</v>
      </c>
      <c r="C54" s="1"/>
    </row>
    <row r="55" spans="1:9">
      <c r="A55" t="s">
        <v>2035</v>
      </c>
      <c r="B55" s="3" t="s">
        <v>996</v>
      </c>
      <c r="C55" s="62" t="str">
        <f>IF(comp_in_nlines&gt;=comp_vert_min_number,"upright","horizontal")</f>
        <v>upright</v>
      </c>
      <c r="E55" s="36" t="s">
        <v>694</v>
      </c>
      <c r="I55" s="6"/>
    </row>
    <row r="57" spans="1:9">
      <c r="A57" s="1" t="s">
        <v>3119</v>
      </c>
      <c r="B57" s="16"/>
    </row>
    <row r="58" spans="1:9">
      <c r="A58" t="s">
        <v>3115</v>
      </c>
      <c r="B58" s="3" t="s">
        <v>994</v>
      </c>
      <c r="C58">
        <f>2*(SQRT(comp_sa_required_vert/comp_in_nlines/PI())+Vessel_thickness)</f>
        <v>9.5315851541004495</v>
      </c>
      <c r="D58" t="s">
        <v>120</v>
      </c>
      <c r="E58" s="62">
        <f>IF(C58&lt;comp_min_vert_diam,comp_min_vert_diam,IF(C58&gt;comp_max_vert_diam,comp_max_vert_diam,ROUNDUP(2*C58,0)/2))</f>
        <v>10</v>
      </c>
      <c r="F58" t="s">
        <v>2635</v>
      </c>
    </row>
    <row r="59" spans="1:9">
      <c r="A59" t="s">
        <v>2663</v>
      </c>
      <c r="C59">
        <f>(comp_vert_diam-2*Vessel_thickness)*(comp_vert_diam-2*Vessel_thickness)*PI()/4</f>
        <v>78.539816339744831</v>
      </c>
      <c r="D59" t="s">
        <v>1845</v>
      </c>
      <c r="E59" s="1"/>
    </row>
    <row r="60" spans="1:9">
      <c r="A60" t="s">
        <v>2664</v>
      </c>
      <c r="C60">
        <f>comp_in_nlines*C59</f>
        <v>157.07963267948966</v>
      </c>
      <c r="D60" t="s">
        <v>1845</v>
      </c>
      <c r="E60" s="1"/>
    </row>
    <row r="61" spans="1:9">
      <c r="A61" t="s">
        <v>2032</v>
      </c>
      <c r="B61" s="3" t="s">
        <v>2167</v>
      </c>
      <c r="C61">
        <f>comp_vol_required/Num_tanks/IF(comp_round_sa=1,ROUND(C59,0)*comp_in_nlines,C60)</f>
        <v>6.3587279911657442</v>
      </c>
      <c r="D61" t="s">
        <v>120</v>
      </c>
      <c r="E61" s="1">
        <f>IF(comp_min_vert_bed_depth&lt;=comp_max_vert_bed_depth,IF(C61&lt;comp_min_vert_bed_depth, comp_min_vert_bed_depth, IF(C61&gt;comp_max_vert_bed_depth, comp_max_vert_bed_depth, ROUNDUP(C61,1))),-1)</f>
        <v>6.3999999999999995</v>
      </c>
      <c r="F61" t="s">
        <v>3178</v>
      </c>
    </row>
    <row r="62" spans="1:9">
      <c r="A62" t="s">
        <v>3118</v>
      </c>
      <c r="B62" s="3" t="s">
        <v>995</v>
      </c>
      <c r="C62">
        <f>(1+bed_expansion)*comp_vert_bed_depth+free_board</f>
        <v>10.1</v>
      </c>
      <c r="D62" t="s">
        <v>120</v>
      </c>
      <c r="E62" s="62">
        <f>IF(comp_min_vert_height&gt;comp_max_vert_height,-1,IF(C62&gt;comp_max_vert_height,comp_max_vert_height,IF(C62&lt;comp_min_vert_height,comp_min_vert_height,ROUNDUP(2*C62,0)/2)))</f>
        <v>10.5</v>
      </c>
      <c r="F62" t="s">
        <v>3179</v>
      </c>
    </row>
    <row r="64" spans="1:9">
      <c r="A64" s="1" t="s">
        <v>695</v>
      </c>
      <c r="B64" s="16"/>
    </row>
    <row r="65" spans="1:6">
      <c r="A65" s="5" t="s">
        <v>696</v>
      </c>
      <c r="B65" s="3" t="s">
        <v>697</v>
      </c>
      <c r="C65">
        <f>comp_horiz_void_required/comp_max_vol_length</f>
        <v>10.609486030764671</v>
      </c>
      <c r="D65" s="5" t="s">
        <v>1845</v>
      </c>
      <c r="E65" s="1"/>
      <c r="F65" s="5"/>
    </row>
    <row r="66" spans="1:6">
      <c r="A66" s="5" t="s">
        <v>698</v>
      </c>
      <c r="B66" s="3" t="s">
        <v>699</v>
      </c>
      <c r="C66">
        <f>comp_target_bed_depth_horiz*(1+bed_expansion)</f>
        <v>12</v>
      </c>
      <c r="D66" s="5" t="s">
        <v>120</v>
      </c>
      <c r="E66" s="1"/>
      <c r="F66" s="5"/>
    </row>
    <row r="67" spans="1:6">
      <c r="A67" s="5" t="s">
        <v>3115</v>
      </c>
      <c r="B67" s="3" t="s">
        <v>700</v>
      </c>
      <c r="C67">
        <f>(comp_horiz_expanded_bd+SQRT(comp_horiz_expanded_bd*comp_horiz_expanded_bd+PI()*comp_horiz_void_area))/(PI()/2)</f>
        <v>16.117020588064722</v>
      </c>
      <c r="D67" s="5" t="s">
        <v>120</v>
      </c>
      <c r="E67" s="232">
        <f>IF(comp_min_horiz_diam&lt;=comp_max_horiz_diam,IF(C67&lt;comp_min_horiz_diam,comp_min_horiz_diam,IF(C67&gt;comp_max_horiz_diam,comp_max_horiz_diam,ROUNDUP(2*C67,0)/2)),-1)</f>
        <v>14</v>
      </c>
      <c r="F67" t="s">
        <v>2635</v>
      </c>
    </row>
    <row r="68" spans="1:6">
      <c r="A68" s="414" t="s">
        <v>701</v>
      </c>
      <c r="C68" s="414">
        <f>SQRT(comp_sa_required_horiz/comp_in_nlines/length_diam_ratio)</f>
        <v>4.9973997992372512</v>
      </c>
      <c r="D68" s="414" t="s">
        <v>120</v>
      </c>
      <c r="E68" s="1"/>
      <c r="F68" s="414"/>
    </row>
    <row r="69" spans="1:6">
      <c r="A69" t="s">
        <v>3116</v>
      </c>
      <c r="B69" s="3" t="s">
        <v>702</v>
      </c>
      <c r="C69">
        <f>comp_sa_required_horiz/(comp_horiz_diam-2*Vessel_thickness)/comp_in_nlines</f>
        <v>4.4596437059672347</v>
      </c>
      <c r="D69" t="s">
        <v>120</v>
      </c>
      <c r="E69" s="62">
        <f>IF(comp_min_horiz_length&lt;=comp_max_horiz_length,IF(C69&lt;comp_min_horiz_length,comp_min_horiz_length,IF(C69&gt;comp_max_horiz_length,comp_max_horiz_length,ROUNDUP(C69,0))),-1)</f>
        <v>20</v>
      </c>
      <c r="F69" t="s">
        <v>2636</v>
      </c>
    </row>
    <row r="70" spans="1:6">
      <c r="A70" t="s">
        <v>2664</v>
      </c>
      <c r="C70">
        <f>comp_in_nlines*(comp_horiz_diam-2*Vessel_thickness)*comp_horiz_length</f>
        <v>560</v>
      </c>
      <c r="D70" t="s">
        <v>1845</v>
      </c>
      <c r="E70" s="1"/>
    </row>
    <row r="71" spans="1:6">
      <c r="A71" t="s">
        <v>2032</v>
      </c>
      <c r="B71" s="3" t="s">
        <v>703</v>
      </c>
      <c r="C71" s="1">
        <f>comp_vol_required/Num_tanks/IF(comp_round_sa=1,ROUND(C70,0),C70)</f>
        <v>1.7836190306448292</v>
      </c>
      <c r="D71" t="s">
        <v>120</v>
      </c>
      <c r="E71">
        <f>IF(comp_min_horiz_bed_depth&lt;=comp_max_horiz_bed_depth,IF(C71&lt;comp_min_horiz_bed_depth, comp_min_horiz_bed_depth, IF(C71&gt;comp_max_horiz_bed_depth, comp_max_horiz_bed_depth, ROUNDUP(C71,1))),-1)</f>
        <v>2</v>
      </c>
      <c r="F71" t="s">
        <v>3178</v>
      </c>
    </row>
    <row r="72" spans="1:6">
      <c r="C72" s="1"/>
    </row>
    <row r="73" spans="1:6">
      <c r="A73" s="1" t="s">
        <v>2505</v>
      </c>
      <c r="B73"/>
      <c r="C73" s="1"/>
    </row>
    <row r="74" spans="1:6">
      <c r="A74" t="s">
        <v>3209</v>
      </c>
      <c r="B74" s="3" t="s">
        <v>993</v>
      </c>
      <c r="C74" s="62">
        <f>IF(comp_tank_geom="upright",comp_vert_bed_depth,IF(comp_tank_geom="horizontal",comp_horiz_bed_depth,-1))</f>
        <v>6.3999999999999995</v>
      </c>
      <c r="D74" t="s">
        <v>120</v>
      </c>
    </row>
    <row r="76" spans="1:6">
      <c r="A76" s="63" t="s">
        <v>2252</v>
      </c>
      <c r="B76" s="16"/>
    </row>
    <row r="77" spans="1:6">
      <c r="A77" s="1" t="s">
        <v>1459</v>
      </c>
      <c r="E77" s="36"/>
    </row>
    <row r="78" spans="1:6">
      <c r="A78" t="s">
        <v>2034</v>
      </c>
      <c r="B78" s="3" t="s">
        <v>1460</v>
      </c>
      <c r="C78">
        <f>comp_sa_min/comp_in_nlines</f>
        <v>74.722222222222214</v>
      </c>
      <c r="D78" t="s">
        <v>1845</v>
      </c>
      <c r="E78" s="36" t="s">
        <v>310</v>
      </c>
    </row>
    <row r="79" spans="1:6">
      <c r="A79" t="s">
        <v>1844</v>
      </c>
      <c r="B79" s="3" t="s">
        <v>1461</v>
      </c>
      <c r="C79">
        <f>comp_sa_max/comp_in_nlines</f>
        <v>1494.4444444444443</v>
      </c>
      <c r="D79" t="s">
        <v>1845</v>
      </c>
      <c r="E79" s="36" t="s">
        <v>801</v>
      </c>
    </row>
    <row r="81" spans="1:5">
      <c r="A81" s="1" t="s">
        <v>1846</v>
      </c>
    </row>
    <row r="82" spans="1:5">
      <c r="A82" s="5" t="s">
        <v>2034</v>
      </c>
      <c r="B82" s="3" t="s">
        <v>1448</v>
      </c>
      <c r="C82">
        <f>VLOOKUP(comp_vert_diam,vessel_size_table_cl,2)</f>
        <v>6</v>
      </c>
      <c r="D82" t="s">
        <v>120</v>
      </c>
      <c r="E82" s="36" t="s">
        <v>802</v>
      </c>
    </row>
    <row r="83" spans="1:5">
      <c r="A83" s="61" t="s">
        <v>1844</v>
      </c>
      <c r="C83">
        <f>VLOOKUP(comp_vert_diam,vessel_size_table_cl,3)</f>
        <v>24</v>
      </c>
      <c r="D83" t="s">
        <v>120</v>
      </c>
      <c r="E83" s="36" t="s">
        <v>802</v>
      </c>
    </row>
    <row r="84" spans="1:5">
      <c r="A84" s="61" t="s">
        <v>1844</v>
      </c>
      <c r="C84">
        <f>max_height</f>
        <v>14</v>
      </c>
      <c r="D84" t="s">
        <v>120</v>
      </c>
      <c r="E84" s="36" t="s">
        <v>3177</v>
      </c>
    </row>
    <row r="85" spans="1:5">
      <c r="A85" t="s">
        <v>1844</v>
      </c>
      <c r="B85" s="3" t="s">
        <v>999</v>
      </c>
      <c r="C85">
        <f>MIN(C83:C84)</f>
        <v>14</v>
      </c>
      <c r="D85" t="s">
        <v>120</v>
      </c>
      <c r="E85" s="36" t="s">
        <v>803</v>
      </c>
    </row>
    <row r="86" spans="1:5">
      <c r="E86" s="36"/>
    </row>
    <row r="87" spans="1:5">
      <c r="A87" s="1" t="s">
        <v>1847</v>
      </c>
      <c r="E87" s="36"/>
    </row>
    <row r="88" spans="1:5">
      <c r="A88" s="61" t="s">
        <v>2034</v>
      </c>
      <c r="C88">
        <f>2*(SQRT(comp_vol_required/Num_tanks/PI()/comp_max_vert_bed_depth/comp_in_nlines)+Vessel_thickness)</f>
        <v>8.6491944481523788</v>
      </c>
      <c r="D88" t="s">
        <v>120</v>
      </c>
      <c r="E88" s="36" t="s">
        <v>804</v>
      </c>
    </row>
    <row r="89" spans="1:5">
      <c r="A89" s="61" t="s">
        <v>2034</v>
      </c>
      <c r="C89">
        <f>2*(SQRT(comp_min_sa_vessel/PI())+Vessel_thickness)</f>
        <v>9.7539370617111256</v>
      </c>
      <c r="D89" t="s">
        <v>120</v>
      </c>
      <c r="E89" s="36" t="s">
        <v>805</v>
      </c>
    </row>
    <row r="90" spans="1:5">
      <c r="A90" s="61" t="s">
        <v>2034</v>
      </c>
      <c r="C90">
        <f>min_diam</f>
        <v>1.5</v>
      </c>
      <c r="D90" t="s">
        <v>120</v>
      </c>
      <c r="E90" s="36" t="s">
        <v>802</v>
      </c>
    </row>
    <row r="91" spans="1:5">
      <c r="A91" t="s">
        <v>2034</v>
      </c>
      <c r="B91" s="3" t="s">
        <v>1848</v>
      </c>
      <c r="C91">
        <f>ROUNDUP(2*MAX(C88:C90),0)/2</f>
        <v>10</v>
      </c>
      <c r="D91" t="s">
        <v>120</v>
      </c>
      <c r="E91" s="36" t="s">
        <v>690</v>
      </c>
    </row>
    <row r="92" spans="1:5">
      <c r="A92" s="61" t="s">
        <v>1844</v>
      </c>
      <c r="C92">
        <f>max_diam</f>
        <v>14</v>
      </c>
      <c r="D92" t="s">
        <v>120</v>
      </c>
      <c r="E92" s="36" t="s">
        <v>1849</v>
      </c>
    </row>
    <row r="93" spans="1:5">
      <c r="A93" s="61" t="s">
        <v>1844</v>
      </c>
      <c r="C93">
        <f>2*(SQRT(comp_max_sa_vessel/PI())+Vessel_thickness)</f>
        <v>43.620932636481278</v>
      </c>
      <c r="D93" t="s">
        <v>120</v>
      </c>
      <c r="E93" s="36" t="s">
        <v>1418</v>
      </c>
    </row>
    <row r="94" spans="1:5">
      <c r="A94" s="61" t="s">
        <v>1844</v>
      </c>
      <c r="C94">
        <f>max_diam</f>
        <v>14</v>
      </c>
      <c r="D94" t="s">
        <v>120</v>
      </c>
      <c r="E94" s="36" t="s">
        <v>802</v>
      </c>
    </row>
    <row r="95" spans="1:5">
      <c r="A95" t="s">
        <v>1844</v>
      </c>
      <c r="B95" s="3" t="s">
        <v>998</v>
      </c>
      <c r="C95">
        <f>MAX(0.5,ROUNDDOWN(2*MIN(C92:C94),0)/2)</f>
        <v>14</v>
      </c>
      <c r="D95" t="s">
        <v>120</v>
      </c>
      <c r="E95" s="36" t="s">
        <v>1807</v>
      </c>
    </row>
    <row r="96" spans="1:5">
      <c r="E96" s="36"/>
    </row>
    <row r="97" spans="1:5">
      <c r="A97" s="1" t="s">
        <v>2168</v>
      </c>
      <c r="B97" s="16"/>
    </row>
    <row r="98" spans="1:5">
      <c r="A98" s="61" t="s">
        <v>2034</v>
      </c>
      <c r="B98" s="16"/>
      <c r="C98">
        <f>IF(comp_round_sa=1,comp_vol_required/Num_tanks/C60,0)</f>
        <v>0</v>
      </c>
      <c r="D98" t="s">
        <v>120</v>
      </c>
      <c r="E98" s="36" t="s">
        <v>300</v>
      </c>
    </row>
    <row r="99" spans="1:5">
      <c r="A99" s="61" t="s">
        <v>2034</v>
      </c>
      <c r="B99" s="16"/>
      <c r="C99">
        <f>min_bed_depth</f>
        <v>2</v>
      </c>
      <c r="D99" t="s">
        <v>120</v>
      </c>
      <c r="E99" s="36" t="s">
        <v>3117</v>
      </c>
    </row>
    <row r="100" spans="1:5">
      <c r="A100" t="s">
        <v>2034</v>
      </c>
      <c r="B100" s="3" t="s">
        <v>2169</v>
      </c>
      <c r="C100">
        <f>ROUNDUP(MAX(C98:C99),1)</f>
        <v>2</v>
      </c>
      <c r="D100" t="s">
        <v>120</v>
      </c>
      <c r="E100" s="36" t="s">
        <v>690</v>
      </c>
    </row>
    <row r="101" spans="1:5">
      <c r="A101" s="61" t="s">
        <v>1844</v>
      </c>
      <c r="C101">
        <f>(max_height-free_board)/(1+bed_expansion)</f>
        <v>9</v>
      </c>
      <c r="D101" t="s">
        <v>120</v>
      </c>
      <c r="E101" s="36" t="s">
        <v>1419</v>
      </c>
    </row>
    <row r="102" spans="1:5">
      <c r="A102" s="61" t="s">
        <v>1844</v>
      </c>
      <c r="C102">
        <f>max_bed_depth</f>
        <v>8.5</v>
      </c>
      <c r="D102" t="s">
        <v>120</v>
      </c>
      <c r="E102" s="36" t="s">
        <v>3117</v>
      </c>
    </row>
    <row r="103" spans="1:5">
      <c r="A103" t="s">
        <v>1844</v>
      </c>
      <c r="B103" s="3" t="s">
        <v>2170</v>
      </c>
      <c r="C103">
        <f>ROUNDDOWN(MIN(C101:C102),1)</f>
        <v>8.5</v>
      </c>
      <c r="D103" t="s">
        <v>120</v>
      </c>
      <c r="E103" s="36" t="s">
        <v>2250</v>
      </c>
    </row>
    <row r="104" spans="1:5">
      <c r="E104" s="36"/>
    </row>
    <row r="105" spans="1:5">
      <c r="A105" s="1" t="s">
        <v>504</v>
      </c>
      <c r="E105" s="36"/>
    </row>
    <row r="106" spans="1:5">
      <c r="A106" t="s">
        <v>2034</v>
      </c>
      <c r="B106" s="3" t="s">
        <v>505</v>
      </c>
      <c r="C106">
        <v>8</v>
      </c>
      <c r="D106" t="s">
        <v>120</v>
      </c>
      <c r="E106" s="36" t="s">
        <v>1420</v>
      </c>
    </row>
    <row r="107" spans="1:5">
      <c r="A107" s="61" t="s">
        <v>1844</v>
      </c>
      <c r="C107">
        <f>max_height</f>
        <v>14</v>
      </c>
      <c r="D107" t="s">
        <v>120</v>
      </c>
      <c r="E107" s="36" t="s">
        <v>3177</v>
      </c>
    </row>
    <row r="108" spans="1:5">
      <c r="A108" s="61" t="s">
        <v>1844</v>
      </c>
      <c r="C108">
        <f>max_diam</f>
        <v>14</v>
      </c>
      <c r="D108" t="s">
        <v>120</v>
      </c>
      <c r="E108" s="36" t="s">
        <v>1852</v>
      </c>
    </row>
    <row r="109" spans="1:5">
      <c r="A109" s="5" t="s">
        <v>1844</v>
      </c>
      <c r="B109" s="3" t="s">
        <v>506</v>
      </c>
      <c r="C109">
        <f>ROUNDDOWN(MIN(C107:C108),1)</f>
        <v>14</v>
      </c>
      <c r="D109" s="5" t="s">
        <v>120</v>
      </c>
      <c r="E109" s="36" t="s">
        <v>1850</v>
      </c>
    </row>
    <row r="110" spans="1:5">
      <c r="A110" s="5"/>
      <c r="D110" s="5"/>
      <c r="E110" s="36"/>
    </row>
    <row r="111" spans="1:5">
      <c r="A111" s="1" t="s">
        <v>507</v>
      </c>
      <c r="D111" s="5"/>
      <c r="E111" s="36"/>
    </row>
    <row r="112" spans="1:5">
      <c r="A112" s="61" t="s">
        <v>2034</v>
      </c>
      <c r="C112">
        <f>comp_min_sa_vessel/(comp_horiz_diam-2*Vessel_thickness)</f>
        <v>5.337301587301587</v>
      </c>
      <c r="D112" s="5" t="s">
        <v>120</v>
      </c>
      <c r="E112" s="36" t="s">
        <v>1421</v>
      </c>
    </row>
    <row r="113" spans="1:5">
      <c r="A113" s="61" t="s">
        <v>2034</v>
      </c>
      <c r="C113">
        <v>20</v>
      </c>
      <c r="D113" s="5" t="s">
        <v>120</v>
      </c>
      <c r="E113" s="934"/>
    </row>
    <row r="114" spans="1:5">
      <c r="A114" t="s">
        <v>2034</v>
      </c>
      <c r="B114" s="3" t="s">
        <v>508</v>
      </c>
      <c r="C114">
        <f>ROUNDUP(MAX(C112:C113),0)</f>
        <v>20</v>
      </c>
      <c r="D114" s="5" t="s">
        <v>120</v>
      </c>
      <c r="E114" s="36" t="s">
        <v>2251</v>
      </c>
    </row>
    <row r="115" spans="1:5">
      <c r="A115" s="61" t="s">
        <v>1844</v>
      </c>
      <c r="C115">
        <f>max_length</f>
        <v>53</v>
      </c>
      <c r="D115" t="s">
        <v>120</v>
      </c>
      <c r="E115" s="36" t="s">
        <v>1853</v>
      </c>
    </row>
    <row r="116" spans="1:5">
      <c r="A116" s="61" t="s">
        <v>1844</v>
      </c>
      <c r="C116">
        <f>comp_max_vol/(comp_horiz_diam*comp_horiz_diam*PI()/4)/7.48</f>
        <v>23.536276943869126</v>
      </c>
      <c r="D116" t="s">
        <v>120</v>
      </c>
      <c r="E116" s="36" t="s">
        <v>1854</v>
      </c>
    </row>
    <row r="117" spans="1:5">
      <c r="A117" t="s">
        <v>1844</v>
      </c>
      <c r="B117" s="3" t="s">
        <v>509</v>
      </c>
      <c r="C117">
        <f>ROUNDDOWN(MIN(C115:C116),0)</f>
        <v>23</v>
      </c>
      <c r="D117" t="s">
        <v>120</v>
      </c>
      <c r="E117" s="36" t="s">
        <v>2250</v>
      </c>
    </row>
    <row r="118" spans="1:5">
      <c r="E118" s="36"/>
    </row>
    <row r="119" spans="1:5">
      <c r="A119" s="1" t="s">
        <v>510</v>
      </c>
      <c r="B119" s="16"/>
    </row>
    <row r="120" spans="1:5">
      <c r="A120" s="61" t="s">
        <v>2034</v>
      </c>
      <c r="B120" s="16"/>
      <c r="C120">
        <f>IF(comp_round_sa=1,comp_vol_required/Num_tanks/C70,0)</f>
        <v>0</v>
      </c>
      <c r="D120" t="s">
        <v>120</v>
      </c>
      <c r="E120" s="36" t="s">
        <v>1422</v>
      </c>
    </row>
    <row r="121" spans="1:5">
      <c r="A121" s="61" t="s">
        <v>2034</v>
      </c>
      <c r="B121" s="16"/>
      <c r="C121">
        <f>min_bed_depth</f>
        <v>2</v>
      </c>
      <c r="D121" t="s">
        <v>120</v>
      </c>
      <c r="E121" s="36" t="s">
        <v>1446</v>
      </c>
    </row>
    <row r="122" spans="1:5">
      <c r="A122" t="s">
        <v>2034</v>
      </c>
      <c r="B122" s="3" t="s">
        <v>511</v>
      </c>
      <c r="C122">
        <f>ROUNDUP(MAX(C120:C121),1)</f>
        <v>2</v>
      </c>
      <c r="D122" t="s">
        <v>120</v>
      </c>
      <c r="E122" s="36" t="s">
        <v>2251</v>
      </c>
    </row>
    <row r="123" spans="1:5">
      <c r="A123" s="61" t="s">
        <v>1844</v>
      </c>
      <c r="C123">
        <f>(MIN(max_height,max_diam)-free_board)/(1+bed_expansion)</f>
        <v>9</v>
      </c>
      <c r="D123" t="s">
        <v>120</v>
      </c>
      <c r="E123" s="36" t="s">
        <v>1447</v>
      </c>
    </row>
    <row r="124" spans="1:5">
      <c r="A124" s="61" t="s">
        <v>1844</v>
      </c>
      <c r="C124">
        <f>max_bed_depth</f>
        <v>8.5</v>
      </c>
      <c r="D124" t="s">
        <v>120</v>
      </c>
      <c r="E124" s="36" t="s">
        <v>1446</v>
      </c>
    </row>
    <row r="125" spans="1:5">
      <c r="A125" t="s">
        <v>1844</v>
      </c>
      <c r="B125" s="3" t="s">
        <v>512</v>
      </c>
      <c r="C125">
        <f>ROUNDDOWN(MIN(C123:C124),1)</f>
        <v>8.5</v>
      </c>
      <c r="D125" t="s">
        <v>120</v>
      </c>
      <c r="E125" s="36" t="s">
        <v>2250</v>
      </c>
    </row>
    <row r="127" spans="1:5">
      <c r="A127" s="63" t="s">
        <v>778</v>
      </c>
    </row>
    <row r="128" spans="1:5">
      <c r="A128" t="s">
        <v>779</v>
      </c>
      <c r="B128" s="3" t="s">
        <v>780</v>
      </c>
      <c r="C128" t="b">
        <v>1</v>
      </c>
      <c r="E128" s="36" t="s">
        <v>187</v>
      </c>
    </row>
    <row r="130" spans="1:5" s="384" customFormat="1">
      <c r="A130" s="382" t="s">
        <v>400</v>
      </c>
      <c r="B130" s="383"/>
    </row>
    <row r="132" spans="1:5">
      <c r="A132" s="63" t="s">
        <v>2506</v>
      </c>
    </row>
    <row r="133" spans="1:5">
      <c r="A133" t="s">
        <v>2033</v>
      </c>
      <c r="C133">
        <f>design_flow_rate</f>
        <v>1494.4444444444443</v>
      </c>
      <c r="D133" t="s">
        <v>1762</v>
      </c>
    </row>
    <row r="134" spans="1:5">
      <c r="A134" t="s">
        <v>194</v>
      </c>
      <c r="C134">
        <f>EBCT</f>
        <v>10</v>
      </c>
      <c r="D134" t="s">
        <v>2034</v>
      </c>
    </row>
    <row r="135" spans="1:5">
      <c r="A135" t="s">
        <v>2695</v>
      </c>
      <c r="B135" s="3" t="s">
        <v>401</v>
      </c>
      <c r="C135" s="21">
        <v>0</v>
      </c>
      <c r="E135" s="36" t="s">
        <v>689</v>
      </c>
    </row>
    <row r="136" spans="1:5">
      <c r="A136" t="s">
        <v>2480</v>
      </c>
      <c r="B136" s="3" t="s">
        <v>402</v>
      </c>
      <c r="C136">
        <f>design_flow_rate*EBCT/7.481</f>
        <v>1997.6533143222086</v>
      </c>
      <c r="D136" t="s">
        <v>2165</v>
      </c>
      <c r="E136" s="36" t="s">
        <v>2718</v>
      </c>
    </row>
    <row r="137" spans="1:5">
      <c r="E137" s="36"/>
    </row>
    <row r="138" spans="1:5">
      <c r="A138" s="2" t="s">
        <v>403</v>
      </c>
      <c r="E138" s="36"/>
    </row>
    <row r="139" spans="1:5">
      <c r="A139" t="s">
        <v>2240</v>
      </c>
      <c r="B139" s="3" t="s">
        <v>404</v>
      </c>
      <c r="C139">
        <f>comp_max_bed_depth_a*comp_max_length_a*comp_max_width_a</f>
        <v>9000</v>
      </c>
      <c r="D139" t="s">
        <v>2165</v>
      </c>
      <c r="E139" s="36" t="s">
        <v>2504</v>
      </c>
    </row>
    <row r="140" spans="1:5">
      <c r="A140" t="s">
        <v>2476</v>
      </c>
      <c r="B140" s="3" t="s">
        <v>405</v>
      </c>
      <c r="C140">
        <f>design_flow_rate/load_max</f>
        <v>149.44444444444443</v>
      </c>
      <c r="D140" t="s">
        <v>1845</v>
      </c>
      <c r="E140" s="36" t="s">
        <v>2716</v>
      </c>
    </row>
    <row r="141" spans="1:5">
      <c r="A141" t="s">
        <v>2478</v>
      </c>
      <c r="B141" s="3" t="s">
        <v>406</v>
      </c>
      <c r="C141">
        <f>design_flow_rate/load_min</f>
        <v>2988.8888888888887</v>
      </c>
      <c r="D141" t="s">
        <v>1845</v>
      </c>
      <c r="E141" s="36" t="s">
        <v>2717</v>
      </c>
    </row>
    <row r="142" spans="1:5">
      <c r="A142" t="s">
        <v>2724</v>
      </c>
      <c r="B142" s="3" t="s">
        <v>407</v>
      </c>
      <c r="C142">
        <f>IF(design_flow&lt;=1,IF(VLOOKUP(contam_type,contam_lookup,2,FALSE)="UVAOP Quench (Add-on)",target_bed_depth_under_g_UVAOP,target_bed_depth_under_g),IF(VLOOKUP(contam_type,contam_lookup,2,FALSE)="UVAOP Quench (Add-on)",target_bed_depth_over_g_UVAOP,target_bed_depth_over_g))</f>
        <v>8</v>
      </c>
      <c r="D142" t="s">
        <v>120</v>
      </c>
      <c r="E142" s="36" t="s">
        <v>1247</v>
      </c>
    </row>
    <row r="143" spans="1:5">
      <c r="A143" t="s">
        <v>2726</v>
      </c>
      <c r="B143" s="3" t="s">
        <v>408</v>
      </c>
      <c r="C143">
        <f>comp_vol_required_a/comp_target_bed_depth_vert_a</f>
        <v>249.70666429027608</v>
      </c>
      <c r="D143" t="s">
        <v>1845</v>
      </c>
      <c r="E143" s="36" t="s">
        <v>306</v>
      </c>
    </row>
    <row r="144" spans="1:5">
      <c r="A144" t="s">
        <v>409</v>
      </c>
      <c r="E144" s="36" t="s">
        <v>307</v>
      </c>
    </row>
    <row r="145" spans="1:5">
      <c r="A145" s="127" t="s">
        <v>2729</v>
      </c>
      <c r="C145">
        <f>comp_min_sa_a/comp_sa_max_a</f>
        <v>4.9999999999999996E-2</v>
      </c>
      <c r="E145" s="36"/>
    </row>
    <row r="146" spans="1:5">
      <c r="A146" s="127" t="s">
        <v>2730</v>
      </c>
      <c r="C146">
        <f>comp_sa_required_vert_a/comp_sa_max_a</f>
        <v>8.354498061756449E-2</v>
      </c>
      <c r="E146" s="36"/>
    </row>
    <row r="147" spans="1:5">
      <c r="A147" s="127" t="s">
        <v>2731</v>
      </c>
      <c r="C147">
        <f>comp_vol_required_a/comp_vert_max_media_a</f>
        <v>0.2219614793691343</v>
      </c>
      <c r="E147" s="36"/>
    </row>
    <row r="148" spans="1:5">
      <c r="A148" t="s">
        <v>2732</v>
      </c>
      <c r="B148" s="3" t="s">
        <v>38</v>
      </c>
      <c r="C148">
        <f>MAX(C145:C147)</f>
        <v>0.2219614793691343</v>
      </c>
      <c r="E148" s="36" t="s">
        <v>308</v>
      </c>
    </row>
    <row r="149" spans="1:5">
      <c r="E149" s="36"/>
    </row>
    <row r="150" spans="1:5">
      <c r="E150" s="36"/>
    </row>
    <row r="151" spans="1:5">
      <c r="A151" t="s">
        <v>2660</v>
      </c>
      <c r="B151" s="3" t="s">
        <v>39</v>
      </c>
      <c r="C151" s="40">
        <v>5</v>
      </c>
      <c r="E151" s="36" t="s">
        <v>2662</v>
      </c>
    </row>
    <row r="152" spans="1:5">
      <c r="A152" t="s">
        <v>2736</v>
      </c>
      <c r="B152" s="3" t="s">
        <v>40</v>
      </c>
      <c r="C152">
        <v>1</v>
      </c>
      <c r="E152" s="36" t="s">
        <v>2514</v>
      </c>
    </row>
    <row r="154" spans="1:5">
      <c r="A154" s="63" t="s">
        <v>798</v>
      </c>
      <c r="D154" s="5"/>
    </row>
    <row r="156" spans="1:5">
      <c r="A156" s="1" t="s">
        <v>3119</v>
      </c>
      <c r="B156" s="16"/>
    </row>
    <row r="157" spans="1:5">
      <c r="A157" t="s">
        <v>41</v>
      </c>
      <c r="B157" s="3" t="s">
        <v>42</v>
      </c>
      <c r="C157">
        <f>SQRT(comp_sa_required_vert_a/comp_in_nlines_a)</f>
        <v>15.802109488618159</v>
      </c>
      <c r="D157" t="s">
        <v>120</v>
      </c>
      <c r="E157" s="385">
        <f>IF(C157&lt;comp_min_length_a,comp_min_length_a,IF(C157&gt;comp_max_length_a,comp_max_length_a,ROUNDUP(2*C157,0)/2))</f>
        <v>16</v>
      </c>
    </row>
    <row r="158" spans="1:5">
      <c r="A158" t="s">
        <v>2663</v>
      </c>
      <c r="C158">
        <f>comp_length_width_a^2</f>
        <v>256</v>
      </c>
      <c r="D158" t="s">
        <v>1845</v>
      </c>
    </row>
    <row r="159" spans="1:5">
      <c r="A159" t="s">
        <v>2664</v>
      </c>
      <c r="C159">
        <f>comp_in_nlines_a*C158</f>
        <v>256</v>
      </c>
      <c r="D159" t="s">
        <v>1845</v>
      </c>
    </row>
    <row r="160" spans="1:5">
      <c r="A160" t="s">
        <v>2032</v>
      </c>
      <c r="B160" s="3" t="s">
        <v>43</v>
      </c>
      <c r="C160">
        <f>comp_vol_required_a/Num_tanks/IF(comp_round_sa_a=1,ROUND(C158,0)*comp_in_nlines_a,C159)</f>
        <v>3.9016666295355638</v>
      </c>
      <c r="D160" t="s">
        <v>120</v>
      </c>
      <c r="E160" s="385">
        <f>IF(comp_min_bed_depth_a&lt;=comp_max_bed_depth_a,IF(C160&lt;comp_min_bed_depth_a, ROUNDUP(comp_min_bed_depth_a,1), IF(C160&gt;comp_max_bed_depth_a, comp_max_bed_depth_a, ROUNDUP(C160,1))),-1)</f>
        <v>4</v>
      </c>
    </row>
    <row r="162" spans="1:5">
      <c r="A162" s="63" t="s">
        <v>1233</v>
      </c>
      <c r="B162"/>
    </row>
    <row r="163" spans="1:5">
      <c r="A163" s="1" t="s">
        <v>1234</v>
      </c>
      <c r="B163"/>
    </row>
    <row r="164" spans="1:5">
      <c r="A164" s="61" t="s">
        <v>2034</v>
      </c>
      <c r="B164" s="16"/>
      <c r="C164">
        <f>min_depth</f>
        <v>3</v>
      </c>
      <c r="D164" t="s">
        <v>120</v>
      </c>
      <c r="E164" s="36" t="s">
        <v>1248</v>
      </c>
    </row>
    <row r="165" spans="1:5">
      <c r="A165" s="61" t="s">
        <v>2034</v>
      </c>
      <c r="B165" s="16"/>
      <c r="C165">
        <f>design_flow_rate*EBCT/(comp_in_nlines_a*max_length_g*max_width)/7.48</f>
        <v>2.2199115336370236</v>
      </c>
      <c r="D165" t="s">
        <v>120</v>
      </c>
      <c r="E165" s="36" t="s">
        <v>1249</v>
      </c>
    </row>
    <row r="166" spans="1:5">
      <c r="A166" t="s">
        <v>2034</v>
      </c>
      <c r="B166" s="3" t="s">
        <v>1235</v>
      </c>
      <c r="C166">
        <f>MAX(C164:C165)</f>
        <v>3</v>
      </c>
      <c r="D166" t="s">
        <v>120</v>
      </c>
      <c r="E166" s="36" t="s">
        <v>690</v>
      </c>
    </row>
    <row r="167" spans="1:5">
      <c r="A167" t="s">
        <v>1844</v>
      </c>
      <c r="B167" s="3" t="s">
        <v>1236</v>
      </c>
      <c r="C167">
        <f>max_depth</f>
        <v>10</v>
      </c>
      <c r="D167" t="s">
        <v>120</v>
      </c>
      <c r="E167" s="36" t="s">
        <v>1250</v>
      </c>
    </row>
    <row r="168" spans="1:5">
      <c r="A168" s="1"/>
      <c r="B168" s="16"/>
    </row>
    <row r="169" spans="1:5">
      <c r="A169" s="1" t="s">
        <v>1237</v>
      </c>
      <c r="E169" s="36"/>
    </row>
    <row r="170" spans="1:5">
      <c r="A170" t="s">
        <v>2034</v>
      </c>
      <c r="B170" s="3" t="s">
        <v>1238</v>
      </c>
      <c r="C170">
        <f>design_flow_rate/comp_in_nlines_a/load_max</f>
        <v>149.44444444444443</v>
      </c>
      <c r="D170" t="s">
        <v>1845</v>
      </c>
      <c r="E170" s="36" t="s">
        <v>1251</v>
      </c>
    </row>
    <row r="171" spans="1:5">
      <c r="A171" t="s">
        <v>1844</v>
      </c>
      <c r="B171" s="3" t="s">
        <v>1239</v>
      </c>
      <c r="C171">
        <f>design_flow_rate/comp_in_nlines_a/load_min</f>
        <v>2988.8888888888887</v>
      </c>
      <c r="D171" t="s">
        <v>1845</v>
      </c>
      <c r="E171" s="36" t="s">
        <v>1252</v>
      </c>
    </row>
    <row r="172" spans="1:5">
      <c r="E172" s="36"/>
    </row>
    <row r="173" spans="1:5">
      <c r="A173" s="1" t="s">
        <v>1240</v>
      </c>
      <c r="E173" s="36"/>
    </row>
    <row r="174" spans="1:5">
      <c r="A174" t="s">
        <v>2034</v>
      </c>
      <c r="B174" s="3" t="s">
        <v>1241</v>
      </c>
      <c r="C174">
        <f>min_length_g</f>
        <v>6</v>
      </c>
      <c r="D174" t="s">
        <v>120</v>
      </c>
      <c r="E174" s="36" t="s">
        <v>1253</v>
      </c>
    </row>
    <row r="175" spans="1:5">
      <c r="A175" s="5" t="s">
        <v>1844</v>
      </c>
      <c r="B175" s="3" t="s">
        <v>1242</v>
      </c>
      <c r="C175">
        <f>max_length_g</f>
        <v>30</v>
      </c>
      <c r="D175" s="5" t="s">
        <v>120</v>
      </c>
      <c r="E175" s="36" t="s">
        <v>1254</v>
      </c>
    </row>
    <row r="176" spans="1:5">
      <c r="E176" s="36"/>
    </row>
    <row r="177" spans="1:5">
      <c r="A177" s="1" t="s">
        <v>1243</v>
      </c>
      <c r="E177" s="36"/>
    </row>
    <row r="178" spans="1:5">
      <c r="A178" t="s">
        <v>2034</v>
      </c>
      <c r="B178" s="3" t="s">
        <v>1244</v>
      </c>
      <c r="C178">
        <f>min_width</f>
        <v>6</v>
      </c>
      <c r="D178" t="s">
        <v>120</v>
      </c>
      <c r="E178" s="36" t="s">
        <v>1255</v>
      </c>
    </row>
    <row r="179" spans="1:5">
      <c r="A179" s="5" t="s">
        <v>1844</v>
      </c>
      <c r="B179" s="3" t="s">
        <v>1245</v>
      </c>
      <c r="C179">
        <f>max_width</f>
        <v>30</v>
      </c>
      <c r="D179" s="5" t="s">
        <v>120</v>
      </c>
      <c r="E179" s="36" t="s">
        <v>1256</v>
      </c>
    </row>
    <row r="181" spans="1:5">
      <c r="A181" s="63" t="s">
        <v>778</v>
      </c>
    </row>
    <row r="182" spans="1:5">
      <c r="A182" t="s">
        <v>779</v>
      </c>
      <c r="B182" s="3" t="s">
        <v>1246</v>
      </c>
      <c r="C182" t="b">
        <v>1</v>
      </c>
      <c r="E182" s="36" t="s">
        <v>187</v>
      </c>
    </row>
  </sheetData>
  <phoneticPr fontId="0" type="noConversion"/>
  <pageMargins left="0.75" right="0.75" top="1" bottom="1" header="0.5" footer="0.5"/>
  <pageSetup orientation="portrait" horizontalDpi="200" verticalDpi="200"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Q237"/>
  <sheetViews>
    <sheetView workbookViewId="0">
      <pane ySplit="4" topLeftCell="A5" activePane="bottomLeft" state="frozen"/>
      <selection pane="bottomLeft"/>
    </sheetView>
  </sheetViews>
  <sheetFormatPr baseColWidth="10" defaultColWidth="8.83203125" defaultRowHeight="13"/>
  <cols>
    <col min="1" max="1" width="24" customWidth="1"/>
    <col min="2" max="2" width="19.83203125" customWidth="1"/>
    <col min="3" max="3" width="11.5" customWidth="1"/>
    <col min="4" max="4" width="9.5" bestFit="1" customWidth="1"/>
    <col min="6" max="11" width="9.5" bestFit="1" customWidth="1"/>
    <col min="12" max="12" width="12" bestFit="1" customWidth="1"/>
    <col min="13" max="13" width="13.33203125" bestFit="1" customWidth="1"/>
    <col min="14" max="14" width="9.5" bestFit="1" customWidth="1"/>
    <col min="15" max="17" width="9.33203125" bestFit="1" customWidth="1"/>
  </cols>
  <sheetData>
    <row r="1" spans="1:17">
      <c r="A1" s="1" t="s">
        <v>3265</v>
      </c>
    </row>
    <row r="2" spans="1:17">
      <c r="A2" s="570" t="s">
        <v>3269</v>
      </c>
    </row>
    <row r="4" spans="1:17">
      <c r="A4" s="1" t="s">
        <v>3264</v>
      </c>
      <c r="B4" s="1"/>
      <c r="C4" s="1" t="s">
        <v>591</v>
      </c>
      <c r="D4" s="1" t="s">
        <v>592</v>
      </c>
      <c r="E4" s="1"/>
      <c r="F4" s="1">
        <v>2</v>
      </c>
      <c r="G4" s="1">
        <v>3</v>
      </c>
      <c r="H4" s="1">
        <v>4</v>
      </c>
      <c r="I4" s="1">
        <v>5</v>
      </c>
      <c r="J4" s="1">
        <v>6</v>
      </c>
      <c r="K4" s="1">
        <v>7</v>
      </c>
      <c r="L4" s="1">
        <v>8</v>
      </c>
      <c r="M4" s="1">
        <v>9</v>
      </c>
      <c r="N4" s="1">
        <v>10</v>
      </c>
      <c r="O4" s="1">
        <v>11</v>
      </c>
      <c r="P4" s="1">
        <v>15</v>
      </c>
      <c r="Q4" s="1">
        <v>16</v>
      </c>
    </row>
    <row r="5" spans="1:17">
      <c r="A5" s="14" t="s">
        <v>2873</v>
      </c>
    </row>
    <row r="6" spans="1:17">
      <c r="A6" s="11" t="s">
        <v>16</v>
      </c>
      <c r="B6" s="5"/>
    </row>
    <row r="7" spans="1:17">
      <c r="A7" s="5" t="s">
        <v>17</v>
      </c>
      <c r="B7" t="s">
        <v>594</v>
      </c>
      <c r="C7" s="38">
        <f>IF(D7=0,0,IF(OR(D7&gt;P7,D7&lt;Q7),"contact vendor",F7*D7^G7+H7*LN(D7)+I7+J7*EXP(K7*D7)+L7*D7^3+M7*D7^2+N7*D7+O7))</f>
        <v>138579.31096218174</v>
      </c>
      <c r="D7">
        <f>comm_vol_gal</f>
        <v>6168.5171753235591</v>
      </c>
      <c r="E7" t="s">
        <v>594</v>
      </c>
      <c r="F7">
        <f t="shared" ref="F7:Q10" si="0">VLOOKUP($E7,eq_table_cl,F$4,FALSE)</f>
        <v>0</v>
      </c>
      <c r="G7">
        <f t="shared" si="0"/>
        <v>0</v>
      </c>
      <c r="H7">
        <f t="shared" si="0"/>
        <v>0</v>
      </c>
      <c r="I7">
        <f t="shared" si="0"/>
        <v>0</v>
      </c>
      <c r="J7">
        <f t="shared" si="0"/>
        <v>0</v>
      </c>
      <c r="K7">
        <f t="shared" si="0"/>
        <v>0</v>
      </c>
      <c r="L7">
        <f t="shared" si="0"/>
        <v>4.0000000000000001E-8</v>
      </c>
      <c r="M7">
        <f t="shared" si="0"/>
        <v>-1.6522430000000001E-3</v>
      </c>
      <c r="N7">
        <f t="shared" si="0"/>
        <v>26.487093706</v>
      </c>
      <c r="O7">
        <f t="shared" si="0"/>
        <v>28673.43064482</v>
      </c>
      <c r="P7">
        <f t="shared" si="0"/>
        <v>27101</v>
      </c>
      <c r="Q7">
        <f t="shared" si="0"/>
        <v>0</v>
      </c>
    </row>
    <row r="8" spans="1:17">
      <c r="A8" s="5" t="s">
        <v>1698</v>
      </c>
      <c r="B8" t="s">
        <v>1088</v>
      </c>
      <c r="C8" s="38">
        <f t="shared" ref="C8:C10" si="1">IF(D8=0,0,IF(OR(D8&gt;P8,D8&lt;Q8),"contact vendor",F8*D8^G8+H8*LN(D8)+I8+J8*EXP(K8*D8)+L8*D8^3+M8*D8^2+N8*D8+O8))</f>
        <v>88053.113002878046</v>
      </c>
      <c r="D8">
        <f>comm_vol_gal</f>
        <v>6168.5171753235591</v>
      </c>
      <c r="E8" t="s">
        <v>1088</v>
      </c>
      <c r="F8">
        <f t="shared" si="0"/>
        <v>1596.499332614</v>
      </c>
      <c r="G8">
        <f t="shared" si="0"/>
        <v>0.45949680900000001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5" t="s">
        <v>230</v>
      </c>
      <c r="B9" t="s">
        <v>1089</v>
      </c>
      <c r="C9" s="38">
        <f t="shared" si="1"/>
        <v>72201.05377942168</v>
      </c>
      <c r="D9">
        <f>comm_vol_gal</f>
        <v>6168.5171753235591</v>
      </c>
      <c r="E9" t="s">
        <v>1089</v>
      </c>
      <c r="F9">
        <f t="shared" si="0"/>
        <v>1798.6988144679999</v>
      </c>
      <c r="G9">
        <f t="shared" si="0"/>
        <v>0.42308934100000001</v>
      </c>
      <c r="H9">
        <f t="shared" si="0"/>
        <v>0</v>
      </c>
      <c r="I9">
        <f t="shared" si="0"/>
        <v>0</v>
      </c>
      <c r="J9">
        <f t="shared" si="0"/>
        <v>0</v>
      </c>
      <c r="K9">
        <f t="shared" si="0"/>
        <v>0</v>
      </c>
      <c r="L9">
        <f t="shared" si="0"/>
        <v>0</v>
      </c>
      <c r="M9">
        <f t="shared" si="0"/>
        <v>0</v>
      </c>
      <c r="N9">
        <f t="shared" si="0"/>
        <v>0</v>
      </c>
      <c r="O9">
        <f t="shared" si="0"/>
        <v>0</v>
      </c>
      <c r="P9">
        <f t="shared" si="0"/>
        <v>27101</v>
      </c>
      <c r="Q9">
        <f t="shared" si="0"/>
        <v>0</v>
      </c>
    </row>
    <row r="10" spans="1:17">
      <c r="A10" s="5" t="s">
        <v>2522</v>
      </c>
      <c r="B10" t="s">
        <v>595</v>
      </c>
      <c r="C10" s="38" t="str">
        <f t="shared" si="1"/>
        <v>contact vendor</v>
      </c>
      <c r="D10">
        <f>comm_vol_gal</f>
        <v>6168.5171753235591</v>
      </c>
      <c r="E10" t="s">
        <v>595</v>
      </c>
      <c r="F10">
        <f t="shared" si="0"/>
        <v>0</v>
      </c>
      <c r="G10">
        <f t="shared" si="0"/>
        <v>0</v>
      </c>
      <c r="H10">
        <f t="shared" si="0"/>
        <v>0</v>
      </c>
      <c r="I10">
        <f t="shared" si="0"/>
        <v>0</v>
      </c>
      <c r="J10">
        <f t="shared" si="0"/>
        <v>0</v>
      </c>
      <c r="K10">
        <f t="shared" si="0"/>
        <v>0</v>
      </c>
      <c r="L10">
        <f t="shared" si="0"/>
        <v>0</v>
      </c>
      <c r="M10">
        <f t="shared" si="0"/>
        <v>2.2354919999999999E-3</v>
      </c>
      <c r="N10">
        <f t="shared" si="0"/>
        <v>18.79231828</v>
      </c>
      <c r="O10">
        <f t="shared" si="0"/>
        <v>275.54372241900001</v>
      </c>
      <c r="P10">
        <f t="shared" si="0"/>
        <v>901</v>
      </c>
      <c r="Q10">
        <f t="shared" si="0"/>
        <v>0</v>
      </c>
    </row>
    <row r="11" spans="1:17">
      <c r="A11" s="83" t="s">
        <v>1260</v>
      </c>
      <c r="C11" s="38"/>
    </row>
    <row r="12" spans="1:17">
      <c r="A12" s="23" t="s">
        <v>2933</v>
      </c>
      <c r="B12" t="s">
        <v>3133</v>
      </c>
      <c r="C12" s="38"/>
    </row>
    <row r="13" spans="1:17">
      <c r="A13" s="23" t="s">
        <v>3212</v>
      </c>
      <c r="C13" s="38" t="str">
        <f t="shared" ref="C13:C15" si="2">IF(D13=0,0,IF(OR(D13&gt;P13,D13&lt;Q13),"contact vendor",F13*D13^G13+H13*LN(D13)+I13+J13*EXP(K13*D13)+L13*D13^3+M13*D13^2+N13*D13+O13))</f>
        <v>contact vendor</v>
      </c>
      <c r="D13" t="str">
        <f>basin_area</f>
        <v>-</v>
      </c>
      <c r="E13" t="s">
        <v>3215</v>
      </c>
      <c r="F13">
        <f t="shared" ref="F13:Q15" si="3">VLOOKUP($E13,eq_table_cl,F$4,FALSE)</f>
        <v>0</v>
      </c>
      <c r="G13">
        <f t="shared" si="3"/>
        <v>0</v>
      </c>
      <c r="H13">
        <f t="shared" si="3"/>
        <v>0</v>
      </c>
      <c r="I13">
        <f t="shared" si="3"/>
        <v>0</v>
      </c>
      <c r="J13">
        <f t="shared" si="3"/>
        <v>0</v>
      </c>
      <c r="K13">
        <f t="shared" si="3"/>
        <v>0</v>
      </c>
      <c r="L13">
        <f t="shared" si="3"/>
        <v>-5.6289999999999998E-6</v>
      </c>
      <c r="M13">
        <f t="shared" si="3"/>
        <v>1.3916018E-2</v>
      </c>
      <c r="N13">
        <f t="shared" si="3"/>
        <v>52.090398698000001</v>
      </c>
      <c r="O13">
        <f t="shared" si="3"/>
        <v>47002.723866152999</v>
      </c>
      <c r="P13">
        <f t="shared" si="3"/>
        <v>1001</v>
      </c>
      <c r="Q13">
        <f t="shared" si="3"/>
        <v>0</v>
      </c>
    </row>
    <row r="14" spans="1:17">
      <c r="A14" s="23" t="s">
        <v>3213</v>
      </c>
      <c r="C14" s="38" t="str">
        <f t="shared" si="2"/>
        <v>contact vendor</v>
      </c>
      <c r="D14" t="str">
        <f>basin_area</f>
        <v>-</v>
      </c>
      <c r="E14" t="s">
        <v>3216</v>
      </c>
      <c r="F14">
        <f t="shared" si="3"/>
        <v>0</v>
      </c>
      <c r="G14">
        <f t="shared" si="3"/>
        <v>0</v>
      </c>
      <c r="H14">
        <f t="shared" si="3"/>
        <v>0</v>
      </c>
      <c r="I14">
        <f t="shared" si="3"/>
        <v>0</v>
      </c>
      <c r="J14">
        <f t="shared" si="3"/>
        <v>0</v>
      </c>
      <c r="K14">
        <f t="shared" si="3"/>
        <v>0</v>
      </c>
      <c r="L14">
        <f t="shared" si="3"/>
        <v>2.5666000000000001E-5</v>
      </c>
      <c r="M14">
        <f t="shared" si="3"/>
        <v>-3.1620271999999998E-2</v>
      </c>
      <c r="N14">
        <f t="shared" si="3"/>
        <v>66.758900197000003</v>
      </c>
      <c r="O14">
        <f t="shared" si="3"/>
        <v>1888.9601026519999</v>
      </c>
      <c r="P14">
        <f t="shared" si="3"/>
        <v>1001</v>
      </c>
      <c r="Q14">
        <f t="shared" si="3"/>
        <v>0</v>
      </c>
    </row>
    <row r="15" spans="1:17">
      <c r="A15" s="23" t="s">
        <v>3214</v>
      </c>
      <c r="C15" s="38">
        <f t="shared" si="2"/>
        <v>0</v>
      </c>
      <c r="D15">
        <f>basin_length</f>
        <v>0</v>
      </c>
      <c r="E15" t="s">
        <v>3217</v>
      </c>
      <c r="F15">
        <f t="shared" si="3"/>
        <v>0</v>
      </c>
      <c r="G15">
        <f t="shared" si="3"/>
        <v>0</v>
      </c>
      <c r="H15">
        <f t="shared" si="3"/>
        <v>0</v>
      </c>
      <c r="I15">
        <f t="shared" si="3"/>
        <v>0</v>
      </c>
      <c r="J15">
        <f t="shared" si="3"/>
        <v>33696.395725932998</v>
      </c>
      <c r="K15">
        <f t="shared" si="3"/>
        <v>5.9381778000000003E-2</v>
      </c>
      <c r="L15">
        <f t="shared" si="3"/>
        <v>0</v>
      </c>
      <c r="M15">
        <f t="shared" si="3"/>
        <v>0</v>
      </c>
      <c r="N15">
        <f t="shared" si="3"/>
        <v>0</v>
      </c>
      <c r="O15">
        <f t="shared" si="3"/>
        <v>0</v>
      </c>
      <c r="P15">
        <f t="shared" si="3"/>
        <v>31</v>
      </c>
      <c r="Q15">
        <f t="shared" si="3"/>
        <v>0</v>
      </c>
    </row>
    <row r="16" spans="1:17">
      <c r="A16" s="23" t="s">
        <v>3218</v>
      </c>
      <c r="B16" t="s">
        <v>3219</v>
      </c>
      <c r="C16" s="38">
        <f>IF(total_num_basins=0,0,IF(OR(C13="contact vendor",C14="contact vendor",C15="contact vendor"),"contact vendor",C13+(total_num_basins-1)*C14+total_num_basins*C15))</f>
        <v>0</v>
      </c>
    </row>
    <row r="17" spans="1:17">
      <c r="A17" s="23" t="s">
        <v>1261</v>
      </c>
      <c r="B17" t="s">
        <v>3133</v>
      </c>
      <c r="C17" s="38"/>
    </row>
    <row r="18" spans="1:17">
      <c r="A18" s="23" t="s">
        <v>1262</v>
      </c>
      <c r="B18" t="s">
        <v>3133</v>
      </c>
      <c r="C18" s="38"/>
    </row>
    <row r="19" spans="1:17">
      <c r="A19" s="23" t="s">
        <v>1263</v>
      </c>
      <c r="B19" t="s">
        <v>3133</v>
      </c>
      <c r="C19" s="38"/>
    </row>
    <row r="20" spans="1:17">
      <c r="A20" s="23" t="s">
        <v>1264</v>
      </c>
      <c r="B20" t="s">
        <v>3133</v>
      </c>
      <c r="C20" s="38"/>
    </row>
    <row r="21" spans="1:17">
      <c r="A21" s="14" t="s">
        <v>20</v>
      </c>
    </row>
    <row r="22" spans="1:17">
      <c r="A22" s="83" t="s">
        <v>2874</v>
      </c>
    </row>
    <row r="23" spans="1:17">
      <c r="A23" s="23" t="s">
        <v>3129</v>
      </c>
      <c r="B23" t="s">
        <v>3133</v>
      </c>
    </row>
    <row r="24" spans="1:17">
      <c r="A24" s="5" t="s">
        <v>2530</v>
      </c>
      <c r="B24" t="s">
        <v>596</v>
      </c>
      <c r="C24" s="38">
        <f t="shared" ref="C24:C26" si="4">IF(D24=0,0,IF(OR(D24&gt;P24,D24&lt;Q24),"contact vendor",F24*D24^G24+H24*LN(D24)+I24+J24*EXP(K24*D24)+L24*D24^3+M24*D24^2+N24*D24+O24))</f>
        <v>30389.794422716783</v>
      </c>
      <c r="D24">
        <f>back_tank_vol</f>
        <v>9420</v>
      </c>
      <c r="E24" t="s">
        <v>596</v>
      </c>
      <c r="F24">
        <f t="shared" ref="F24:Q26" si="5">VLOOKUP($E24,eq_table_cl,F$4,FALSE)</f>
        <v>308.93713092600001</v>
      </c>
      <c r="G24">
        <f t="shared" si="5"/>
        <v>0.50146757099999995</v>
      </c>
      <c r="H24">
        <f t="shared" si="5"/>
        <v>0</v>
      </c>
      <c r="I24">
        <f t="shared" si="5"/>
        <v>0</v>
      </c>
      <c r="J24">
        <f t="shared" si="5"/>
        <v>0</v>
      </c>
      <c r="K24">
        <f t="shared" si="5"/>
        <v>0</v>
      </c>
      <c r="L24">
        <f t="shared" si="5"/>
        <v>0</v>
      </c>
      <c r="M24">
        <f t="shared" si="5"/>
        <v>0</v>
      </c>
      <c r="N24">
        <f t="shared" si="5"/>
        <v>0</v>
      </c>
      <c r="O24">
        <f t="shared" si="5"/>
        <v>0</v>
      </c>
      <c r="P24">
        <f t="shared" si="5"/>
        <v>289001</v>
      </c>
      <c r="Q24">
        <f t="shared" si="5"/>
        <v>0</v>
      </c>
    </row>
    <row r="25" spans="1:17">
      <c r="A25" s="5" t="s">
        <v>2522</v>
      </c>
      <c r="B25" t="s">
        <v>1090</v>
      </c>
      <c r="C25" s="38">
        <f t="shared" si="4"/>
        <v>57937.551035005272</v>
      </c>
      <c r="D25">
        <f>back_tank_vol</f>
        <v>9420</v>
      </c>
      <c r="E25" t="s">
        <v>1090</v>
      </c>
      <c r="F25">
        <f t="shared" si="5"/>
        <v>135.281859973</v>
      </c>
      <c r="G25">
        <f t="shared" si="5"/>
        <v>0.66222618499999997</v>
      </c>
      <c r="H25">
        <f t="shared" si="5"/>
        <v>0</v>
      </c>
      <c r="I25">
        <f t="shared" si="5"/>
        <v>0</v>
      </c>
      <c r="J25">
        <f t="shared" si="5"/>
        <v>0</v>
      </c>
      <c r="K25">
        <f t="shared" si="5"/>
        <v>0</v>
      </c>
      <c r="L25">
        <f t="shared" si="5"/>
        <v>0</v>
      </c>
      <c r="M25">
        <f t="shared" si="5"/>
        <v>0</v>
      </c>
      <c r="N25">
        <f t="shared" si="5"/>
        <v>0</v>
      </c>
      <c r="O25">
        <f t="shared" si="5"/>
        <v>0</v>
      </c>
      <c r="P25">
        <f t="shared" si="5"/>
        <v>20001</v>
      </c>
      <c r="Q25">
        <f t="shared" si="5"/>
        <v>0</v>
      </c>
    </row>
    <row r="26" spans="1:17">
      <c r="A26" s="5" t="s">
        <v>676</v>
      </c>
      <c r="B26" t="s">
        <v>1091</v>
      </c>
      <c r="C26" s="38">
        <f t="shared" si="4"/>
        <v>18717.508322259997</v>
      </c>
      <c r="D26">
        <f>back_tank_vol</f>
        <v>9420</v>
      </c>
      <c r="E26" t="s">
        <v>1091</v>
      </c>
      <c r="F26">
        <f t="shared" si="5"/>
        <v>0</v>
      </c>
      <c r="G26">
        <f t="shared" si="5"/>
        <v>0</v>
      </c>
      <c r="H26">
        <f t="shared" si="5"/>
        <v>0</v>
      </c>
      <c r="I26">
        <f t="shared" si="5"/>
        <v>0</v>
      </c>
      <c r="J26">
        <f t="shared" si="5"/>
        <v>0</v>
      </c>
      <c r="K26">
        <f t="shared" si="5"/>
        <v>0</v>
      </c>
      <c r="L26">
        <f t="shared" si="5"/>
        <v>3E-9</v>
      </c>
      <c r="M26">
        <f t="shared" si="5"/>
        <v>-4.4866E-5</v>
      </c>
      <c r="N26">
        <f t="shared" si="5"/>
        <v>2.0973282219999998</v>
      </c>
      <c r="O26">
        <f t="shared" si="5"/>
        <v>434.23312942000001</v>
      </c>
      <c r="P26">
        <f t="shared" si="5"/>
        <v>16502</v>
      </c>
      <c r="Q26">
        <f t="shared" si="5"/>
        <v>0</v>
      </c>
    </row>
    <row r="27" spans="1:17">
      <c r="A27" s="83" t="s">
        <v>372</v>
      </c>
      <c r="C27" s="38"/>
    </row>
    <row r="28" spans="1:17">
      <c r="A28" s="5" t="s">
        <v>3130</v>
      </c>
      <c r="B28" t="s">
        <v>373</v>
      </c>
      <c r="C28" s="38">
        <f t="shared" ref="C28:C30" si="6">IF(D28=0,0,IF(OR(D28&gt;P28,D28&lt;Q28),"contact vendor",F28*D28^G28+H28*LN(D28)+I28+J28*EXP(K28*D28)+L28*D28^3+M28*D28^2+N28*D28+O28))</f>
        <v>43021.40038450584</v>
      </c>
      <c r="D28">
        <f>htank_vol</f>
        <v>18840</v>
      </c>
      <c r="E28" t="s">
        <v>596</v>
      </c>
      <c r="F28">
        <f t="shared" ref="F28:Q30" si="7">VLOOKUP($E28,eq_table_cl,F$4,FALSE)</f>
        <v>308.93713092600001</v>
      </c>
      <c r="G28">
        <f t="shared" si="7"/>
        <v>0.50146757099999995</v>
      </c>
      <c r="H28">
        <f t="shared" si="7"/>
        <v>0</v>
      </c>
      <c r="I28">
        <f t="shared" si="7"/>
        <v>0</v>
      </c>
      <c r="J28">
        <f t="shared" si="7"/>
        <v>0</v>
      </c>
      <c r="K28">
        <f t="shared" si="7"/>
        <v>0</v>
      </c>
      <c r="L28">
        <f t="shared" si="7"/>
        <v>0</v>
      </c>
      <c r="M28">
        <f t="shared" si="7"/>
        <v>0</v>
      </c>
      <c r="N28">
        <f t="shared" si="7"/>
        <v>0</v>
      </c>
      <c r="O28">
        <f t="shared" si="7"/>
        <v>0</v>
      </c>
      <c r="P28">
        <f t="shared" si="7"/>
        <v>289001</v>
      </c>
      <c r="Q28">
        <f t="shared" si="7"/>
        <v>0</v>
      </c>
    </row>
    <row r="29" spans="1:17">
      <c r="A29" s="5" t="s">
        <v>374</v>
      </c>
      <c r="B29" t="s">
        <v>375</v>
      </c>
      <c r="C29" s="38">
        <f t="shared" si="6"/>
        <v>91687.489117729987</v>
      </c>
      <c r="D29">
        <f>htank_vol</f>
        <v>18840</v>
      </c>
      <c r="E29" t="s">
        <v>1090</v>
      </c>
      <c r="F29">
        <f t="shared" si="7"/>
        <v>135.281859973</v>
      </c>
      <c r="G29">
        <f t="shared" si="7"/>
        <v>0.66222618499999997</v>
      </c>
      <c r="H29">
        <f t="shared" si="7"/>
        <v>0</v>
      </c>
      <c r="I29">
        <f t="shared" si="7"/>
        <v>0</v>
      </c>
      <c r="J29">
        <f t="shared" si="7"/>
        <v>0</v>
      </c>
      <c r="K29">
        <f t="shared" si="7"/>
        <v>0</v>
      </c>
      <c r="L29">
        <f t="shared" si="7"/>
        <v>0</v>
      </c>
      <c r="M29">
        <f t="shared" si="7"/>
        <v>0</v>
      </c>
      <c r="N29">
        <f t="shared" si="7"/>
        <v>0</v>
      </c>
      <c r="O29">
        <f t="shared" si="7"/>
        <v>0</v>
      </c>
      <c r="P29">
        <f t="shared" si="7"/>
        <v>20001</v>
      </c>
      <c r="Q29">
        <f t="shared" si="7"/>
        <v>0</v>
      </c>
    </row>
    <row r="30" spans="1:17">
      <c r="A30" s="5" t="s">
        <v>376</v>
      </c>
      <c r="B30" t="s">
        <v>377</v>
      </c>
      <c r="C30" s="38" t="str">
        <f t="shared" si="6"/>
        <v>contact vendor</v>
      </c>
      <c r="D30">
        <f>htank_vol</f>
        <v>18840</v>
      </c>
      <c r="E30" t="s">
        <v>1091</v>
      </c>
      <c r="F30">
        <f t="shared" si="7"/>
        <v>0</v>
      </c>
      <c r="G30">
        <f t="shared" si="7"/>
        <v>0</v>
      </c>
      <c r="H30">
        <f t="shared" si="7"/>
        <v>0</v>
      </c>
      <c r="I30">
        <f t="shared" si="7"/>
        <v>0</v>
      </c>
      <c r="J30">
        <f t="shared" si="7"/>
        <v>0</v>
      </c>
      <c r="K30">
        <f t="shared" si="7"/>
        <v>0</v>
      </c>
      <c r="L30">
        <f t="shared" si="7"/>
        <v>3E-9</v>
      </c>
      <c r="M30">
        <f t="shared" si="7"/>
        <v>-4.4866E-5</v>
      </c>
      <c r="N30">
        <f t="shared" si="7"/>
        <v>2.0973282219999998</v>
      </c>
      <c r="O30">
        <f t="shared" si="7"/>
        <v>434.23312942000001</v>
      </c>
      <c r="P30">
        <f t="shared" si="7"/>
        <v>16502</v>
      </c>
      <c r="Q30">
        <f t="shared" si="7"/>
        <v>0</v>
      </c>
    </row>
    <row r="31" spans="1:17">
      <c r="A31" s="669" t="s">
        <v>3689</v>
      </c>
      <c r="C31" s="472"/>
    </row>
    <row r="32" spans="1:17">
      <c r="A32" s="414" t="s">
        <v>3425</v>
      </c>
      <c r="B32" s="5" t="s">
        <v>3690</v>
      </c>
      <c r="C32" s="38">
        <f>IF(D32=0,0,IF(OR(D32&gt;P32,D32&lt;Q32),"contact vendor",F32*D32^G32+H32*LN(D32)+I32+J32*EXP(K32*D32)+L32*D32^3+M32*D32^2+N32*D32+O32))</f>
        <v>0</v>
      </c>
      <c r="D32">
        <f>coag_tank_vol</f>
        <v>0</v>
      </c>
      <c r="E32" t="s">
        <v>2296</v>
      </c>
      <c r="F32">
        <f t="shared" ref="F32:Q33" si="8">VLOOKUP($E32,eq_table_cl,F$4,FALSE)</f>
        <v>0</v>
      </c>
      <c r="G32">
        <f t="shared" si="8"/>
        <v>0</v>
      </c>
      <c r="H32">
        <f t="shared" si="8"/>
        <v>0</v>
      </c>
      <c r="I32">
        <f t="shared" si="8"/>
        <v>0</v>
      </c>
      <c r="J32">
        <f t="shared" si="8"/>
        <v>0</v>
      </c>
      <c r="K32">
        <f t="shared" si="8"/>
        <v>0</v>
      </c>
      <c r="L32">
        <f t="shared" si="8"/>
        <v>0</v>
      </c>
      <c r="M32">
        <f t="shared" si="8"/>
        <v>1.89841E-4</v>
      </c>
      <c r="N32">
        <f t="shared" si="8"/>
        <v>1.125069329</v>
      </c>
      <c r="O32">
        <f t="shared" si="8"/>
        <v>710.83996240299996</v>
      </c>
      <c r="P32">
        <f t="shared" si="8"/>
        <v>6601</v>
      </c>
      <c r="Q32">
        <f t="shared" si="8"/>
        <v>0</v>
      </c>
    </row>
    <row r="33" spans="1:17">
      <c r="A33" s="5" t="s">
        <v>2522</v>
      </c>
      <c r="B33" s="5" t="s">
        <v>3691</v>
      </c>
      <c r="C33" s="38">
        <f>IF(D33=0,0,IF(OR(D33&gt;P33,D33&lt;Q33),"contact vendor",F33*D33^G33+H33*LN(D33)+I33+J33*EXP(K33*D33)+L33*D33^3+M33*D33^2+N33*D33+O33))</f>
        <v>0</v>
      </c>
      <c r="D33">
        <f>coag_tank_vol</f>
        <v>0</v>
      </c>
      <c r="E33" t="s">
        <v>2298</v>
      </c>
      <c r="F33">
        <f t="shared" si="8"/>
        <v>259.35532937099998</v>
      </c>
      <c r="G33">
        <f t="shared" si="8"/>
        <v>0.55137656199999996</v>
      </c>
      <c r="H33">
        <f t="shared" si="8"/>
        <v>0</v>
      </c>
      <c r="I33">
        <f t="shared" si="8"/>
        <v>0</v>
      </c>
      <c r="J33">
        <f t="shared" si="8"/>
        <v>0</v>
      </c>
      <c r="K33">
        <f t="shared" si="8"/>
        <v>0</v>
      </c>
      <c r="L33">
        <f t="shared" si="8"/>
        <v>0</v>
      </c>
      <c r="M33">
        <f t="shared" si="8"/>
        <v>0</v>
      </c>
      <c r="N33">
        <f t="shared" si="8"/>
        <v>0</v>
      </c>
      <c r="O33">
        <f t="shared" si="8"/>
        <v>0</v>
      </c>
      <c r="P33">
        <f t="shared" si="8"/>
        <v>30001</v>
      </c>
      <c r="Q33">
        <f t="shared" si="8"/>
        <v>0</v>
      </c>
    </row>
    <row r="34" spans="1:17">
      <c r="A34" s="11" t="s">
        <v>2294</v>
      </c>
      <c r="C34" s="472"/>
    </row>
    <row r="35" spans="1:17">
      <c r="A35" s="414" t="s">
        <v>3425</v>
      </c>
      <c r="B35" s="5" t="s">
        <v>2295</v>
      </c>
      <c r="C35" s="38">
        <f>IF(D35=0,0,IF(OR(D35&gt;P35,D35&lt;Q35),"contact vendor",F35*D35^G35+H35*LN(D35)+I35+J35*EXP(K35*D35)+L35*D35^3+M35*D35^2+N35*D35+O35))</f>
        <v>0</v>
      </c>
      <c r="D35">
        <f>polymer_tank_vol</f>
        <v>0</v>
      </c>
      <c r="E35" t="s">
        <v>2296</v>
      </c>
      <c r="F35">
        <f t="shared" ref="F35:Q37" si="9">VLOOKUP($E35,eq_table_cl,F$4,FALSE)</f>
        <v>0</v>
      </c>
      <c r="G35">
        <f t="shared" si="9"/>
        <v>0</v>
      </c>
      <c r="H35">
        <f t="shared" si="9"/>
        <v>0</v>
      </c>
      <c r="I35">
        <f t="shared" si="9"/>
        <v>0</v>
      </c>
      <c r="J35">
        <f t="shared" si="9"/>
        <v>0</v>
      </c>
      <c r="K35">
        <f t="shared" si="9"/>
        <v>0</v>
      </c>
      <c r="L35">
        <f t="shared" si="9"/>
        <v>0</v>
      </c>
      <c r="M35">
        <f t="shared" si="9"/>
        <v>1.89841E-4</v>
      </c>
      <c r="N35">
        <f t="shared" si="9"/>
        <v>1.125069329</v>
      </c>
      <c r="O35">
        <f t="shared" si="9"/>
        <v>710.83996240299996</v>
      </c>
      <c r="P35">
        <f t="shared" si="9"/>
        <v>6601</v>
      </c>
      <c r="Q35">
        <f t="shared" si="9"/>
        <v>0</v>
      </c>
    </row>
    <row r="36" spans="1:17">
      <c r="A36" s="5" t="s">
        <v>2522</v>
      </c>
      <c r="B36" s="5" t="s">
        <v>2297</v>
      </c>
      <c r="C36" s="38">
        <f>IF(D36=0,0,IF(OR(D36&gt;P36,D36&lt;Q36),"contact vendor",F36*D36^G36+H36*LN(D36)+I36+J36*EXP(K36*D36)+L36*D36^3+M36*D36^2+N36*D36+O36))</f>
        <v>0</v>
      </c>
      <c r="D36">
        <f>polymer_tank_vol</f>
        <v>0</v>
      </c>
      <c r="E36" t="s">
        <v>2298</v>
      </c>
      <c r="F36">
        <f t="shared" si="9"/>
        <v>259.35532937099998</v>
      </c>
      <c r="G36">
        <f t="shared" si="9"/>
        <v>0.55137656199999996</v>
      </c>
      <c r="H36">
        <f t="shared" si="9"/>
        <v>0</v>
      </c>
      <c r="I36">
        <f t="shared" si="9"/>
        <v>0</v>
      </c>
      <c r="J36">
        <f t="shared" si="9"/>
        <v>0</v>
      </c>
      <c r="K36">
        <f t="shared" si="9"/>
        <v>0</v>
      </c>
      <c r="L36">
        <f t="shared" si="9"/>
        <v>0</v>
      </c>
      <c r="M36">
        <f t="shared" si="9"/>
        <v>0</v>
      </c>
      <c r="N36">
        <f t="shared" si="9"/>
        <v>0</v>
      </c>
      <c r="O36">
        <f t="shared" si="9"/>
        <v>0</v>
      </c>
      <c r="P36">
        <f t="shared" si="9"/>
        <v>30001</v>
      </c>
      <c r="Q36">
        <f t="shared" si="9"/>
        <v>0</v>
      </c>
    </row>
    <row r="37" spans="1:17">
      <c r="A37" s="5" t="s">
        <v>17</v>
      </c>
      <c r="B37" s="5" t="s">
        <v>3221</v>
      </c>
      <c r="C37" s="38">
        <f>IF(D37=0,0,IF(OR(D37&gt;P37,D37&lt;Q37),"contact vendor",F37*D37^G37+H37*LN(D37)+I37+J37*EXP(K37*D37)+L37*D37^3+M37*D37^2+N37*D37+O37))</f>
        <v>0</v>
      </c>
      <c r="D37">
        <f>polymer_tank_vol</f>
        <v>0</v>
      </c>
      <c r="E37" s="5" t="s">
        <v>3222</v>
      </c>
      <c r="F37">
        <f t="shared" si="9"/>
        <v>57.021589231</v>
      </c>
      <c r="G37">
        <f t="shared" si="9"/>
        <v>0.72932539100000005</v>
      </c>
      <c r="H37">
        <f t="shared" si="9"/>
        <v>0</v>
      </c>
      <c r="I37">
        <f t="shared" si="9"/>
        <v>0</v>
      </c>
      <c r="J37">
        <f t="shared" si="9"/>
        <v>0</v>
      </c>
      <c r="K37">
        <f t="shared" si="9"/>
        <v>0</v>
      </c>
      <c r="L37">
        <f t="shared" si="9"/>
        <v>0</v>
      </c>
      <c r="M37">
        <f t="shared" si="9"/>
        <v>0</v>
      </c>
      <c r="N37">
        <f t="shared" si="9"/>
        <v>0</v>
      </c>
      <c r="O37">
        <f t="shared" si="9"/>
        <v>0</v>
      </c>
      <c r="P37">
        <f t="shared" si="9"/>
        <v>30001</v>
      </c>
      <c r="Q37">
        <f t="shared" si="9"/>
        <v>0</v>
      </c>
    </row>
    <row r="38" spans="1:17">
      <c r="A38" s="14" t="s">
        <v>2524</v>
      </c>
    </row>
    <row r="39" spans="1:17">
      <c r="A39" s="11" t="s">
        <v>2525</v>
      </c>
    </row>
    <row r="40" spans="1:17">
      <c r="A40" s="5" t="s">
        <v>2260</v>
      </c>
      <c r="B40" t="s">
        <v>1609</v>
      </c>
      <c r="C40" s="38">
        <f t="shared" ref="C40:C44" si="10">IF(D40=0,0,IF(OR(D40&gt;P40,D40&lt;Q40),"contact vendor",F40*D40^G40+H40*LN(D40)+I40+J40*EXP(K40*D40)+L40*D40^3+M40*D40^2+N40*D40+O40))</f>
        <v>122.07131396299999</v>
      </c>
      <c r="D40">
        <f>proc_pipe_diam</f>
        <v>8</v>
      </c>
      <c r="E40" t="s">
        <v>597</v>
      </c>
      <c r="F40">
        <f t="shared" ref="F40:Q44" si="11">VLOOKUP($E40,eq_table_cl,F$4,FALSE)</f>
        <v>0</v>
      </c>
      <c r="G40">
        <f t="shared" si="11"/>
        <v>0</v>
      </c>
      <c r="H40">
        <f t="shared" si="11"/>
        <v>0</v>
      </c>
      <c r="I40">
        <f t="shared" si="11"/>
        <v>0</v>
      </c>
      <c r="J40">
        <f t="shared" si="11"/>
        <v>0</v>
      </c>
      <c r="K40">
        <f t="shared" si="11"/>
        <v>0</v>
      </c>
      <c r="L40">
        <f t="shared" si="11"/>
        <v>1.3009082E-2</v>
      </c>
      <c r="M40">
        <f t="shared" si="11"/>
        <v>-0.63853567099999997</v>
      </c>
      <c r="N40">
        <f t="shared" si="11"/>
        <v>18.152542467</v>
      </c>
      <c r="O40">
        <f t="shared" si="11"/>
        <v>11.056607186999999</v>
      </c>
      <c r="P40">
        <f t="shared" si="11"/>
        <v>48.1</v>
      </c>
      <c r="Q40">
        <f t="shared" si="11"/>
        <v>4</v>
      </c>
    </row>
    <row r="41" spans="1:17">
      <c r="A41" s="5" t="s">
        <v>2528</v>
      </c>
      <c r="B41" t="s">
        <v>1610</v>
      </c>
      <c r="C41" s="38">
        <f t="shared" si="10"/>
        <v>75.189682919999996</v>
      </c>
      <c r="D41">
        <f>proc_pipe_diam</f>
        <v>8</v>
      </c>
      <c r="E41" t="s">
        <v>598</v>
      </c>
      <c r="F41">
        <f t="shared" si="11"/>
        <v>0</v>
      </c>
      <c r="G41">
        <f t="shared" si="11"/>
        <v>0</v>
      </c>
      <c r="H41">
        <f t="shared" si="11"/>
        <v>0</v>
      </c>
      <c r="I41">
        <f t="shared" si="11"/>
        <v>0</v>
      </c>
      <c r="J41">
        <f t="shared" si="11"/>
        <v>0</v>
      </c>
      <c r="K41">
        <f t="shared" si="11"/>
        <v>0</v>
      </c>
      <c r="L41">
        <f t="shared" si="11"/>
        <v>6.5072480000000002E-3</v>
      </c>
      <c r="M41">
        <f t="shared" si="11"/>
        <v>0.74408816600000005</v>
      </c>
      <c r="N41">
        <f t="shared" si="11"/>
        <v>2.9106427579999998</v>
      </c>
      <c r="O41">
        <f t="shared" si="11"/>
        <v>0.95118725599999998</v>
      </c>
      <c r="P41">
        <f t="shared" si="11"/>
        <v>18.100000000000001</v>
      </c>
      <c r="Q41">
        <f t="shared" si="11"/>
        <v>0</v>
      </c>
    </row>
    <row r="42" spans="1:17">
      <c r="A42" s="5" t="s">
        <v>2529</v>
      </c>
      <c r="B42" t="s">
        <v>1611</v>
      </c>
      <c r="C42" s="38">
        <f t="shared" si="10"/>
        <v>14.050385904999999</v>
      </c>
      <c r="D42">
        <f>proc_pipe_diam</f>
        <v>8</v>
      </c>
      <c r="E42" t="s">
        <v>599</v>
      </c>
      <c r="F42">
        <f t="shared" si="11"/>
        <v>0</v>
      </c>
      <c r="G42">
        <f t="shared" si="11"/>
        <v>0</v>
      </c>
      <c r="H42">
        <f t="shared" si="11"/>
        <v>0</v>
      </c>
      <c r="I42">
        <f t="shared" si="11"/>
        <v>0</v>
      </c>
      <c r="J42">
        <f t="shared" si="11"/>
        <v>0</v>
      </c>
      <c r="K42">
        <f t="shared" si="11"/>
        <v>0</v>
      </c>
      <c r="L42">
        <f t="shared" si="11"/>
        <v>0</v>
      </c>
      <c r="M42">
        <f t="shared" si="11"/>
        <v>9.7106987000000006E-2</v>
      </c>
      <c r="N42">
        <f t="shared" si="11"/>
        <v>0.800977414</v>
      </c>
      <c r="O42">
        <f t="shared" si="11"/>
        <v>1.427719425</v>
      </c>
      <c r="P42">
        <f t="shared" si="11"/>
        <v>48.1</v>
      </c>
      <c r="Q42">
        <f t="shared" si="11"/>
        <v>0</v>
      </c>
    </row>
    <row r="43" spans="1:17">
      <c r="A43" s="5" t="s">
        <v>17</v>
      </c>
      <c r="B43" t="s">
        <v>1612</v>
      </c>
      <c r="C43" s="38">
        <f t="shared" si="10"/>
        <v>318.42652789300001</v>
      </c>
      <c r="D43">
        <f>proc_pipe_diam</f>
        <v>8</v>
      </c>
      <c r="E43" t="s">
        <v>600</v>
      </c>
      <c r="F43">
        <f t="shared" si="11"/>
        <v>0</v>
      </c>
      <c r="G43">
        <f t="shared" si="11"/>
        <v>0</v>
      </c>
      <c r="H43">
        <f t="shared" si="11"/>
        <v>0</v>
      </c>
      <c r="I43">
        <f t="shared" si="11"/>
        <v>0</v>
      </c>
      <c r="J43">
        <f t="shared" si="11"/>
        <v>0</v>
      </c>
      <c r="K43">
        <f t="shared" si="11"/>
        <v>0</v>
      </c>
      <c r="L43">
        <f t="shared" si="11"/>
        <v>4.8585111E-2</v>
      </c>
      <c r="M43">
        <f t="shared" si="11"/>
        <v>-2.5845256220000001</v>
      </c>
      <c r="N43">
        <f t="shared" si="11"/>
        <v>58.928328317999998</v>
      </c>
      <c r="O43">
        <f t="shared" si="11"/>
        <v>-12.466035675000001</v>
      </c>
      <c r="P43">
        <f t="shared" si="11"/>
        <v>48.1</v>
      </c>
      <c r="Q43">
        <f t="shared" si="11"/>
        <v>0</v>
      </c>
    </row>
    <row r="44" spans="1:17">
      <c r="A44" s="5" t="s">
        <v>2530</v>
      </c>
      <c r="B44" t="s">
        <v>1613</v>
      </c>
      <c r="C44" s="38">
        <f t="shared" si="10"/>
        <v>141.81386805735917</v>
      </c>
      <c r="D44">
        <f>proc_pipe_diam</f>
        <v>8</v>
      </c>
      <c r="E44" t="s">
        <v>601</v>
      </c>
      <c r="F44">
        <f t="shared" si="11"/>
        <v>20.769417377</v>
      </c>
      <c r="G44">
        <f t="shared" si="11"/>
        <v>0.92382198999999998</v>
      </c>
      <c r="H44">
        <f t="shared" si="11"/>
        <v>0</v>
      </c>
      <c r="I44">
        <f t="shared" si="11"/>
        <v>0</v>
      </c>
      <c r="J44">
        <f t="shared" si="11"/>
        <v>0</v>
      </c>
      <c r="K44">
        <f t="shared" si="11"/>
        <v>0</v>
      </c>
      <c r="L44">
        <f t="shared" si="11"/>
        <v>0</v>
      </c>
      <c r="M44">
        <f t="shared" si="11"/>
        <v>0</v>
      </c>
      <c r="N44">
        <f t="shared" si="11"/>
        <v>0</v>
      </c>
      <c r="O44">
        <f t="shared" si="11"/>
        <v>0</v>
      </c>
      <c r="P44">
        <f t="shared" si="11"/>
        <v>48.1</v>
      </c>
      <c r="Q44">
        <f t="shared" si="11"/>
        <v>0</v>
      </c>
    </row>
    <row r="45" spans="1:17">
      <c r="A45" s="11" t="s">
        <v>724</v>
      </c>
    </row>
    <row r="46" spans="1:17">
      <c r="A46" s="5" t="s">
        <v>2528</v>
      </c>
      <c r="B46" t="s">
        <v>2705</v>
      </c>
      <c r="C46" s="38">
        <f t="shared" ref="C46:C49" si="12">IF(D46=0,0,IF(OR(D46&gt;P46,D46&lt;Q46),"contact vendor",F46*D46^G46+H46*LN(D46)+I46+J46*EXP(K46*D46)+L46*D46^3+M46*D46^2+N46*D46+O46))</f>
        <v>75.189682919999996</v>
      </c>
      <c r="D46">
        <f>back_pipe_diam</f>
        <v>8</v>
      </c>
      <c r="E46" t="s">
        <v>598</v>
      </c>
      <c r="F46">
        <f t="shared" ref="F46:Q49" si="13">VLOOKUP($E46,eq_table_cl,F$4,FALSE)</f>
        <v>0</v>
      </c>
      <c r="G46">
        <f t="shared" si="13"/>
        <v>0</v>
      </c>
      <c r="H46">
        <f t="shared" si="13"/>
        <v>0</v>
      </c>
      <c r="I46">
        <f t="shared" si="13"/>
        <v>0</v>
      </c>
      <c r="J46">
        <f t="shared" si="13"/>
        <v>0</v>
      </c>
      <c r="K46">
        <f t="shared" si="13"/>
        <v>0</v>
      </c>
      <c r="L46">
        <f t="shared" si="13"/>
        <v>6.5072480000000002E-3</v>
      </c>
      <c r="M46">
        <f t="shared" si="13"/>
        <v>0.74408816600000005</v>
      </c>
      <c r="N46">
        <f t="shared" si="13"/>
        <v>2.9106427579999998</v>
      </c>
      <c r="O46">
        <f t="shared" si="13"/>
        <v>0.95118725599999998</v>
      </c>
      <c r="P46">
        <f t="shared" si="13"/>
        <v>18.100000000000001</v>
      </c>
      <c r="Q46">
        <f t="shared" si="13"/>
        <v>0</v>
      </c>
    </row>
    <row r="47" spans="1:17">
      <c r="A47" s="5" t="s">
        <v>2529</v>
      </c>
      <c r="B47" t="s">
        <v>2706</v>
      </c>
      <c r="C47" s="38">
        <f t="shared" si="12"/>
        <v>14.050385904999999</v>
      </c>
      <c r="D47">
        <f>back_pipe_diam</f>
        <v>8</v>
      </c>
      <c r="E47" t="s">
        <v>599</v>
      </c>
      <c r="F47">
        <f t="shared" si="13"/>
        <v>0</v>
      </c>
      <c r="G47">
        <f t="shared" si="13"/>
        <v>0</v>
      </c>
      <c r="H47">
        <f t="shared" si="13"/>
        <v>0</v>
      </c>
      <c r="I47">
        <f t="shared" si="13"/>
        <v>0</v>
      </c>
      <c r="J47">
        <f t="shared" si="13"/>
        <v>0</v>
      </c>
      <c r="K47">
        <f t="shared" si="13"/>
        <v>0</v>
      </c>
      <c r="L47">
        <f t="shared" si="13"/>
        <v>0</v>
      </c>
      <c r="M47">
        <f t="shared" si="13"/>
        <v>9.7106987000000006E-2</v>
      </c>
      <c r="N47">
        <f t="shared" si="13"/>
        <v>0.800977414</v>
      </c>
      <c r="O47">
        <f t="shared" si="13"/>
        <v>1.427719425</v>
      </c>
      <c r="P47">
        <f t="shared" si="13"/>
        <v>48.1</v>
      </c>
      <c r="Q47">
        <f t="shared" si="13"/>
        <v>0</v>
      </c>
    </row>
    <row r="48" spans="1:17">
      <c r="A48" s="5" t="s">
        <v>17</v>
      </c>
      <c r="B48" t="s">
        <v>2707</v>
      </c>
      <c r="C48" s="38">
        <f t="shared" si="12"/>
        <v>318.42652789300001</v>
      </c>
      <c r="D48">
        <f>back_pipe_diam</f>
        <v>8</v>
      </c>
      <c r="E48" t="s">
        <v>600</v>
      </c>
      <c r="F48">
        <f t="shared" si="13"/>
        <v>0</v>
      </c>
      <c r="G48">
        <f t="shared" si="13"/>
        <v>0</v>
      </c>
      <c r="H48">
        <f t="shared" si="13"/>
        <v>0</v>
      </c>
      <c r="I48">
        <f t="shared" si="13"/>
        <v>0</v>
      </c>
      <c r="J48">
        <f t="shared" si="13"/>
        <v>0</v>
      </c>
      <c r="K48">
        <f t="shared" si="13"/>
        <v>0</v>
      </c>
      <c r="L48">
        <f t="shared" si="13"/>
        <v>4.8585111E-2</v>
      </c>
      <c r="M48">
        <f t="shared" si="13"/>
        <v>-2.5845256220000001</v>
      </c>
      <c r="N48">
        <f t="shared" si="13"/>
        <v>58.928328317999998</v>
      </c>
      <c r="O48">
        <f t="shared" si="13"/>
        <v>-12.466035675000001</v>
      </c>
      <c r="P48">
        <f t="shared" si="13"/>
        <v>48.1</v>
      </c>
      <c r="Q48">
        <f t="shared" si="13"/>
        <v>0</v>
      </c>
    </row>
    <row r="49" spans="1:17">
      <c r="A49" s="5" t="s">
        <v>2530</v>
      </c>
      <c r="B49" t="s">
        <v>2708</v>
      </c>
      <c r="C49" s="38">
        <f t="shared" si="12"/>
        <v>141.81386805735917</v>
      </c>
      <c r="D49">
        <f>back_pipe_diam</f>
        <v>8</v>
      </c>
      <c r="E49" t="s">
        <v>601</v>
      </c>
      <c r="F49">
        <f t="shared" si="13"/>
        <v>20.769417377</v>
      </c>
      <c r="G49">
        <f t="shared" si="13"/>
        <v>0.92382198999999998</v>
      </c>
      <c r="H49">
        <f t="shared" si="13"/>
        <v>0</v>
      </c>
      <c r="I49">
        <f t="shared" si="13"/>
        <v>0</v>
      </c>
      <c r="J49">
        <f t="shared" si="13"/>
        <v>0</v>
      </c>
      <c r="K49">
        <f t="shared" si="13"/>
        <v>0</v>
      </c>
      <c r="L49">
        <f t="shared" si="13"/>
        <v>0</v>
      </c>
      <c r="M49">
        <f t="shared" si="13"/>
        <v>0</v>
      </c>
      <c r="N49">
        <f t="shared" si="13"/>
        <v>0</v>
      </c>
      <c r="O49">
        <f t="shared" si="13"/>
        <v>0</v>
      </c>
      <c r="P49">
        <f t="shared" si="13"/>
        <v>48.1</v>
      </c>
      <c r="Q49">
        <f t="shared" si="13"/>
        <v>0</v>
      </c>
    </row>
    <row r="50" spans="1:17">
      <c r="A50" s="11" t="s">
        <v>3769</v>
      </c>
    </row>
    <row r="51" spans="1:17">
      <c r="A51" s="5" t="s">
        <v>2260</v>
      </c>
      <c r="B51" t="s">
        <v>1695</v>
      </c>
      <c r="C51" s="38">
        <f t="shared" ref="C51:C55" si="14">IF(D51=0,0,IF(OR(D51&gt;P51,D51&lt;Q51),"contact vendor",F51*D51^G51+H51*LN(D51)+I51+J51*EXP(K51*D51)+L51*D51^3+M51*D51^2+N51*D51+O51))</f>
        <v>141.73754675700002</v>
      </c>
      <c r="D51">
        <f>in_out_pipe_diam</f>
        <v>10</v>
      </c>
      <c r="E51" t="s">
        <v>597</v>
      </c>
      <c r="F51">
        <f t="shared" ref="F51:Q55" si="15">VLOOKUP($E51,eq_table_cl,F$4,FALSE)</f>
        <v>0</v>
      </c>
      <c r="G51">
        <f t="shared" si="15"/>
        <v>0</v>
      </c>
      <c r="H51">
        <f t="shared" si="15"/>
        <v>0</v>
      </c>
      <c r="I51">
        <f t="shared" si="15"/>
        <v>0</v>
      </c>
      <c r="J51">
        <f t="shared" si="15"/>
        <v>0</v>
      </c>
      <c r="K51">
        <f t="shared" si="15"/>
        <v>0</v>
      </c>
      <c r="L51">
        <f t="shared" si="15"/>
        <v>1.3009082E-2</v>
      </c>
      <c r="M51">
        <f t="shared" si="15"/>
        <v>-0.63853567099999997</v>
      </c>
      <c r="N51">
        <f t="shared" si="15"/>
        <v>18.152542467</v>
      </c>
      <c r="O51">
        <f t="shared" si="15"/>
        <v>11.056607186999999</v>
      </c>
      <c r="P51">
        <f t="shared" si="15"/>
        <v>48.1</v>
      </c>
      <c r="Q51">
        <f t="shared" si="15"/>
        <v>4</v>
      </c>
    </row>
    <row r="52" spans="1:17">
      <c r="A52" s="5" t="s">
        <v>2528</v>
      </c>
      <c r="B52" t="s">
        <v>1691</v>
      </c>
      <c r="C52" s="38">
        <f t="shared" si="14"/>
        <v>110.97367943600001</v>
      </c>
      <c r="D52">
        <f>in_out_pipe_diam</f>
        <v>10</v>
      </c>
      <c r="E52" t="s">
        <v>598</v>
      </c>
      <c r="F52">
        <f t="shared" si="15"/>
        <v>0</v>
      </c>
      <c r="G52">
        <f t="shared" si="15"/>
        <v>0</v>
      </c>
      <c r="H52">
        <f t="shared" si="15"/>
        <v>0</v>
      </c>
      <c r="I52">
        <f t="shared" si="15"/>
        <v>0</v>
      </c>
      <c r="J52">
        <f t="shared" si="15"/>
        <v>0</v>
      </c>
      <c r="K52">
        <f t="shared" si="15"/>
        <v>0</v>
      </c>
      <c r="L52">
        <f t="shared" si="15"/>
        <v>6.5072480000000002E-3</v>
      </c>
      <c r="M52">
        <f t="shared" si="15"/>
        <v>0.74408816600000005</v>
      </c>
      <c r="N52">
        <f t="shared" si="15"/>
        <v>2.9106427579999998</v>
      </c>
      <c r="O52">
        <f t="shared" si="15"/>
        <v>0.95118725599999998</v>
      </c>
      <c r="P52">
        <f t="shared" si="15"/>
        <v>18.100000000000001</v>
      </c>
      <c r="Q52">
        <f t="shared" si="15"/>
        <v>0</v>
      </c>
    </row>
    <row r="53" spans="1:17">
      <c r="A53" s="5" t="s">
        <v>2529</v>
      </c>
      <c r="B53" t="s">
        <v>1692</v>
      </c>
      <c r="C53" s="38">
        <f t="shared" si="14"/>
        <v>19.148192264999999</v>
      </c>
      <c r="D53">
        <f>in_out_pipe_diam</f>
        <v>10</v>
      </c>
      <c r="E53" t="s">
        <v>599</v>
      </c>
      <c r="F53">
        <f t="shared" si="15"/>
        <v>0</v>
      </c>
      <c r="G53">
        <f t="shared" si="15"/>
        <v>0</v>
      </c>
      <c r="H53">
        <f t="shared" si="15"/>
        <v>0</v>
      </c>
      <c r="I53">
        <f t="shared" si="15"/>
        <v>0</v>
      </c>
      <c r="J53">
        <f t="shared" si="15"/>
        <v>0</v>
      </c>
      <c r="K53">
        <f t="shared" si="15"/>
        <v>0</v>
      </c>
      <c r="L53">
        <f t="shared" si="15"/>
        <v>0</v>
      </c>
      <c r="M53">
        <f t="shared" si="15"/>
        <v>9.7106987000000006E-2</v>
      </c>
      <c r="N53">
        <f t="shared" si="15"/>
        <v>0.800977414</v>
      </c>
      <c r="O53">
        <f t="shared" si="15"/>
        <v>1.427719425</v>
      </c>
      <c r="P53">
        <f t="shared" si="15"/>
        <v>48.1</v>
      </c>
      <c r="Q53">
        <f t="shared" si="15"/>
        <v>0</v>
      </c>
    </row>
    <row r="54" spans="1:17">
      <c r="A54" s="5" t="s">
        <v>17</v>
      </c>
      <c r="B54" t="s">
        <v>1693</v>
      </c>
      <c r="C54" s="38">
        <f t="shared" si="14"/>
        <v>366.94979630500001</v>
      </c>
      <c r="D54">
        <f>in_out_pipe_diam</f>
        <v>10</v>
      </c>
      <c r="E54" t="s">
        <v>600</v>
      </c>
      <c r="F54">
        <f t="shared" si="15"/>
        <v>0</v>
      </c>
      <c r="G54">
        <f t="shared" si="15"/>
        <v>0</v>
      </c>
      <c r="H54">
        <f t="shared" si="15"/>
        <v>0</v>
      </c>
      <c r="I54">
        <f t="shared" si="15"/>
        <v>0</v>
      </c>
      <c r="J54">
        <f t="shared" si="15"/>
        <v>0</v>
      </c>
      <c r="K54">
        <f t="shared" si="15"/>
        <v>0</v>
      </c>
      <c r="L54">
        <f t="shared" si="15"/>
        <v>4.8585111E-2</v>
      </c>
      <c r="M54">
        <f t="shared" si="15"/>
        <v>-2.5845256220000001</v>
      </c>
      <c r="N54">
        <f t="shared" si="15"/>
        <v>58.928328317999998</v>
      </c>
      <c r="O54">
        <f t="shared" si="15"/>
        <v>-12.466035675000001</v>
      </c>
      <c r="P54">
        <f t="shared" si="15"/>
        <v>48.1</v>
      </c>
      <c r="Q54">
        <f t="shared" si="15"/>
        <v>0</v>
      </c>
    </row>
    <row r="55" spans="1:17">
      <c r="A55" s="5" t="s">
        <v>2530</v>
      </c>
      <c r="B55" t="s">
        <v>1694</v>
      </c>
      <c r="C55" s="38">
        <f t="shared" si="14"/>
        <v>174.27949943716169</v>
      </c>
      <c r="D55">
        <f>in_out_pipe_diam</f>
        <v>10</v>
      </c>
      <c r="E55" t="s">
        <v>601</v>
      </c>
      <c r="F55">
        <f t="shared" si="15"/>
        <v>20.769417377</v>
      </c>
      <c r="G55">
        <f t="shared" si="15"/>
        <v>0.92382198999999998</v>
      </c>
      <c r="H55">
        <f t="shared" si="15"/>
        <v>0</v>
      </c>
      <c r="I55">
        <f t="shared" si="15"/>
        <v>0</v>
      </c>
      <c r="J55">
        <f t="shared" si="15"/>
        <v>0</v>
      </c>
      <c r="K55">
        <f t="shared" si="15"/>
        <v>0</v>
      </c>
      <c r="L55">
        <f t="shared" si="15"/>
        <v>0</v>
      </c>
      <c r="M55">
        <f t="shared" si="15"/>
        <v>0</v>
      </c>
      <c r="N55">
        <f t="shared" si="15"/>
        <v>0</v>
      </c>
      <c r="O55">
        <f t="shared" si="15"/>
        <v>0</v>
      </c>
      <c r="P55">
        <f t="shared" si="15"/>
        <v>48.1</v>
      </c>
      <c r="Q55">
        <f t="shared" si="15"/>
        <v>0</v>
      </c>
    </row>
    <row r="56" spans="1:17">
      <c r="A56" s="83" t="s">
        <v>378</v>
      </c>
    </row>
    <row r="57" spans="1:17">
      <c r="A57" s="23" t="s">
        <v>2528</v>
      </c>
      <c r="B57" t="s">
        <v>379</v>
      </c>
      <c r="C57" s="38">
        <f t="shared" ref="C57:C60" si="16">IF(D57=0,0,IF(OR(D57&gt;P57,D57&lt;Q57),"contact vendor",F57*D57^G57+H57*LN(D57)+I57+J57*EXP(K57*D57)+L57*D57^3+M57*D57^2+N57*D57+O57))</f>
        <v>7.0133117284999997</v>
      </c>
      <c r="D57">
        <f>res_pipe_diam</f>
        <v>1.5</v>
      </c>
      <c r="E57" t="s">
        <v>598</v>
      </c>
      <c r="F57">
        <f t="shared" ref="F57:Q60" si="17">VLOOKUP($E57,eq_table_cl,F$4,FALSE)</f>
        <v>0</v>
      </c>
      <c r="G57">
        <f t="shared" si="17"/>
        <v>0</v>
      </c>
      <c r="H57">
        <f t="shared" si="17"/>
        <v>0</v>
      </c>
      <c r="I57">
        <f t="shared" si="17"/>
        <v>0</v>
      </c>
      <c r="J57">
        <f t="shared" si="17"/>
        <v>0</v>
      </c>
      <c r="K57">
        <f t="shared" si="17"/>
        <v>0</v>
      </c>
      <c r="L57">
        <f t="shared" si="17"/>
        <v>6.5072480000000002E-3</v>
      </c>
      <c r="M57">
        <f t="shared" si="17"/>
        <v>0.74408816600000005</v>
      </c>
      <c r="N57">
        <f t="shared" si="17"/>
        <v>2.9106427579999998</v>
      </c>
      <c r="O57">
        <f t="shared" si="17"/>
        <v>0.95118725599999998</v>
      </c>
      <c r="P57">
        <f t="shared" si="17"/>
        <v>18.100000000000001</v>
      </c>
      <c r="Q57">
        <f t="shared" si="17"/>
        <v>0</v>
      </c>
    </row>
    <row r="58" spans="1:17">
      <c r="A58" s="23" t="s">
        <v>2529</v>
      </c>
      <c r="B58" t="s">
        <v>380</v>
      </c>
      <c r="C58" s="38">
        <f t="shared" si="16"/>
        <v>2.8476762667499997</v>
      </c>
      <c r="D58">
        <f>res_pipe_diam</f>
        <v>1.5</v>
      </c>
      <c r="E58" t="s">
        <v>599</v>
      </c>
      <c r="F58">
        <f t="shared" si="17"/>
        <v>0</v>
      </c>
      <c r="G58">
        <f t="shared" si="17"/>
        <v>0</v>
      </c>
      <c r="H58">
        <f t="shared" si="17"/>
        <v>0</v>
      </c>
      <c r="I58">
        <f t="shared" si="17"/>
        <v>0</v>
      </c>
      <c r="J58">
        <f t="shared" si="17"/>
        <v>0</v>
      </c>
      <c r="K58">
        <f t="shared" si="17"/>
        <v>0</v>
      </c>
      <c r="L58">
        <f t="shared" si="17"/>
        <v>0</v>
      </c>
      <c r="M58">
        <f t="shared" si="17"/>
        <v>9.7106987000000006E-2</v>
      </c>
      <c r="N58">
        <f t="shared" si="17"/>
        <v>0.800977414</v>
      </c>
      <c r="O58">
        <f t="shared" si="17"/>
        <v>1.427719425</v>
      </c>
      <c r="P58">
        <f t="shared" si="17"/>
        <v>48.1</v>
      </c>
      <c r="Q58">
        <f t="shared" si="17"/>
        <v>0</v>
      </c>
    </row>
    <row r="59" spans="1:17">
      <c r="A59" s="23" t="s">
        <v>17</v>
      </c>
      <c r="B59" t="s">
        <v>381</v>
      </c>
      <c r="C59" s="38">
        <f t="shared" si="16"/>
        <v>70.275248902124986</v>
      </c>
      <c r="D59">
        <f>res_pipe_diam</f>
        <v>1.5</v>
      </c>
      <c r="E59" t="s">
        <v>600</v>
      </c>
      <c r="F59">
        <f t="shared" si="17"/>
        <v>0</v>
      </c>
      <c r="G59">
        <f t="shared" si="17"/>
        <v>0</v>
      </c>
      <c r="H59">
        <f t="shared" si="17"/>
        <v>0</v>
      </c>
      <c r="I59">
        <f t="shared" si="17"/>
        <v>0</v>
      </c>
      <c r="J59">
        <f t="shared" si="17"/>
        <v>0</v>
      </c>
      <c r="K59">
        <f t="shared" si="17"/>
        <v>0</v>
      </c>
      <c r="L59">
        <f t="shared" si="17"/>
        <v>4.8585111E-2</v>
      </c>
      <c r="M59">
        <f t="shared" si="17"/>
        <v>-2.5845256220000001</v>
      </c>
      <c r="N59">
        <f t="shared" si="17"/>
        <v>58.928328317999998</v>
      </c>
      <c r="O59">
        <f t="shared" si="17"/>
        <v>-12.466035675000001</v>
      </c>
      <c r="P59">
        <f t="shared" si="17"/>
        <v>48.1</v>
      </c>
      <c r="Q59">
        <f t="shared" si="17"/>
        <v>0</v>
      </c>
    </row>
    <row r="60" spans="1:17">
      <c r="A60" s="23" t="s">
        <v>2530</v>
      </c>
      <c r="B60" t="s">
        <v>382</v>
      </c>
      <c r="C60" s="38">
        <f t="shared" si="16"/>
        <v>30.206561511164892</v>
      </c>
      <c r="D60">
        <f>res_pipe_diam</f>
        <v>1.5</v>
      </c>
      <c r="E60" t="s">
        <v>601</v>
      </c>
      <c r="F60">
        <f t="shared" si="17"/>
        <v>20.769417377</v>
      </c>
      <c r="G60">
        <f t="shared" si="17"/>
        <v>0.92382198999999998</v>
      </c>
      <c r="H60">
        <f t="shared" si="17"/>
        <v>0</v>
      </c>
      <c r="I60">
        <f t="shared" si="17"/>
        <v>0</v>
      </c>
      <c r="J60">
        <f t="shared" si="17"/>
        <v>0</v>
      </c>
      <c r="K60">
        <f t="shared" si="17"/>
        <v>0</v>
      </c>
      <c r="L60">
        <f t="shared" si="17"/>
        <v>0</v>
      </c>
      <c r="M60">
        <f t="shared" si="17"/>
        <v>0</v>
      </c>
      <c r="N60">
        <f t="shared" si="17"/>
        <v>0</v>
      </c>
      <c r="O60">
        <f t="shared" si="17"/>
        <v>0</v>
      </c>
      <c r="P60">
        <f t="shared" si="17"/>
        <v>48.1</v>
      </c>
      <c r="Q60">
        <f t="shared" si="17"/>
        <v>0</v>
      </c>
    </row>
    <row r="61" spans="1:17">
      <c r="A61" s="669" t="s">
        <v>3692</v>
      </c>
      <c r="B61" s="5"/>
      <c r="C61" s="472"/>
    </row>
    <row r="62" spans="1:17">
      <c r="A62" s="5" t="s">
        <v>2528</v>
      </c>
      <c r="B62" s="5" t="s">
        <v>3693</v>
      </c>
      <c r="C62" s="38">
        <f t="shared" ref="C62:C63" si="18">IF(D62=0,0,IF(OR(D62&gt;P62,D62&lt;Q62),"contact vendor",F62*D62^G62+H62*LN(D62)+I62+J62*EXP(K62*D62)+L62*D62^3+M62*D62^2+N62*D62+O62))</f>
        <v>0</v>
      </c>
      <c r="D62">
        <f>coag_pipe_diam</f>
        <v>0</v>
      </c>
      <c r="E62" t="s">
        <v>598</v>
      </c>
      <c r="F62">
        <f t="shared" ref="F62:Q63" si="19">VLOOKUP($E62,eq_table_cl,F$4,FALSE)</f>
        <v>0</v>
      </c>
      <c r="G62">
        <f t="shared" si="19"/>
        <v>0</v>
      </c>
      <c r="H62">
        <f t="shared" si="19"/>
        <v>0</v>
      </c>
      <c r="I62">
        <f t="shared" si="19"/>
        <v>0</v>
      </c>
      <c r="J62">
        <f t="shared" si="19"/>
        <v>0</v>
      </c>
      <c r="K62">
        <f t="shared" si="19"/>
        <v>0</v>
      </c>
      <c r="L62">
        <f t="shared" si="19"/>
        <v>6.5072480000000002E-3</v>
      </c>
      <c r="M62">
        <f t="shared" si="19"/>
        <v>0.74408816600000005</v>
      </c>
      <c r="N62">
        <f t="shared" si="19"/>
        <v>2.9106427579999998</v>
      </c>
      <c r="O62">
        <f t="shared" si="19"/>
        <v>0.95118725599999998</v>
      </c>
      <c r="P62">
        <f t="shared" si="19"/>
        <v>18.100000000000001</v>
      </c>
      <c r="Q62">
        <f t="shared" si="19"/>
        <v>0</v>
      </c>
    </row>
    <row r="63" spans="1:17">
      <c r="A63" s="5" t="s">
        <v>2529</v>
      </c>
      <c r="B63" s="5" t="s">
        <v>3694</v>
      </c>
      <c r="C63" s="38">
        <f t="shared" si="18"/>
        <v>0</v>
      </c>
      <c r="D63">
        <f>coag_pipe_diam</f>
        <v>0</v>
      </c>
      <c r="E63" t="s">
        <v>599</v>
      </c>
      <c r="F63">
        <f t="shared" si="19"/>
        <v>0</v>
      </c>
      <c r="G63">
        <f t="shared" si="19"/>
        <v>0</v>
      </c>
      <c r="H63">
        <f t="shared" si="19"/>
        <v>0</v>
      </c>
      <c r="I63">
        <f t="shared" si="19"/>
        <v>0</v>
      </c>
      <c r="J63">
        <f t="shared" si="19"/>
        <v>0</v>
      </c>
      <c r="K63">
        <f t="shared" si="19"/>
        <v>0</v>
      </c>
      <c r="L63">
        <f t="shared" si="19"/>
        <v>0</v>
      </c>
      <c r="M63">
        <f t="shared" si="19"/>
        <v>9.7106987000000006E-2</v>
      </c>
      <c r="N63">
        <f t="shared" si="19"/>
        <v>0.800977414</v>
      </c>
      <c r="O63">
        <f t="shared" si="19"/>
        <v>1.427719425</v>
      </c>
      <c r="P63">
        <f t="shared" si="19"/>
        <v>48.1</v>
      </c>
      <c r="Q63">
        <f t="shared" si="19"/>
        <v>0</v>
      </c>
    </row>
    <row r="64" spans="1:17">
      <c r="A64" s="11" t="s">
        <v>2299</v>
      </c>
      <c r="B64" s="5"/>
      <c r="C64" s="472"/>
    </row>
    <row r="65" spans="1:17">
      <c r="A65" s="5" t="s">
        <v>2528</v>
      </c>
      <c r="B65" s="5" t="s">
        <v>2300</v>
      </c>
      <c r="C65" s="38">
        <f t="shared" ref="C65:C68" si="20">IF(D65=0,0,IF(OR(D65&gt;P65,D65&lt;Q65),"contact vendor",F65*D65^G65+H65*LN(D65)+I65+J65*EXP(K65*D65)+L65*D65^3+M65*D65^2+N65*D65+O65))</f>
        <v>0</v>
      </c>
      <c r="D65">
        <f>polymer_pipe_diam</f>
        <v>0</v>
      </c>
      <c r="E65" t="s">
        <v>598</v>
      </c>
      <c r="F65">
        <f t="shared" ref="F65:Q68" si="21">VLOOKUP($E65,eq_table_cl,F$4,FALSE)</f>
        <v>0</v>
      </c>
      <c r="G65">
        <f t="shared" si="21"/>
        <v>0</v>
      </c>
      <c r="H65">
        <f t="shared" si="21"/>
        <v>0</v>
      </c>
      <c r="I65">
        <f t="shared" si="21"/>
        <v>0</v>
      </c>
      <c r="J65">
        <f t="shared" si="21"/>
        <v>0</v>
      </c>
      <c r="K65">
        <f t="shared" si="21"/>
        <v>0</v>
      </c>
      <c r="L65">
        <f t="shared" si="21"/>
        <v>6.5072480000000002E-3</v>
      </c>
      <c r="M65">
        <f t="shared" si="21"/>
        <v>0.74408816600000005</v>
      </c>
      <c r="N65">
        <f t="shared" si="21"/>
        <v>2.9106427579999998</v>
      </c>
      <c r="O65">
        <f t="shared" si="21"/>
        <v>0.95118725599999998</v>
      </c>
      <c r="P65">
        <f t="shared" si="21"/>
        <v>18.100000000000001</v>
      </c>
      <c r="Q65">
        <f t="shared" si="21"/>
        <v>0</v>
      </c>
    </row>
    <row r="66" spans="1:17">
      <c r="A66" s="5" t="s">
        <v>2529</v>
      </c>
      <c r="B66" s="5" t="s">
        <v>2301</v>
      </c>
      <c r="C66" s="38">
        <f t="shared" si="20"/>
        <v>0</v>
      </c>
      <c r="D66">
        <f>polymer_pipe_diam</f>
        <v>0</v>
      </c>
      <c r="E66" t="s">
        <v>599</v>
      </c>
      <c r="F66">
        <f t="shared" si="21"/>
        <v>0</v>
      </c>
      <c r="G66">
        <f t="shared" si="21"/>
        <v>0</v>
      </c>
      <c r="H66">
        <f t="shared" si="21"/>
        <v>0</v>
      </c>
      <c r="I66">
        <f t="shared" si="21"/>
        <v>0</v>
      </c>
      <c r="J66">
        <f t="shared" si="21"/>
        <v>0</v>
      </c>
      <c r="K66">
        <f t="shared" si="21"/>
        <v>0</v>
      </c>
      <c r="L66">
        <f t="shared" si="21"/>
        <v>0</v>
      </c>
      <c r="M66">
        <f t="shared" si="21"/>
        <v>9.7106987000000006E-2</v>
      </c>
      <c r="N66">
        <f t="shared" si="21"/>
        <v>0.800977414</v>
      </c>
      <c r="O66">
        <f t="shared" si="21"/>
        <v>1.427719425</v>
      </c>
      <c r="P66">
        <f t="shared" si="21"/>
        <v>48.1</v>
      </c>
      <c r="Q66">
        <f t="shared" si="21"/>
        <v>0</v>
      </c>
    </row>
    <row r="67" spans="1:17">
      <c r="A67" s="5" t="s">
        <v>17</v>
      </c>
      <c r="B67" s="5" t="s">
        <v>2302</v>
      </c>
      <c r="C67" s="38">
        <f t="shared" si="20"/>
        <v>0</v>
      </c>
      <c r="D67">
        <f>polymer_pipe_diam</f>
        <v>0</v>
      </c>
      <c r="E67" t="s">
        <v>600</v>
      </c>
      <c r="F67">
        <f t="shared" si="21"/>
        <v>0</v>
      </c>
      <c r="G67">
        <f t="shared" si="21"/>
        <v>0</v>
      </c>
      <c r="H67">
        <f t="shared" si="21"/>
        <v>0</v>
      </c>
      <c r="I67">
        <f t="shared" si="21"/>
        <v>0</v>
      </c>
      <c r="J67">
        <f t="shared" si="21"/>
        <v>0</v>
      </c>
      <c r="K67">
        <f t="shared" si="21"/>
        <v>0</v>
      </c>
      <c r="L67">
        <f t="shared" si="21"/>
        <v>4.8585111E-2</v>
      </c>
      <c r="M67">
        <f t="shared" si="21"/>
        <v>-2.5845256220000001</v>
      </c>
      <c r="N67">
        <f t="shared" si="21"/>
        <v>58.928328317999998</v>
      </c>
      <c r="O67">
        <f t="shared" si="21"/>
        <v>-12.466035675000001</v>
      </c>
      <c r="P67">
        <f t="shared" si="21"/>
        <v>48.1</v>
      </c>
      <c r="Q67">
        <f t="shared" si="21"/>
        <v>0</v>
      </c>
    </row>
    <row r="68" spans="1:17">
      <c r="A68" s="5" t="s">
        <v>2530</v>
      </c>
      <c r="B68" s="5" t="s">
        <v>2303</v>
      </c>
      <c r="C68" s="38">
        <f t="shared" si="20"/>
        <v>0</v>
      </c>
      <c r="D68">
        <f>polymer_pipe_diam</f>
        <v>0</v>
      </c>
      <c r="E68" t="s">
        <v>601</v>
      </c>
      <c r="F68">
        <f t="shared" si="21"/>
        <v>20.769417377</v>
      </c>
      <c r="G68">
        <f t="shared" si="21"/>
        <v>0.92382198999999998</v>
      </c>
      <c r="H68">
        <f t="shared" si="21"/>
        <v>0</v>
      </c>
      <c r="I68">
        <f t="shared" si="21"/>
        <v>0</v>
      </c>
      <c r="J68">
        <f t="shared" si="21"/>
        <v>0</v>
      </c>
      <c r="K68">
        <f t="shared" si="21"/>
        <v>0</v>
      </c>
      <c r="L68">
        <f t="shared" si="21"/>
        <v>0</v>
      </c>
      <c r="M68">
        <f t="shared" si="21"/>
        <v>0</v>
      </c>
      <c r="N68">
        <f t="shared" si="21"/>
        <v>0</v>
      </c>
      <c r="O68">
        <f t="shared" si="21"/>
        <v>0</v>
      </c>
      <c r="P68">
        <f t="shared" si="21"/>
        <v>48.1</v>
      </c>
      <c r="Q68">
        <f t="shared" si="21"/>
        <v>0</v>
      </c>
    </row>
    <row r="69" spans="1:17">
      <c r="A69" s="39" t="s">
        <v>207</v>
      </c>
    </row>
    <row r="70" spans="1:17">
      <c r="A70" s="31" t="s">
        <v>2528</v>
      </c>
      <c r="B70" t="s">
        <v>743</v>
      </c>
      <c r="C70" s="38">
        <f t="shared" ref="C70:C73" si="22">IF(D70=0,0,IF(OR(D70&gt;P70,D70&lt;Q70),"contact vendor",F70*D70^G70+H70*LN(D70)+I70+J70*EXP(K70*D70)+L70*D70^3+M70*D70^2+N70*D70+O70))</f>
        <v>0</v>
      </c>
      <c r="D70">
        <f>bp_pipe_diam</f>
        <v>0</v>
      </c>
      <c r="E70" t="s">
        <v>598</v>
      </c>
      <c r="F70">
        <f t="shared" ref="F70:Q73" si="23">VLOOKUP($E70,eq_table_cl,F$4,FALSE)</f>
        <v>0</v>
      </c>
      <c r="G70">
        <f t="shared" si="23"/>
        <v>0</v>
      </c>
      <c r="H70">
        <f t="shared" si="23"/>
        <v>0</v>
      </c>
      <c r="I70">
        <f t="shared" si="23"/>
        <v>0</v>
      </c>
      <c r="J70">
        <f t="shared" si="23"/>
        <v>0</v>
      </c>
      <c r="K70">
        <f t="shared" si="23"/>
        <v>0</v>
      </c>
      <c r="L70">
        <f t="shared" si="23"/>
        <v>6.5072480000000002E-3</v>
      </c>
      <c r="M70">
        <f t="shared" si="23"/>
        <v>0.74408816600000005</v>
      </c>
      <c r="N70">
        <f t="shared" si="23"/>
        <v>2.9106427579999998</v>
      </c>
      <c r="O70">
        <f t="shared" si="23"/>
        <v>0.95118725599999998</v>
      </c>
      <c r="P70">
        <f t="shared" si="23"/>
        <v>18.100000000000001</v>
      </c>
      <c r="Q70">
        <f t="shared" si="23"/>
        <v>0</v>
      </c>
    </row>
    <row r="71" spans="1:17">
      <c r="A71" s="31" t="s">
        <v>2529</v>
      </c>
      <c r="B71" t="s">
        <v>744</v>
      </c>
      <c r="C71" s="38">
        <f t="shared" si="22"/>
        <v>0</v>
      </c>
      <c r="D71">
        <f>bp_pipe_diam</f>
        <v>0</v>
      </c>
      <c r="E71" t="s">
        <v>599</v>
      </c>
      <c r="F71">
        <f t="shared" si="23"/>
        <v>0</v>
      </c>
      <c r="G71">
        <f t="shared" si="23"/>
        <v>0</v>
      </c>
      <c r="H71">
        <f t="shared" si="23"/>
        <v>0</v>
      </c>
      <c r="I71">
        <f t="shared" si="23"/>
        <v>0</v>
      </c>
      <c r="J71">
        <f t="shared" si="23"/>
        <v>0</v>
      </c>
      <c r="K71">
        <f t="shared" si="23"/>
        <v>0</v>
      </c>
      <c r="L71">
        <f t="shared" si="23"/>
        <v>0</v>
      </c>
      <c r="M71">
        <f t="shared" si="23"/>
        <v>9.7106987000000006E-2</v>
      </c>
      <c r="N71">
        <f t="shared" si="23"/>
        <v>0.800977414</v>
      </c>
      <c r="O71">
        <f t="shared" si="23"/>
        <v>1.427719425</v>
      </c>
      <c r="P71">
        <f t="shared" si="23"/>
        <v>48.1</v>
      </c>
      <c r="Q71">
        <f t="shared" si="23"/>
        <v>0</v>
      </c>
    </row>
    <row r="72" spans="1:17">
      <c r="A72" s="31" t="s">
        <v>17</v>
      </c>
      <c r="B72" t="s">
        <v>745</v>
      </c>
      <c r="C72" s="38">
        <f t="shared" si="22"/>
        <v>0</v>
      </c>
      <c r="D72">
        <f>bp_pipe_diam</f>
        <v>0</v>
      </c>
      <c r="E72" t="s">
        <v>600</v>
      </c>
      <c r="F72">
        <f t="shared" si="23"/>
        <v>0</v>
      </c>
      <c r="G72">
        <f t="shared" si="23"/>
        <v>0</v>
      </c>
      <c r="H72">
        <f t="shared" si="23"/>
        <v>0</v>
      </c>
      <c r="I72">
        <f t="shared" si="23"/>
        <v>0</v>
      </c>
      <c r="J72">
        <f t="shared" si="23"/>
        <v>0</v>
      </c>
      <c r="K72">
        <f t="shared" si="23"/>
        <v>0</v>
      </c>
      <c r="L72">
        <f t="shared" si="23"/>
        <v>4.8585111E-2</v>
      </c>
      <c r="M72">
        <f t="shared" si="23"/>
        <v>-2.5845256220000001</v>
      </c>
      <c r="N72">
        <f t="shared" si="23"/>
        <v>58.928328317999998</v>
      </c>
      <c r="O72">
        <f t="shared" si="23"/>
        <v>-12.466035675000001</v>
      </c>
      <c r="P72">
        <f t="shared" si="23"/>
        <v>48.1</v>
      </c>
      <c r="Q72">
        <f t="shared" si="23"/>
        <v>0</v>
      </c>
    </row>
    <row r="73" spans="1:17">
      <c r="A73" s="31" t="s">
        <v>2530</v>
      </c>
      <c r="B73" t="s">
        <v>746</v>
      </c>
      <c r="C73" s="38">
        <f t="shared" si="22"/>
        <v>0</v>
      </c>
      <c r="D73">
        <f>bp_pipe_diam</f>
        <v>0</v>
      </c>
      <c r="E73" t="s">
        <v>601</v>
      </c>
      <c r="F73">
        <f t="shared" si="23"/>
        <v>20.769417377</v>
      </c>
      <c r="G73">
        <f t="shared" si="23"/>
        <v>0.92382198999999998</v>
      </c>
      <c r="H73">
        <f t="shared" si="23"/>
        <v>0</v>
      </c>
      <c r="I73">
        <f t="shared" si="23"/>
        <v>0</v>
      </c>
      <c r="J73">
        <f t="shared" si="23"/>
        <v>0</v>
      </c>
      <c r="K73">
        <f t="shared" si="23"/>
        <v>0</v>
      </c>
      <c r="L73">
        <f t="shared" si="23"/>
        <v>0</v>
      </c>
      <c r="M73">
        <f t="shared" si="23"/>
        <v>0</v>
      </c>
      <c r="N73">
        <f t="shared" si="23"/>
        <v>0</v>
      </c>
      <c r="O73">
        <f t="shared" si="23"/>
        <v>0</v>
      </c>
      <c r="P73">
        <f t="shared" si="23"/>
        <v>48.1</v>
      </c>
      <c r="Q73">
        <f t="shared" si="23"/>
        <v>0</v>
      </c>
    </row>
    <row r="74" spans="1:17">
      <c r="A74" s="14" t="s">
        <v>2456</v>
      </c>
    </row>
    <row r="75" spans="1:17">
      <c r="A75" s="11" t="s">
        <v>1572</v>
      </c>
    </row>
    <row r="76" spans="1:17">
      <c r="A76" s="5" t="s">
        <v>1758</v>
      </c>
      <c r="B76" t="s">
        <v>2711</v>
      </c>
      <c r="C76" s="38">
        <f t="shared" ref="C76:C91" si="24">IF(D76=0,0,IF(OR(D76&gt;P76,D76&lt;Q76),"contact vendor",F76*D76^G76+H76*LN(D76)+I76+J76*EXP(K76*D76)+L76*D76^3+M76*D76^2+N76*D76+O76))</f>
        <v>2568.7492689327851</v>
      </c>
      <c r="D76">
        <f>tank_valve_size</f>
        <v>8</v>
      </c>
      <c r="E76" t="str">
        <f>IF(D76&gt;12,"pp_mov_eq_large","pp_mov_eq_small")</f>
        <v>pp_mov_eq_small</v>
      </c>
      <c r="F76">
        <f t="shared" ref="F76:Q85" si="25">VLOOKUP($E76,eq_table_cl,F$4,FALSE)</f>
        <v>0</v>
      </c>
      <c r="G76">
        <f t="shared" si="25"/>
        <v>0</v>
      </c>
      <c r="H76">
        <f t="shared" si="25"/>
        <v>0</v>
      </c>
      <c r="I76">
        <f t="shared" si="25"/>
        <v>0</v>
      </c>
      <c r="J76">
        <f t="shared" si="25"/>
        <v>599.000620282</v>
      </c>
      <c r="K76">
        <f t="shared" si="25"/>
        <v>0.18198897</v>
      </c>
      <c r="L76">
        <f t="shared" si="25"/>
        <v>0</v>
      </c>
      <c r="M76">
        <f t="shared" si="25"/>
        <v>0</v>
      </c>
      <c r="N76">
        <f t="shared" si="25"/>
        <v>0</v>
      </c>
      <c r="O76">
        <f t="shared" si="25"/>
        <v>0</v>
      </c>
      <c r="P76">
        <f t="shared" si="25"/>
        <v>12</v>
      </c>
      <c r="Q76">
        <f t="shared" si="25"/>
        <v>0</v>
      </c>
    </row>
    <row r="77" spans="1:17">
      <c r="A77" s="5" t="s">
        <v>713</v>
      </c>
      <c r="B77" t="s">
        <v>2712</v>
      </c>
      <c r="C77" s="38">
        <f t="shared" si="24"/>
        <v>4698.0794499149997</v>
      </c>
      <c r="D77">
        <f>tank_valve_size</f>
        <v>8</v>
      </c>
      <c r="E77" t="s">
        <v>602</v>
      </c>
      <c r="F77">
        <f t="shared" si="25"/>
        <v>0</v>
      </c>
      <c r="G77">
        <f t="shared" si="25"/>
        <v>0</v>
      </c>
      <c r="H77">
        <f t="shared" si="25"/>
        <v>0</v>
      </c>
      <c r="I77">
        <f t="shared" si="25"/>
        <v>0</v>
      </c>
      <c r="J77">
        <f t="shared" si="25"/>
        <v>0</v>
      </c>
      <c r="K77">
        <f t="shared" si="25"/>
        <v>0</v>
      </c>
      <c r="L77">
        <f t="shared" si="25"/>
        <v>1.4813451259999999</v>
      </c>
      <c r="M77">
        <f t="shared" si="25"/>
        <v>44.575825872999999</v>
      </c>
      <c r="N77">
        <f t="shared" si="25"/>
        <v>-42.850924452000001</v>
      </c>
      <c r="O77">
        <f t="shared" si="25"/>
        <v>1429.5852851469999</v>
      </c>
      <c r="P77">
        <f t="shared" si="25"/>
        <v>48.1</v>
      </c>
      <c r="Q77">
        <f t="shared" si="25"/>
        <v>0</v>
      </c>
    </row>
    <row r="78" spans="1:17">
      <c r="A78" s="5" t="s">
        <v>1605</v>
      </c>
      <c r="B78" t="s">
        <v>603</v>
      </c>
      <c r="C78" s="38">
        <f t="shared" si="24"/>
        <v>9271.8480984270009</v>
      </c>
      <c r="D78">
        <f>tank_valve_size</f>
        <v>8</v>
      </c>
      <c r="E78" t="s">
        <v>604</v>
      </c>
      <c r="F78">
        <f t="shared" si="25"/>
        <v>0</v>
      </c>
      <c r="G78">
        <f t="shared" si="25"/>
        <v>0</v>
      </c>
      <c r="H78">
        <f t="shared" si="25"/>
        <v>0</v>
      </c>
      <c r="I78">
        <f t="shared" si="25"/>
        <v>0</v>
      </c>
      <c r="J78">
        <f t="shared" si="25"/>
        <v>0</v>
      </c>
      <c r="K78">
        <f t="shared" si="25"/>
        <v>0</v>
      </c>
      <c r="L78">
        <f t="shared" si="25"/>
        <v>0</v>
      </c>
      <c r="M78">
        <f t="shared" si="25"/>
        <v>0</v>
      </c>
      <c r="N78">
        <f t="shared" si="25"/>
        <v>1304.6120832720001</v>
      </c>
      <c r="O78">
        <f t="shared" si="25"/>
        <v>-1165.0485677490001</v>
      </c>
      <c r="P78">
        <f t="shared" si="25"/>
        <v>48.1</v>
      </c>
      <c r="Q78">
        <f t="shared" si="25"/>
        <v>1</v>
      </c>
    </row>
    <row r="79" spans="1:17">
      <c r="A79" s="5" t="s">
        <v>1759</v>
      </c>
      <c r="B79" t="s">
        <v>2713</v>
      </c>
      <c r="C79" s="38">
        <f t="shared" si="24"/>
        <v>2568.7492689327851</v>
      </c>
      <c r="D79">
        <f>back_valve_size</f>
        <v>8</v>
      </c>
      <c r="E79" t="str">
        <f>IF(D79&gt;12,"pp_mov_eq_large","pp_mov_eq_small")</f>
        <v>pp_mov_eq_small</v>
      </c>
      <c r="F79">
        <f t="shared" si="25"/>
        <v>0</v>
      </c>
      <c r="G79">
        <f t="shared" si="25"/>
        <v>0</v>
      </c>
      <c r="H79">
        <f t="shared" si="25"/>
        <v>0</v>
      </c>
      <c r="I79">
        <f t="shared" si="25"/>
        <v>0</v>
      </c>
      <c r="J79">
        <f t="shared" si="25"/>
        <v>599.000620282</v>
      </c>
      <c r="K79">
        <f t="shared" si="25"/>
        <v>0.18198897</v>
      </c>
      <c r="L79">
        <f t="shared" si="25"/>
        <v>0</v>
      </c>
      <c r="M79">
        <f t="shared" si="25"/>
        <v>0</v>
      </c>
      <c r="N79">
        <f t="shared" si="25"/>
        <v>0</v>
      </c>
      <c r="O79">
        <f t="shared" si="25"/>
        <v>0</v>
      </c>
      <c r="P79">
        <f t="shared" si="25"/>
        <v>12</v>
      </c>
      <c r="Q79">
        <f t="shared" si="25"/>
        <v>0</v>
      </c>
    </row>
    <row r="80" spans="1:17">
      <c r="A80" s="5" t="s">
        <v>714</v>
      </c>
      <c r="B80" t="s">
        <v>2714</v>
      </c>
      <c r="C80" s="38">
        <f t="shared" si="24"/>
        <v>4698.0794499149997</v>
      </c>
      <c r="D80">
        <f>back_valve_size</f>
        <v>8</v>
      </c>
      <c r="E80" t="s">
        <v>602</v>
      </c>
      <c r="F80">
        <f t="shared" si="25"/>
        <v>0</v>
      </c>
      <c r="G80">
        <f t="shared" si="25"/>
        <v>0</v>
      </c>
      <c r="H80">
        <f t="shared" si="25"/>
        <v>0</v>
      </c>
      <c r="I80">
        <f t="shared" si="25"/>
        <v>0</v>
      </c>
      <c r="J80">
        <f t="shared" si="25"/>
        <v>0</v>
      </c>
      <c r="K80">
        <f t="shared" si="25"/>
        <v>0</v>
      </c>
      <c r="L80">
        <f t="shared" si="25"/>
        <v>1.4813451259999999</v>
      </c>
      <c r="M80">
        <f t="shared" si="25"/>
        <v>44.575825872999999</v>
      </c>
      <c r="N80">
        <f t="shared" si="25"/>
        <v>-42.850924452000001</v>
      </c>
      <c r="O80">
        <f t="shared" si="25"/>
        <v>1429.5852851469999</v>
      </c>
      <c r="P80">
        <f t="shared" si="25"/>
        <v>48.1</v>
      </c>
      <c r="Q80">
        <f t="shared" si="25"/>
        <v>0</v>
      </c>
    </row>
    <row r="81" spans="1:17">
      <c r="A81" s="31" t="s">
        <v>1073</v>
      </c>
      <c r="B81" t="s">
        <v>659</v>
      </c>
      <c r="C81" s="38">
        <f t="shared" si="24"/>
        <v>9271.8480984270009</v>
      </c>
      <c r="D81">
        <f>back_valve_size</f>
        <v>8</v>
      </c>
      <c r="E81" t="s">
        <v>604</v>
      </c>
      <c r="F81">
        <f t="shared" si="25"/>
        <v>0</v>
      </c>
      <c r="G81">
        <f t="shared" si="25"/>
        <v>0</v>
      </c>
      <c r="H81">
        <f t="shared" si="25"/>
        <v>0</v>
      </c>
      <c r="I81">
        <f t="shared" si="25"/>
        <v>0</v>
      </c>
      <c r="J81">
        <f t="shared" si="25"/>
        <v>0</v>
      </c>
      <c r="K81">
        <f t="shared" si="25"/>
        <v>0</v>
      </c>
      <c r="L81">
        <f t="shared" si="25"/>
        <v>0</v>
      </c>
      <c r="M81">
        <f t="shared" si="25"/>
        <v>0</v>
      </c>
      <c r="N81">
        <f t="shared" si="25"/>
        <v>1304.6120832720001</v>
      </c>
      <c r="O81">
        <f t="shared" si="25"/>
        <v>-1165.0485677490001</v>
      </c>
      <c r="P81">
        <f t="shared" si="25"/>
        <v>48.1</v>
      </c>
      <c r="Q81">
        <f t="shared" si="25"/>
        <v>1</v>
      </c>
    </row>
    <row r="82" spans="1:17">
      <c r="A82" s="23" t="s">
        <v>383</v>
      </c>
      <c r="B82" t="s">
        <v>384</v>
      </c>
      <c r="C82" s="38">
        <f t="shared" si="24"/>
        <v>787.01404038367423</v>
      </c>
      <c r="D82">
        <f>res_valve_size</f>
        <v>1.5</v>
      </c>
      <c r="E82" t="str">
        <f>IF(D82&gt;12,"pp_mov_eq_large","pp_mov_eq_small")</f>
        <v>pp_mov_eq_small</v>
      </c>
      <c r="F82">
        <f t="shared" si="25"/>
        <v>0</v>
      </c>
      <c r="G82">
        <f t="shared" si="25"/>
        <v>0</v>
      </c>
      <c r="H82">
        <f t="shared" si="25"/>
        <v>0</v>
      </c>
      <c r="I82">
        <f t="shared" si="25"/>
        <v>0</v>
      </c>
      <c r="J82">
        <f t="shared" si="25"/>
        <v>599.000620282</v>
      </c>
      <c r="K82">
        <f t="shared" si="25"/>
        <v>0.18198897</v>
      </c>
      <c r="L82">
        <f t="shared" si="25"/>
        <v>0</v>
      </c>
      <c r="M82">
        <f t="shared" si="25"/>
        <v>0</v>
      </c>
      <c r="N82">
        <f t="shared" si="25"/>
        <v>0</v>
      </c>
      <c r="O82">
        <f t="shared" si="25"/>
        <v>0</v>
      </c>
      <c r="P82">
        <f t="shared" si="25"/>
        <v>12</v>
      </c>
      <c r="Q82">
        <f t="shared" si="25"/>
        <v>0</v>
      </c>
    </row>
    <row r="83" spans="1:17">
      <c r="A83" s="23" t="s">
        <v>385</v>
      </c>
      <c r="B83" t="s">
        <v>386</v>
      </c>
      <c r="C83" s="38">
        <f t="shared" si="24"/>
        <v>1470.6040464835</v>
      </c>
      <c r="D83">
        <f>res_valve_size</f>
        <v>1.5</v>
      </c>
      <c r="E83" t="s">
        <v>602</v>
      </c>
      <c r="F83">
        <f t="shared" si="25"/>
        <v>0</v>
      </c>
      <c r="G83">
        <f t="shared" si="25"/>
        <v>0</v>
      </c>
      <c r="H83">
        <f t="shared" si="25"/>
        <v>0</v>
      </c>
      <c r="I83">
        <f t="shared" si="25"/>
        <v>0</v>
      </c>
      <c r="J83">
        <f t="shared" si="25"/>
        <v>0</v>
      </c>
      <c r="K83">
        <f t="shared" si="25"/>
        <v>0</v>
      </c>
      <c r="L83">
        <f t="shared" si="25"/>
        <v>1.4813451259999999</v>
      </c>
      <c r="M83">
        <f t="shared" si="25"/>
        <v>44.575825872999999</v>
      </c>
      <c r="N83">
        <f t="shared" si="25"/>
        <v>-42.850924452000001</v>
      </c>
      <c r="O83">
        <f t="shared" si="25"/>
        <v>1429.5852851469999</v>
      </c>
      <c r="P83">
        <f t="shared" si="25"/>
        <v>48.1</v>
      </c>
      <c r="Q83">
        <f t="shared" si="25"/>
        <v>0</v>
      </c>
    </row>
    <row r="84" spans="1:17">
      <c r="A84" s="23" t="s">
        <v>660</v>
      </c>
      <c r="B84" t="s">
        <v>661</v>
      </c>
      <c r="C84" s="38">
        <f t="shared" si="24"/>
        <v>791.86955715900012</v>
      </c>
      <c r="D84">
        <f>res_valve_size</f>
        <v>1.5</v>
      </c>
      <c r="E84" t="s">
        <v>604</v>
      </c>
      <c r="F84">
        <f t="shared" si="25"/>
        <v>0</v>
      </c>
      <c r="G84">
        <f t="shared" si="25"/>
        <v>0</v>
      </c>
      <c r="H84">
        <f t="shared" si="25"/>
        <v>0</v>
      </c>
      <c r="I84">
        <f t="shared" si="25"/>
        <v>0</v>
      </c>
      <c r="J84">
        <f t="shared" si="25"/>
        <v>0</v>
      </c>
      <c r="K84">
        <f t="shared" si="25"/>
        <v>0</v>
      </c>
      <c r="L84">
        <f t="shared" si="25"/>
        <v>0</v>
      </c>
      <c r="M84">
        <f t="shared" si="25"/>
        <v>0</v>
      </c>
      <c r="N84">
        <f t="shared" si="25"/>
        <v>1304.6120832720001</v>
      </c>
      <c r="O84">
        <f t="shared" si="25"/>
        <v>-1165.0485677490001</v>
      </c>
      <c r="P84">
        <f t="shared" si="25"/>
        <v>48.1</v>
      </c>
      <c r="Q84">
        <f t="shared" si="25"/>
        <v>1</v>
      </c>
    </row>
    <row r="85" spans="1:17">
      <c r="A85" s="414" t="s">
        <v>3695</v>
      </c>
      <c r="B85" s="414" t="s">
        <v>3696</v>
      </c>
      <c r="C85" s="38">
        <f t="shared" ref="C85" si="26">IF(D85=0,0,IF(OR(D85&gt;P85,D85&lt;Q85),"contact vendor",F85*D85^G85+H85*LN(D85)+I85+J85*EXP(K85*D85)+L85*D85^3+M85*D85^2+N85*D85+O85))</f>
        <v>0</v>
      </c>
      <c r="D85">
        <f>coag_valve_size</f>
        <v>0</v>
      </c>
      <c r="E85" t="str">
        <f>IF(D85&gt;12,"pp_mov_eq_large","pp_mov_eq_small")</f>
        <v>pp_mov_eq_small</v>
      </c>
      <c r="F85">
        <f t="shared" si="25"/>
        <v>0</v>
      </c>
      <c r="G85">
        <f t="shared" si="25"/>
        <v>0</v>
      </c>
      <c r="H85">
        <f t="shared" si="25"/>
        <v>0</v>
      </c>
      <c r="I85">
        <f t="shared" si="25"/>
        <v>0</v>
      </c>
      <c r="J85">
        <f t="shared" si="25"/>
        <v>599.000620282</v>
      </c>
      <c r="K85">
        <f t="shared" si="25"/>
        <v>0.18198897</v>
      </c>
      <c r="L85">
        <f t="shared" si="25"/>
        <v>0</v>
      </c>
      <c r="M85">
        <f t="shared" si="25"/>
        <v>0</v>
      </c>
      <c r="N85">
        <f t="shared" si="25"/>
        <v>0</v>
      </c>
      <c r="O85">
        <f t="shared" si="25"/>
        <v>0</v>
      </c>
      <c r="P85">
        <f t="shared" si="25"/>
        <v>12</v>
      </c>
      <c r="Q85">
        <f t="shared" si="25"/>
        <v>0</v>
      </c>
    </row>
    <row r="86" spans="1:17">
      <c r="A86" s="5" t="s">
        <v>2304</v>
      </c>
      <c r="B86" s="5" t="s">
        <v>2305</v>
      </c>
      <c r="C86" s="38">
        <f t="shared" si="24"/>
        <v>0</v>
      </c>
      <c r="D86">
        <f>polymer_valve_size</f>
        <v>0</v>
      </c>
      <c r="E86" t="str">
        <f>IF(D86&gt;12,"pp_mov_eq_large","pp_mov_eq_small")</f>
        <v>pp_mov_eq_small</v>
      </c>
      <c r="F86">
        <f t="shared" ref="F86:Q91" si="27">VLOOKUP($E86,eq_table_cl,F$4,FALSE)</f>
        <v>0</v>
      </c>
      <c r="G86">
        <f t="shared" si="27"/>
        <v>0</v>
      </c>
      <c r="H86">
        <f t="shared" si="27"/>
        <v>0</v>
      </c>
      <c r="I86">
        <f t="shared" si="27"/>
        <v>0</v>
      </c>
      <c r="J86">
        <f t="shared" si="27"/>
        <v>599.000620282</v>
      </c>
      <c r="K86">
        <f t="shared" si="27"/>
        <v>0.18198897</v>
      </c>
      <c r="L86">
        <f t="shared" si="27"/>
        <v>0</v>
      </c>
      <c r="M86">
        <f t="shared" si="27"/>
        <v>0</v>
      </c>
      <c r="N86">
        <f t="shared" si="27"/>
        <v>0</v>
      </c>
      <c r="O86">
        <f t="shared" si="27"/>
        <v>0</v>
      </c>
      <c r="P86">
        <f t="shared" si="27"/>
        <v>12</v>
      </c>
      <c r="Q86">
        <f t="shared" si="27"/>
        <v>0</v>
      </c>
    </row>
    <row r="87" spans="1:17">
      <c r="A87" s="5" t="s">
        <v>2306</v>
      </c>
      <c r="B87" s="5" t="s">
        <v>2307</v>
      </c>
      <c r="C87" s="38">
        <f t="shared" si="24"/>
        <v>0</v>
      </c>
      <c r="D87">
        <f>polymer_valve_size</f>
        <v>0</v>
      </c>
      <c r="E87" t="s">
        <v>602</v>
      </c>
      <c r="F87">
        <f t="shared" si="27"/>
        <v>0</v>
      </c>
      <c r="G87">
        <f t="shared" si="27"/>
        <v>0</v>
      </c>
      <c r="H87">
        <f t="shared" si="27"/>
        <v>0</v>
      </c>
      <c r="I87">
        <f t="shared" si="27"/>
        <v>0</v>
      </c>
      <c r="J87">
        <f t="shared" si="27"/>
        <v>0</v>
      </c>
      <c r="K87">
        <f t="shared" si="27"/>
        <v>0</v>
      </c>
      <c r="L87">
        <f t="shared" si="27"/>
        <v>1.4813451259999999</v>
      </c>
      <c r="M87">
        <f t="shared" si="27"/>
        <v>44.575825872999999</v>
      </c>
      <c r="N87">
        <f t="shared" si="27"/>
        <v>-42.850924452000001</v>
      </c>
      <c r="O87">
        <f t="shared" si="27"/>
        <v>1429.5852851469999</v>
      </c>
      <c r="P87">
        <f t="shared" si="27"/>
        <v>48.1</v>
      </c>
      <c r="Q87">
        <f t="shared" si="27"/>
        <v>0</v>
      </c>
    </row>
    <row r="88" spans="1:17" s="5" customFormat="1">
      <c r="A88" s="31" t="s">
        <v>2308</v>
      </c>
      <c r="B88" s="5" t="s">
        <v>2309</v>
      </c>
      <c r="C88" s="38">
        <f t="shared" si="24"/>
        <v>0</v>
      </c>
      <c r="D88" s="5">
        <f>polymer_valve_size</f>
        <v>0</v>
      </c>
      <c r="E88" s="5" t="s">
        <v>604</v>
      </c>
      <c r="F88">
        <f t="shared" si="27"/>
        <v>0</v>
      </c>
      <c r="G88">
        <f t="shared" si="27"/>
        <v>0</v>
      </c>
      <c r="H88">
        <f t="shared" si="27"/>
        <v>0</v>
      </c>
      <c r="I88">
        <f t="shared" si="27"/>
        <v>0</v>
      </c>
      <c r="J88">
        <f t="shared" si="27"/>
        <v>0</v>
      </c>
      <c r="K88">
        <f t="shared" si="27"/>
        <v>0</v>
      </c>
      <c r="L88">
        <f t="shared" si="27"/>
        <v>0</v>
      </c>
      <c r="M88">
        <f t="shared" si="27"/>
        <v>0</v>
      </c>
      <c r="N88">
        <f t="shared" si="27"/>
        <v>1304.6120832720001</v>
      </c>
      <c r="O88">
        <f t="shared" si="27"/>
        <v>-1165.0485677490001</v>
      </c>
      <c r="P88">
        <f t="shared" si="27"/>
        <v>48.1</v>
      </c>
      <c r="Q88">
        <f t="shared" si="27"/>
        <v>1</v>
      </c>
    </row>
    <row r="89" spans="1:17">
      <c r="A89" s="31" t="s">
        <v>1918</v>
      </c>
      <c r="B89" t="s">
        <v>1919</v>
      </c>
      <c r="C89" s="38">
        <f t="shared" si="24"/>
        <v>0</v>
      </c>
      <c r="D89">
        <f>bypass_valve_size</f>
        <v>0</v>
      </c>
      <c r="E89" t="str">
        <f>IF(D89&gt;12,"pp_mov_eq_large","pp_mov_eq_small")</f>
        <v>pp_mov_eq_small</v>
      </c>
      <c r="F89">
        <f t="shared" si="27"/>
        <v>0</v>
      </c>
      <c r="G89">
        <f t="shared" si="27"/>
        <v>0</v>
      </c>
      <c r="H89">
        <f t="shared" si="27"/>
        <v>0</v>
      </c>
      <c r="I89">
        <f t="shared" si="27"/>
        <v>0</v>
      </c>
      <c r="J89">
        <f t="shared" si="27"/>
        <v>599.000620282</v>
      </c>
      <c r="K89">
        <f t="shared" si="27"/>
        <v>0.18198897</v>
      </c>
      <c r="L89">
        <f t="shared" si="27"/>
        <v>0</v>
      </c>
      <c r="M89">
        <f t="shared" si="27"/>
        <v>0</v>
      </c>
      <c r="N89">
        <f t="shared" si="27"/>
        <v>0</v>
      </c>
      <c r="O89">
        <f t="shared" si="27"/>
        <v>0</v>
      </c>
      <c r="P89">
        <f t="shared" si="27"/>
        <v>12</v>
      </c>
      <c r="Q89">
        <f t="shared" si="27"/>
        <v>0</v>
      </c>
    </row>
    <row r="90" spans="1:17">
      <c r="A90" s="31" t="s">
        <v>1920</v>
      </c>
      <c r="B90" t="s">
        <v>1921</v>
      </c>
      <c r="C90" s="38">
        <f t="shared" si="24"/>
        <v>0</v>
      </c>
      <c r="D90">
        <f>bypass_valve_size</f>
        <v>0</v>
      </c>
      <c r="E90" t="s">
        <v>602</v>
      </c>
      <c r="F90">
        <f t="shared" si="27"/>
        <v>0</v>
      </c>
      <c r="G90">
        <f t="shared" si="27"/>
        <v>0</v>
      </c>
      <c r="H90">
        <f t="shared" si="27"/>
        <v>0</v>
      </c>
      <c r="I90">
        <f t="shared" si="27"/>
        <v>0</v>
      </c>
      <c r="J90">
        <f t="shared" si="27"/>
        <v>0</v>
      </c>
      <c r="K90">
        <f t="shared" si="27"/>
        <v>0</v>
      </c>
      <c r="L90">
        <f t="shared" si="27"/>
        <v>1.4813451259999999</v>
      </c>
      <c r="M90">
        <f t="shared" si="27"/>
        <v>44.575825872999999</v>
      </c>
      <c r="N90">
        <f t="shared" si="27"/>
        <v>-42.850924452000001</v>
      </c>
      <c r="O90">
        <f t="shared" si="27"/>
        <v>1429.5852851469999</v>
      </c>
      <c r="P90">
        <f t="shared" si="27"/>
        <v>48.1</v>
      </c>
      <c r="Q90">
        <f t="shared" si="27"/>
        <v>0</v>
      </c>
    </row>
    <row r="91" spans="1:17">
      <c r="A91" s="31" t="s">
        <v>1922</v>
      </c>
      <c r="B91" t="s">
        <v>1923</v>
      </c>
      <c r="C91" s="38">
        <f t="shared" si="24"/>
        <v>0</v>
      </c>
      <c r="D91">
        <f>bypass_valve_size</f>
        <v>0</v>
      </c>
      <c r="E91" t="s">
        <v>604</v>
      </c>
      <c r="F91">
        <f t="shared" si="27"/>
        <v>0</v>
      </c>
      <c r="G91">
        <f t="shared" si="27"/>
        <v>0</v>
      </c>
      <c r="H91">
        <f t="shared" si="27"/>
        <v>0</v>
      </c>
      <c r="I91">
        <f t="shared" si="27"/>
        <v>0</v>
      </c>
      <c r="J91">
        <f t="shared" si="27"/>
        <v>0</v>
      </c>
      <c r="K91">
        <f t="shared" si="27"/>
        <v>0</v>
      </c>
      <c r="L91">
        <f t="shared" si="27"/>
        <v>0</v>
      </c>
      <c r="M91">
        <f t="shared" si="27"/>
        <v>0</v>
      </c>
      <c r="N91">
        <f t="shared" si="27"/>
        <v>1304.6120832720001</v>
      </c>
      <c r="O91">
        <f t="shared" si="27"/>
        <v>-1165.0485677490001</v>
      </c>
      <c r="P91">
        <f t="shared" si="27"/>
        <v>48.1</v>
      </c>
      <c r="Q91">
        <f t="shared" si="27"/>
        <v>1</v>
      </c>
    </row>
    <row r="92" spans="1:17">
      <c r="A92" s="11" t="s">
        <v>1570</v>
      </c>
    </row>
    <row r="93" spans="1:17">
      <c r="A93" s="5" t="s">
        <v>3762</v>
      </c>
      <c r="B93" t="s">
        <v>1637</v>
      </c>
      <c r="C93" s="38">
        <f t="shared" ref="C93:C111" si="28">IF(D93=0,0,IF(OR(D93&gt;P93,D93&lt;Q93),"contact vendor",F93*D93^G93+H93*LN(D93)+I93+J93*EXP(K93*D93)+L93*D93^3+M93*D93^2+N93*D93+O93))</f>
        <v>1775.3570923089999</v>
      </c>
      <c r="D93">
        <f>in_valve_size</f>
        <v>10</v>
      </c>
      <c r="E93" t="str">
        <f>IF(D93&gt;12,"pp_man_eq_large","pp_man_eq_small")</f>
        <v>pp_man_eq_small</v>
      </c>
      <c r="F93">
        <f t="shared" ref="F93:Q102" si="29">VLOOKUP($E93,eq_table_cl,F$4,FALSE)</f>
        <v>0</v>
      </c>
      <c r="G93">
        <f t="shared" si="29"/>
        <v>0</v>
      </c>
      <c r="H93">
        <f t="shared" si="29"/>
        <v>0</v>
      </c>
      <c r="I93">
        <f t="shared" si="29"/>
        <v>0</v>
      </c>
      <c r="J93">
        <f t="shared" si="29"/>
        <v>0</v>
      </c>
      <c r="K93">
        <f t="shared" si="29"/>
        <v>0</v>
      </c>
      <c r="L93">
        <f t="shared" si="29"/>
        <v>0</v>
      </c>
      <c r="M93">
        <f t="shared" si="29"/>
        <v>12.117823524</v>
      </c>
      <c r="N93">
        <f t="shared" si="29"/>
        <v>45.057729000000002</v>
      </c>
      <c r="O93">
        <f t="shared" si="29"/>
        <v>112.997449909</v>
      </c>
      <c r="P93">
        <f t="shared" si="29"/>
        <v>12</v>
      </c>
      <c r="Q93">
        <f t="shared" si="29"/>
        <v>0</v>
      </c>
    </row>
    <row r="94" spans="1:17">
      <c r="A94" s="5" t="s">
        <v>3763</v>
      </c>
      <c r="B94" t="s">
        <v>1638</v>
      </c>
      <c r="C94" s="38">
        <f t="shared" si="28"/>
        <v>2292.5888431361109</v>
      </c>
      <c r="D94">
        <f>in_valve_size</f>
        <v>10</v>
      </c>
      <c r="E94" t="s">
        <v>1638</v>
      </c>
      <c r="F94">
        <f t="shared" si="29"/>
        <v>271.98316458599999</v>
      </c>
      <c r="G94">
        <f t="shared" si="29"/>
        <v>0.92578415199999997</v>
      </c>
      <c r="H94">
        <f t="shared" si="29"/>
        <v>0</v>
      </c>
      <c r="I94">
        <f t="shared" si="29"/>
        <v>0</v>
      </c>
      <c r="J94">
        <f t="shared" si="29"/>
        <v>0</v>
      </c>
      <c r="K94">
        <f t="shared" si="29"/>
        <v>0</v>
      </c>
      <c r="L94">
        <f t="shared" si="29"/>
        <v>0</v>
      </c>
      <c r="M94">
        <f t="shared" si="29"/>
        <v>0</v>
      </c>
      <c r="N94">
        <f t="shared" si="29"/>
        <v>0</v>
      </c>
      <c r="O94">
        <f t="shared" si="29"/>
        <v>0</v>
      </c>
      <c r="P94">
        <f t="shared" si="29"/>
        <v>12.1</v>
      </c>
      <c r="Q94">
        <f t="shared" si="29"/>
        <v>0</v>
      </c>
    </row>
    <row r="95" spans="1:17">
      <c r="A95" s="5" t="s">
        <v>3764</v>
      </c>
      <c r="B95" t="s">
        <v>1639</v>
      </c>
      <c r="C95" s="38">
        <f t="shared" si="28"/>
        <v>2467.6673917276885</v>
      </c>
      <c r="D95">
        <f>in_valve_size</f>
        <v>10</v>
      </c>
      <c r="E95" t="str">
        <f>IF(D95&gt;12,"ci_bfv_eq_large","ci_bfv_eq_small")</f>
        <v>ci_bfv_eq_small</v>
      </c>
      <c r="F95">
        <f t="shared" si="29"/>
        <v>221.77653215199999</v>
      </c>
      <c r="G95">
        <f t="shared" si="29"/>
        <v>1.0463710340000001</v>
      </c>
      <c r="H95">
        <f t="shared" si="29"/>
        <v>0</v>
      </c>
      <c r="I95">
        <f t="shared" si="29"/>
        <v>0</v>
      </c>
      <c r="J95">
        <f t="shared" si="29"/>
        <v>0</v>
      </c>
      <c r="K95">
        <f t="shared" si="29"/>
        <v>0</v>
      </c>
      <c r="L95">
        <f t="shared" si="29"/>
        <v>0</v>
      </c>
      <c r="M95">
        <f t="shared" si="29"/>
        <v>0</v>
      </c>
      <c r="N95">
        <f t="shared" si="29"/>
        <v>0</v>
      </c>
      <c r="O95">
        <f t="shared" si="29"/>
        <v>0</v>
      </c>
      <c r="P95">
        <f t="shared" si="29"/>
        <v>12</v>
      </c>
      <c r="Q95">
        <f t="shared" si="29"/>
        <v>1</v>
      </c>
    </row>
    <row r="96" spans="1:17">
      <c r="A96" s="5" t="s">
        <v>1758</v>
      </c>
      <c r="B96" t="s">
        <v>2860</v>
      </c>
      <c r="C96" s="38">
        <f t="shared" si="28"/>
        <v>1248.999987445</v>
      </c>
      <c r="D96">
        <f>tank_valve_size</f>
        <v>8</v>
      </c>
      <c r="E96" t="str">
        <f>IF(D96&gt;12,"pp_man_eq_large","pp_man_eq_small")</f>
        <v>pp_man_eq_small</v>
      </c>
      <c r="F96">
        <f t="shared" si="29"/>
        <v>0</v>
      </c>
      <c r="G96">
        <f t="shared" si="29"/>
        <v>0</v>
      </c>
      <c r="H96">
        <f t="shared" si="29"/>
        <v>0</v>
      </c>
      <c r="I96">
        <f t="shared" si="29"/>
        <v>0</v>
      </c>
      <c r="J96">
        <f t="shared" si="29"/>
        <v>0</v>
      </c>
      <c r="K96">
        <f t="shared" si="29"/>
        <v>0</v>
      </c>
      <c r="L96">
        <f t="shared" si="29"/>
        <v>0</v>
      </c>
      <c r="M96">
        <f t="shared" si="29"/>
        <v>12.117823524</v>
      </c>
      <c r="N96">
        <f t="shared" si="29"/>
        <v>45.057729000000002</v>
      </c>
      <c r="O96">
        <f t="shared" si="29"/>
        <v>112.997449909</v>
      </c>
      <c r="P96">
        <f t="shared" si="29"/>
        <v>12</v>
      </c>
      <c r="Q96">
        <f t="shared" si="29"/>
        <v>0</v>
      </c>
    </row>
    <row r="97" spans="1:17">
      <c r="A97" s="5" t="s">
        <v>713</v>
      </c>
      <c r="B97" t="s">
        <v>1452</v>
      </c>
      <c r="C97" s="38">
        <f t="shared" si="28"/>
        <v>1864.6976365755643</v>
      </c>
      <c r="D97">
        <f>tank_valve_size</f>
        <v>8</v>
      </c>
      <c r="E97" t="s">
        <v>1638</v>
      </c>
      <c r="F97">
        <f t="shared" si="29"/>
        <v>271.98316458599999</v>
      </c>
      <c r="G97">
        <f t="shared" si="29"/>
        <v>0.92578415199999997</v>
      </c>
      <c r="H97">
        <f t="shared" si="29"/>
        <v>0</v>
      </c>
      <c r="I97">
        <f t="shared" si="29"/>
        <v>0</v>
      </c>
      <c r="J97">
        <f t="shared" si="29"/>
        <v>0</v>
      </c>
      <c r="K97">
        <f t="shared" si="29"/>
        <v>0</v>
      </c>
      <c r="L97">
        <f t="shared" si="29"/>
        <v>0</v>
      </c>
      <c r="M97">
        <f t="shared" si="29"/>
        <v>0</v>
      </c>
      <c r="N97">
        <f t="shared" si="29"/>
        <v>0</v>
      </c>
      <c r="O97">
        <f t="shared" si="29"/>
        <v>0</v>
      </c>
      <c r="P97">
        <f t="shared" si="29"/>
        <v>12.1</v>
      </c>
      <c r="Q97">
        <f t="shared" si="29"/>
        <v>0</v>
      </c>
    </row>
    <row r="98" spans="1:17">
      <c r="A98" s="5" t="s">
        <v>1605</v>
      </c>
      <c r="B98" t="s">
        <v>1453</v>
      </c>
      <c r="C98" s="38">
        <f t="shared" si="28"/>
        <v>1953.812085973698</v>
      </c>
      <c r="D98">
        <f>tank_valve_size</f>
        <v>8</v>
      </c>
      <c r="E98" t="str">
        <f>IF(D98&gt;12,"ci_bfv_eq_large","ci_bfv_eq_small")</f>
        <v>ci_bfv_eq_small</v>
      </c>
      <c r="F98">
        <f t="shared" si="29"/>
        <v>221.77653215199999</v>
      </c>
      <c r="G98">
        <f t="shared" si="29"/>
        <v>1.0463710340000001</v>
      </c>
      <c r="H98">
        <f t="shared" si="29"/>
        <v>0</v>
      </c>
      <c r="I98">
        <f t="shared" si="29"/>
        <v>0</v>
      </c>
      <c r="J98">
        <f t="shared" si="29"/>
        <v>0</v>
      </c>
      <c r="K98">
        <f t="shared" si="29"/>
        <v>0</v>
      </c>
      <c r="L98">
        <f t="shared" si="29"/>
        <v>0</v>
      </c>
      <c r="M98">
        <f t="shared" si="29"/>
        <v>0</v>
      </c>
      <c r="N98">
        <f t="shared" si="29"/>
        <v>0</v>
      </c>
      <c r="O98">
        <f t="shared" si="29"/>
        <v>0</v>
      </c>
      <c r="P98">
        <f t="shared" si="29"/>
        <v>12</v>
      </c>
      <c r="Q98">
        <f t="shared" si="29"/>
        <v>1</v>
      </c>
    </row>
    <row r="99" spans="1:17">
      <c r="A99" s="31" t="s">
        <v>1759</v>
      </c>
      <c r="B99" t="s">
        <v>662</v>
      </c>
      <c r="C99" s="38">
        <f t="shared" si="28"/>
        <v>1248.999987445</v>
      </c>
      <c r="D99" s="38">
        <f>back_valve_size</f>
        <v>8</v>
      </c>
      <c r="E99" t="str">
        <f>IF(D99&gt;12,"pp_man_eq_large","pp_man_eq_small")</f>
        <v>pp_man_eq_small</v>
      </c>
      <c r="F99">
        <f t="shared" si="29"/>
        <v>0</v>
      </c>
      <c r="G99">
        <f t="shared" si="29"/>
        <v>0</v>
      </c>
      <c r="H99">
        <f t="shared" si="29"/>
        <v>0</v>
      </c>
      <c r="I99">
        <f t="shared" si="29"/>
        <v>0</v>
      </c>
      <c r="J99">
        <f t="shared" si="29"/>
        <v>0</v>
      </c>
      <c r="K99">
        <f t="shared" si="29"/>
        <v>0</v>
      </c>
      <c r="L99">
        <f t="shared" si="29"/>
        <v>0</v>
      </c>
      <c r="M99">
        <f t="shared" si="29"/>
        <v>12.117823524</v>
      </c>
      <c r="N99">
        <f t="shared" si="29"/>
        <v>45.057729000000002</v>
      </c>
      <c r="O99">
        <f t="shared" si="29"/>
        <v>112.997449909</v>
      </c>
      <c r="P99">
        <f t="shared" si="29"/>
        <v>12</v>
      </c>
      <c r="Q99">
        <f t="shared" si="29"/>
        <v>0</v>
      </c>
    </row>
    <row r="100" spans="1:17">
      <c r="A100" s="31" t="s">
        <v>714</v>
      </c>
      <c r="B100" t="s">
        <v>663</v>
      </c>
      <c r="C100" s="38">
        <f t="shared" si="28"/>
        <v>1864.6976365755643</v>
      </c>
      <c r="D100" s="38">
        <f>back_valve_size</f>
        <v>8</v>
      </c>
      <c r="E100" t="s">
        <v>1638</v>
      </c>
      <c r="F100">
        <f t="shared" si="29"/>
        <v>271.98316458599999</v>
      </c>
      <c r="G100">
        <f t="shared" si="29"/>
        <v>0.92578415199999997</v>
      </c>
      <c r="H100">
        <f t="shared" si="29"/>
        <v>0</v>
      </c>
      <c r="I100">
        <f t="shared" si="29"/>
        <v>0</v>
      </c>
      <c r="J100">
        <f t="shared" si="29"/>
        <v>0</v>
      </c>
      <c r="K100">
        <f t="shared" si="29"/>
        <v>0</v>
      </c>
      <c r="L100">
        <f t="shared" si="29"/>
        <v>0</v>
      </c>
      <c r="M100">
        <f t="shared" si="29"/>
        <v>0</v>
      </c>
      <c r="N100">
        <f t="shared" si="29"/>
        <v>0</v>
      </c>
      <c r="O100">
        <f t="shared" si="29"/>
        <v>0</v>
      </c>
      <c r="P100">
        <f t="shared" si="29"/>
        <v>12.1</v>
      </c>
      <c r="Q100">
        <f t="shared" si="29"/>
        <v>0</v>
      </c>
    </row>
    <row r="101" spans="1:17">
      <c r="A101" s="31" t="s">
        <v>1073</v>
      </c>
      <c r="B101" t="s">
        <v>664</v>
      </c>
      <c r="C101" s="38">
        <f t="shared" si="28"/>
        <v>1953.812085973698</v>
      </c>
      <c r="D101" s="38">
        <f>back_valve_size</f>
        <v>8</v>
      </c>
      <c r="E101" t="str">
        <f>IF(D101&gt;12,"ci_bfv_eq_large","ci_bfv_eq_small")</f>
        <v>ci_bfv_eq_small</v>
      </c>
      <c r="F101">
        <f t="shared" si="29"/>
        <v>221.77653215199999</v>
      </c>
      <c r="G101">
        <f t="shared" si="29"/>
        <v>1.0463710340000001</v>
      </c>
      <c r="H101">
        <f t="shared" si="29"/>
        <v>0</v>
      </c>
      <c r="I101">
        <f t="shared" si="29"/>
        <v>0</v>
      </c>
      <c r="J101">
        <f t="shared" si="29"/>
        <v>0</v>
      </c>
      <c r="K101">
        <f t="shared" si="29"/>
        <v>0</v>
      </c>
      <c r="L101">
        <f t="shared" si="29"/>
        <v>0</v>
      </c>
      <c r="M101">
        <f t="shared" si="29"/>
        <v>0</v>
      </c>
      <c r="N101">
        <f t="shared" si="29"/>
        <v>0</v>
      </c>
      <c r="O101">
        <f t="shared" si="29"/>
        <v>0</v>
      </c>
      <c r="P101">
        <f t="shared" si="29"/>
        <v>12</v>
      </c>
      <c r="Q101">
        <f t="shared" si="29"/>
        <v>1</v>
      </c>
    </row>
    <row r="102" spans="1:17">
      <c r="A102" s="23" t="s">
        <v>383</v>
      </c>
      <c r="B102" t="s">
        <v>665</v>
      </c>
      <c r="C102" s="38">
        <f t="shared" si="28"/>
        <v>207.84914633800003</v>
      </c>
      <c r="D102" s="38">
        <f>res_valve_size</f>
        <v>1.5</v>
      </c>
      <c r="E102" t="str">
        <f>IF(D102&gt;12,"pp_man_eq_large","pp_man_eq_small")</f>
        <v>pp_man_eq_small</v>
      </c>
      <c r="F102">
        <f t="shared" si="29"/>
        <v>0</v>
      </c>
      <c r="G102">
        <f t="shared" si="29"/>
        <v>0</v>
      </c>
      <c r="H102">
        <f t="shared" si="29"/>
        <v>0</v>
      </c>
      <c r="I102">
        <f t="shared" si="29"/>
        <v>0</v>
      </c>
      <c r="J102">
        <f t="shared" si="29"/>
        <v>0</v>
      </c>
      <c r="K102">
        <f t="shared" si="29"/>
        <v>0</v>
      </c>
      <c r="L102">
        <f t="shared" si="29"/>
        <v>0</v>
      </c>
      <c r="M102">
        <f t="shared" si="29"/>
        <v>12.117823524</v>
      </c>
      <c r="N102">
        <f t="shared" si="29"/>
        <v>45.057729000000002</v>
      </c>
      <c r="O102">
        <f t="shared" si="29"/>
        <v>112.997449909</v>
      </c>
      <c r="P102">
        <f t="shared" si="29"/>
        <v>12</v>
      </c>
      <c r="Q102">
        <f t="shared" si="29"/>
        <v>0</v>
      </c>
    </row>
    <row r="103" spans="1:17">
      <c r="A103" s="23" t="s">
        <v>385</v>
      </c>
      <c r="B103" t="s">
        <v>666</v>
      </c>
      <c r="C103" s="38">
        <f t="shared" si="28"/>
        <v>395.88087320259683</v>
      </c>
      <c r="D103" s="38">
        <f>res_valve_size</f>
        <v>1.5</v>
      </c>
      <c r="E103" t="s">
        <v>1638</v>
      </c>
      <c r="F103">
        <f t="shared" ref="F103:Q111" si="30">VLOOKUP($E103,eq_table_cl,F$4,FALSE)</f>
        <v>271.98316458599999</v>
      </c>
      <c r="G103">
        <f t="shared" si="30"/>
        <v>0.92578415199999997</v>
      </c>
      <c r="H103">
        <f t="shared" si="30"/>
        <v>0</v>
      </c>
      <c r="I103">
        <f t="shared" si="30"/>
        <v>0</v>
      </c>
      <c r="J103">
        <f t="shared" si="30"/>
        <v>0</v>
      </c>
      <c r="K103">
        <f t="shared" si="30"/>
        <v>0</v>
      </c>
      <c r="L103">
        <f t="shared" si="30"/>
        <v>0</v>
      </c>
      <c r="M103">
        <f t="shared" si="30"/>
        <v>0</v>
      </c>
      <c r="N103">
        <f t="shared" si="30"/>
        <v>0</v>
      </c>
      <c r="O103">
        <f t="shared" si="30"/>
        <v>0</v>
      </c>
      <c r="P103">
        <f t="shared" si="30"/>
        <v>12.1</v>
      </c>
      <c r="Q103">
        <f t="shared" si="30"/>
        <v>0</v>
      </c>
    </row>
    <row r="104" spans="1:17">
      <c r="A104" s="23" t="s">
        <v>660</v>
      </c>
      <c r="B104" t="s">
        <v>667</v>
      </c>
      <c r="C104" s="38">
        <f t="shared" si="28"/>
        <v>338.97867757464161</v>
      </c>
      <c r="D104" s="38">
        <f>res_valve_size</f>
        <v>1.5</v>
      </c>
      <c r="E104" t="str">
        <f>IF(D104&gt;12,"ci_bfv_eq_large","ci_bfv_eq_small")</f>
        <v>ci_bfv_eq_small</v>
      </c>
      <c r="F104">
        <f t="shared" si="30"/>
        <v>221.77653215199999</v>
      </c>
      <c r="G104">
        <f t="shared" si="30"/>
        <v>1.0463710340000001</v>
      </c>
      <c r="H104">
        <f t="shared" si="30"/>
        <v>0</v>
      </c>
      <c r="I104">
        <f t="shared" si="30"/>
        <v>0</v>
      </c>
      <c r="J104">
        <f t="shared" si="30"/>
        <v>0</v>
      </c>
      <c r="K104">
        <f t="shared" si="30"/>
        <v>0</v>
      </c>
      <c r="L104">
        <f t="shared" si="30"/>
        <v>0</v>
      </c>
      <c r="M104">
        <f t="shared" si="30"/>
        <v>0</v>
      </c>
      <c r="N104">
        <f t="shared" si="30"/>
        <v>0</v>
      </c>
      <c r="O104">
        <f t="shared" si="30"/>
        <v>0</v>
      </c>
      <c r="P104">
        <f t="shared" si="30"/>
        <v>12</v>
      </c>
      <c r="Q104">
        <f t="shared" si="30"/>
        <v>1</v>
      </c>
    </row>
    <row r="105" spans="1:17">
      <c r="A105" s="414" t="s">
        <v>3695</v>
      </c>
      <c r="B105" s="414" t="s">
        <v>3697</v>
      </c>
      <c r="C105" s="38">
        <f t="shared" ref="C105" si="31">IF(D105=0,0,IF(OR(D105&gt;P105,D105&lt;Q105),"contact vendor",F105*D105^G105+H105*LN(D105)+I105+J105*EXP(K105*D105)+L105*D105^3+M105*D105^2+N105*D105+O105))</f>
        <v>0</v>
      </c>
      <c r="D105">
        <f xml:space="preserve"> coag_valve_size</f>
        <v>0</v>
      </c>
      <c r="E105" t="str">
        <f>IF(D105&gt;12,"pp_man_eq_large","pp_man_eq_small")</f>
        <v>pp_man_eq_small</v>
      </c>
      <c r="F105">
        <f t="shared" si="30"/>
        <v>0</v>
      </c>
      <c r="G105">
        <f t="shared" si="30"/>
        <v>0</v>
      </c>
      <c r="H105">
        <f t="shared" si="30"/>
        <v>0</v>
      </c>
      <c r="I105">
        <f t="shared" si="30"/>
        <v>0</v>
      </c>
      <c r="J105">
        <f t="shared" si="30"/>
        <v>0</v>
      </c>
      <c r="K105">
        <f t="shared" si="30"/>
        <v>0</v>
      </c>
      <c r="L105">
        <f t="shared" si="30"/>
        <v>0</v>
      </c>
      <c r="M105">
        <f t="shared" si="30"/>
        <v>12.117823524</v>
      </c>
      <c r="N105">
        <f t="shared" si="30"/>
        <v>45.057729000000002</v>
      </c>
      <c r="O105">
        <f t="shared" si="30"/>
        <v>112.997449909</v>
      </c>
      <c r="P105">
        <f t="shared" si="30"/>
        <v>12</v>
      </c>
      <c r="Q105">
        <f t="shared" si="30"/>
        <v>0</v>
      </c>
    </row>
    <row r="106" spans="1:17" ht="14.25" customHeight="1">
      <c r="A106" s="5" t="s">
        <v>2304</v>
      </c>
      <c r="B106" s="5" t="s">
        <v>2310</v>
      </c>
      <c r="C106" s="38">
        <f t="shared" si="28"/>
        <v>0</v>
      </c>
      <c r="D106">
        <f xml:space="preserve"> polymer_valve_size</f>
        <v>0</v>
      </c>
      <c r="E106" t="str">
        <f>IF(D106&gt;12,"pp_man_eq_large","pp_man_eq_small")</f>
        <v>pp_man_eq_small</v>
      </c>
      <c r="F106">
        <f t="shared" si="30"/>
        <v>0</v>
      </c>
      <c r="G106">
        <f t="shared" si="30"/>
        <v>0</v>
      </c>
      <c r="H106">
        <f t="shared" si="30"/>
        <v>0</v>
      </c>
      <c r="I106">
        <f t="shared" si="30"/>
        <v>0</v>
      </c>
      <c r="J106">
        <f t="shared" si="30"/>
        <v>0</v>
      </c>
      <c r="K106">
        <f t="shared" si="30"/>
        <v>0</v>
      </c>
      <c r="L106">
        <f t="shared" si="30"/>
        <v>0</v>
      </c>
      <c r="M106">
        <f t="shared" si="30"/>
        <v>12.117823524</v>
      </c>
      <c r="N106">
        <f t="shared" si="30"/>
        <v>45.057729000000002</v>
      </c>
      <c r="O106">
        <f t="shared" si="30"/>
        <v>112.997449909</v>
      </c>
      <c r="P106">
        <f t="shared" si="30"/>
        <v>12</v>
      </c>
      <c r="Q106">
        <f t="shared" si="30"/>
        <v>0</v>
      </c>
    </row>
    <row r="107" spans="1:17">
      <c r="A107" s="5" t="s">
        <v>2306</v>
      </c>
      <c r="B107" s="5" t="s">
        <v>2311</v>
      </c>
      <c r="C107" s="38">
        <f t="shared" si="28"/>
        <v>0</v>
      </c>
      <c r="D107">
        <f xml:space="preserve"> polymer_valve_size</f>
        <v>0</v>
      </c>
      <c r="E107" t="s">
        <v>1638</v>
      </c>
      <c r="F107">
        <f t="shared" si="30"/>
        <v>271.98316458599999</v>
      </c>
      <c r="G107">
        <f t="shared" si="30"/>
        <v>0.92578415199999997</v>
      </c>
      <c r="H107">
        <f t="shared" si="30"/>
        <v>0</v>
      </c>
      <c r="I107">
        <f t="shared" si="30"/>
        <v>0</v>
      </c>
      <c r="J107">
        <f t="shared" si="30"/>
        <v>0</v>
      </c>
      <c r="K107">
        <f t="shared" si="30"/>
        <v>0</v>
      </c>
      <c r="L107">
        <f t="shared" si="30"/>
        <v>0</v>
      </c>
      <c r="M107">
        <f t="shared" si="30"/>
        <v>0</v>
      </c>
      <c r="N107">
        <f t="shared" si="30"/>
        <v>0</v>
      </c>
      <c r="O107">
        <f t="shared" si="30"/>
        <v>0</v>
      </c>
      <c r="P107">
        <f t="shared" si="30"/>
        <v>12.1</v>
      </c>
      <c r="Q107">
        <f t="shared" si="30"/>
        <v>0</v>
      </c>
    </row>
    <row r="108" spans="1:17" s="5" customFormat="1">
      <c r="A108" s="31" t="s">
        <v>2308</v>
      </c>
      <c r="B108" s="5" t="s">
        <v>2312</v>
      </c>
      <c r="C108" s="38">
        <f t="shared" si="28"/>
        <v>0</v>
      </c>
      <c r="D108" s="5">
        <f>polymer_valve_size</f>
        <v>0</v>
      </c>
      <c r="E108" s="5" t="str">
        <f>IF(D108&gt;12,"ci_bfv_eq_large","ci_bfv_eq_small")</f>
        <v>ci_bfv_eq_small</v>
      </c>
      <c r="F108">
        <f t="shared" si="30"/>
        <v>221.77653215199999</v>
      </c>
      <c r="G108">
        <f t="shared" si="30"/>
        <v>1.0463710340000001</v>
      </c>
      <c r="H108">
        <f t="shared" si="30"/>
        <v>0</v>
      </c>
      <c r="I108">
        <f t="shared" si="30"/>
        <v>0</v>
      </c>
      <c r="J108">
        <f t="shared" si="30"/>
        <v>0</v>
      </c>
      <c r="K108">
        <f t="shared" si="30"/>
        <v>0</v>
      </c>
      <c r="L108">
        <f t="shared" si="30"/>
        <v>0</v>
      </c>
      <c r="M108">
        <f t="shared" si="30"/>
        <v>0</v>
      </c>
      <c r="N108">
        <f t="shared" si="30"/>
        <v>0</v>
      </c>
      <c r="O108">
        <f t="shared" si="30"/>
        <v>0</v>
      </c>
      <c r="P108">
        <f t="shared" si="30"/>
        <v>12</v>
      </c>
      <c r="Q108">
        <f t="shared" si="30"/>
        <v>1</v>
      </c>
    </row>
    <row r="109" spans="1:17">
      <c r="A109" s="31" t="s">
        <v>1918</v>
      </c>
      <c r="B109" t="s">
        <v>1924</v>
      </c>
      <c r="C109" s="38">
        <f t="shared" si="28"/>
        <v>0</v>
      </c>
      <c r="D109">
        <f>bypass_valve_size</f>
        <v>0</v>
      </c>
      <c r="E109" t="str">
        <f>IF(D109&gt;12,"pp_man_eq_large","pp_man_eq_small")</f>
        <v>pp_man_eq_small</v>
      </c>
      <c r="F109">
        <f t="shared" si="30"/>
        <v>0</v>
      </c>
      <c r="G109">
        <f t="shared" si="30"/>
        <v>0</v>
      </c>
      <c r="H109">
        <f t="shared" si="30"/>
        <v>0</v>
      </c>
      <c r="I109">
        <f t="shared" si="30"/>
        <v>0</v>
      </c>
      <c r="J109">
        <f t="shared" si="30"/>
        <v>0</v>
      </c>
      <c r="K109">
        <f t="shared" si="30"/>
        <v>0</v>
      </c>
      <c r="L109">
        <f t="shared" si="30"/>
        <v>0</v>
      </c>
      <c r="M109">
        <f t="shared" si="30"/>
        <v>12.117823524</v>
      </c>
      <c r="N109">
        <f t="shared" si="30"/>
        <v>45.057729000000002</v>
      </c>
      <c r="O109">
        <f t="shared" si="30"/>
        <v>112.997449909</v>
      </c>
      <c r="P109">
        <f t="shared" si="30"/>
        <v>12</v>
      </c>
      <c r="Q109">
        <f t="shared" si="30"/>
        <v>0</v>
      </c>
    </row>
    <row r="110" spans="1:17">
      <c r="A110" s="31" t="s">
        <v>1920</v>
      </c>
      <c r="B110" t="s">
        <v>1925</v>
      </c>
      <c r="C110" s="38">
        <f t="shared" si="28"/>
        <v>0</v>
      </c>
      <c r="D110">
        <f>bypass_valve_size</f>
        <v>0</v>
      </c>
      <c r="E110" t="s">
        <v>1638</v>
      </c>
      <c r="F110">
        <f t="shared" si="30"/>
        <v>271.98316458599999</v>
      </c>
      <c r="G110">
        <f t="shared" si="30"/>
        <v>0.92578415199999997</v>
      </c>
      <c r="H110">
        <f t="shared" si="30"/>
        <v>0</v>
      </c>
      <c r="I110">
        <f t="shared" si="30"/>
        <v>0</v>
      </c>
      <c r="J110">
        <f t="shared" si="30"/>
        <v>0</v>
      </c>
      <c r="K110">
        <f t="shared" si="30"/>
        <v>0</v>
      </c>
      <c r="L110">
        <f t="shared" si="30"/>
        <v>0</v>
      </c>
      <c r="M110">
        <f t="shared" si="30"/>
        <v>0</v>
      </c>
      <c r="N110">
        <f t="shared" si="30"/>
        <v>0</v>
      </c>
      <c r="O110">
        <f t="shared" si="30"/>
        <v>0</v>
      </c>
      <c r="P110">
        <f t="shared" si="30"/>
        <v>12.1</v>
      </c>
      <c r="Q110">
        <f t="shared" si="30"/>
        <v>0</v>
      </c>
    </row>
    <row r="111" spans="1:17">
      <c r="A111" s="31" t="s">
        <v>1922</v>
      </c>
      <c r="B111" t="s">
        <v>1926</v>
      </c>
      <c r="C111" s="38">
        <f t="shared" si="28"/>
        <v>0</v>
      </c>
      <c r="D111">
        <f>bypass_valve_size</f>
        <v>0</v>
      </c>
      <c r="E111" t="str">
        <f>IF(D111&gt;12,"ci_bfv_eq_large","ci_bfv_eq_small")</f>
        <v>ci_bfv_eq_small</v>
      </c>
      <c r="F111">
        <f t="shared" si="30"/>
        <v>221.77653215199999</v>
      </c>
      <c r="G111">
        <f t="shared" si="30"/>
        <v>1.0463710340000001</v>
      </c>
      <c r="H111">
        <f t="shared" si="30"/>
        <v>0</v>
      </c>
      <c r="I111">
        <f t="shared" si="30"/>
        <v>0</v>
      </c>
      <c r="J111">
        <f t="shared" si="30"/>
        <v>0</v>
      </c>
      <c r="K111">
        <f t="shared" si="30"/>
        <v>0</v>
      </c>
      <c r="L111">
        <f t="shared" si="30"/>
        <v>0</v>
      </c>
      <c r="M111">
        <f t="shared" si="30"/>
        <v>0</v>
      </c>
      <c r="N111">
        <f t="shared" si="30"/>
        <v>0</v>
      </c>
      <c r="O111">
        <f t="shared" si="30"/>
        <v>0</v>
      </c>
      <c r="P111">
        <f t="shared" si="30"/>
        <v>12</v>
      </c>
      <c r="Q111">
        <f t="shared" si="30"/>
        <v>1</v>
      </c>
    </row>
    <row r="112" spans="1:17">
      <c r="A112" s="11" t="s">
        <v>1571</v>
      </c>
    </row>
    <row r="113" spans="1:17">
      <c r="A113" s="5" t="s">
        <v>1759</v>
      </c>
      <c r="B113" t="s">
        <v>1640</v>
      </c>
      <c r="C113" s="38">
        <f t="shared" ref="C113:C128" si="32">IF(D113=0,0,IF(OR(D113&gt;P113,D113&lt;Q113),"contact vendor",F113*D113^G113+H113*LN(D113)+I113+J113*EXP(K113*D113)+L113*D113^3+M113*D113^2+N113*D113+O113))</f>
        <v>2002.4577720340001</v>
      </c>
      <c r="D113">
        <f>back_valve_size</f>
        <v>8</v>
      </c>
      <c r="E113" t="s">
        <v>1641</v>
      </c>
      <c r="F113">
        <f t="shared" ref="F113:Q122" si="33">VLOOKUP($E113,eq_table_cl,F$4,FALSE)</f>
        <v>0</v>
      </c>
      <c r="G113">
        <f t="shared" si="33"/>
        <v>0</v>
      </c>
      <c r="H113">
        <f t="shared" si="33"/>
        <v>0</v>
      </c>
      <c r="I113">
        <f t="shared" si="33"/>
        <v>0</v>
      </c>
      <c r="J113">
        <f t="shared" si="33"/>
        <v>0</v>
      </c>
      <c r="K113">
        <f t="shared" si="33"/>
        <v>0</v>
      </c>
      <c r="L113">
        <f t="shared" si="33"/>
        <v>0</v>
      </c>
      <c r="M113">
        <f t="shared" si="33"/>
        <v>23.867181313</v>
      </c>
      <c r="N113">
        <f t="shared" si="33"/>
        <v>53.974127154000001</v>
      </c>
      <c r="O113">
        <f t="shared" si="33"/>
        <v>43.165150769999997</v>
      </c>
      <c r="P113">
        <f t="shared" si="33"/>
        <v>12.1</v>
      </c>
      <c r="Q113">
        <f t="shared" si="33"/>
        <v>0</v>
      </c>
    </row>
    <row r="114" spans="1:17">
      <c r="A114" s="5" t="s">
        <v>714</v>
      </c>
      <c r="B114" t="s">
        <v>1642</v>
      </c>
      <c r="C114" s="38">
        <f t="shared" si="32"/>
        <v>4407.7211240980005</v>
      </c>
      <c r="D114">
        <f>back_valve_size</f>
        <v>8</v>
      </c>
      <c r="E114" t="s">
        <v>1643</v>
      </c>
      <c r="F114">
        <f t="shared" si="33"/>
        <v>0</v>
      </c>
      <c r="G114">
        <f t="shared" si="33"/>
        <v>0</v>
      </c>
      <c r="H114">
        <f t="shared" si="33"/>
        <v>0</v>
      </c>
      <c r="I114">
        <f t="shared" si="33"/>
        <v>0</v>
      </c>
      <c r="J114">
        <f t="shared" si="33"/>
        <v>0</v>
      </c>
      <c r="K114">
        <f t="shared" si="33"/>
        <v>0</v>
      </c>
      <c r="L114">
        <f t="shared" si="33"/>
        <v>0</v>
      </c>
      <c r="M114">
        <f t="shared" si="33"/>
        <v>43.739370735000001</v>
      </c>
      <c r="N114">
        <f t="shared" si="33"/>
        <v>186.790998664</v>
      </c>
      <c r="O114">
        <f t="shared" si="33"/>
        <v>114.073407746</v>
      </c>
      <c r="P114">
        <f t="shared" si="33"/>
        <v>48.1</v>
      </c>
      <c r="Q114">
        <f t="shared" si="33"/>
        <v>0</v>
      </c>
    </row>
    <row r="115" spans="1:17">
      <c r="A115" s="5" t="s">
        <v>1073</v>
      </c>
      <c r="B115" t="s">
        <v>1644</v>
      </c>
      <c r="C115" s="38">
        <f t="shared" si="32"/>
        <v>5160.1012128540006</v>
      </c>
      <c r="D115">
        <f>back_valve_size</f>
        <v>8</v>
      </c>
      <c r="E115" t="s">
        <v>1645</v>
      </c>
      <c r="F115">
        <f t="shared" si="33"/>
        <v>0</v>
      </c>
      <c r="G115">
        <f t="shared" si="33"/>
        <v>0</v>
      </c>
      <c r="H115">
        <f t="shared" si="33"/>
        <v>0</v>
      </c>
      <c r="I115">
        <f t="shared" si="33"/>
        <v>0</v>
      </c>
      <c r="J115">
        <f t="shared" si="33"/>
        <v>0</v>
      </c>
      <c r="K115">
        <f t="shared" si="33"/>
        <v>0</v>
      </c>
      <c r="L115">
        <f t="shared" si="33"/>
        <v>3.240756524</v>
      </c>
      <c r="M115">
        <f t="shared" si="33"/>
        <v>50.118205304</v>
      </c>
      <c r="N115">
        <f t="shared" si="33"/>
        <v>-32.545647099999996</v>
      </c>
      <c r="O115">
        <f t="shared" si="33"/>
        <v>553.63390991000006</v>
      </c>
      <c r="P115">
        <f t="shared" si="33"/>
        <v>24.1</v>
      </c>
      <c r="Q115">
        <f t="shared" si="33"/>
        <v>2</v>
      </c>
    </row>
    <row r="116" spans="1:17">
      <c r="A116" s="5" t="s">
        <v>790</v>
      </c>
      <c r="B116" t="s">
        <v>791</v>
      </c>
      <c r="C116" s="38">
        <f t="shared" si="32"/>
        <v>177.82749945525001</v>
      </c>
      <c r="D116">
        <f>res_valve_size</f>
        <v>1.5</v>
      </c>
      <c r="E116" t="s">
        <v>1641</v>
      </c>
      <c r="F116">
        <f t="shared" si="33"/>
        <v>0</v>
      </c>
      <c r="G116">
        <f t="shared" si="33"/>
        <v>0</v>
      </c>
      <c r="H116">
        <f t="shared" si="33"/>
        <v>0</v>
      </c>
      <c r="I116">
        <f t="shared" si="33"/>
        <v>0</v>
      </c>
      <c r="J116">
        <f t="shared" si="33"/>
        <v>0</v>
      </c>
      <c r="K116">
        <f t="shared" si="33"/>
        <v>0</v>
      </c>
      <c r="L116">
        <f t="shared" si="33"/>
        <v>0</v>
      </c>
      <c r="M116">
        <f t="shared" si="33"/>
        <v>23.867181313</v>
      </c>
      <c r="N116">
        <f t="shared" si="33"/>
        <v>53.974127154000001</v>
      </c>
      <c r="O116">
        <f t="shared" si="33"/>
        <v>43.165150769999997</v>
      </c>
      <c r="P116">
        <f t="shared" si="33"/>
        <v>12.1</v>
      </c>
      <c r="Q116">
        <f t="shared" si="33"/>
        <v>0</v>
      </c>
    </row>
    <row r="117" spans="1:17">
      <c r="A117" s="5" t="s">
        <v>2597</v>
      </c>
      <c r="B117" t="s">
        <v>2598</v>
      </c>
      <c r="C117" s="38">
        <f t="shared" si="32"/>
        <v>492.67348989575004</v>
      </c>
      <c r="D117">
        <f>res_valve_size</f>
        <v>1.5</v>
      </c>
      <c r="E117" t="s">
        <v>1643</v>
      </c>
      <c r="F117">
        <f t="shared" si="33"/>
        <v>0</v>
      </c>
      <c r="G117">
        <f t="shared" si="33"/>
        <v>0</v>
      </c>
      <c r="H117">
        <f t="shared" si="33"/>
        <v>0</v>
      </c>
      <c r="I117">
        <f t="shared" si="33"/>
        <v>0</v>
      </c>
      <c r="J117">
        <f t="shared" si="33"/>
        <v>0</v>
      </c>
      <c r="K117">
        <f t="shared" si="33"/>
        <v>0</v>
      </c>
      <c r="L117">
        <f t="shared" si="33"/>
        <v>0</v>
      </c>
      <c r="M117">
        <f t="shared" si="33"/>
        <v>43.739370735000001</v>
      </c>
      <c r="N117">
        <f t="shared" si="33"/>
        <v>186.790998664</v>
      </c>
      <c r="O117">
        <f t="shared" si="33"/>
        <v>114.073407746</v>
      </c>
      <c r="P117">
        <f t="shared" si="33"/>
        <v>48.1</v>
      </c>
      <c r="Q117">
        <f t="shared" si="33"/>
        <v>0</v>
      </c>
    </row>
    <row r="118" spans="1:17">
      <c r="A118" s="5" t="s">
        <v>2599</v>
      </c>
      <c r="B118" t="s">
        <v>2600</v>
      </c>
      <c r="C118" s="38" t="str">
        <f t="shared" si="32"/>
        <v>contact vendor</v>
      </c>
      <c r="D118">
        <f>res_valve_size</f>
        <v>1.5</v>
      </c>
      <c r="E118" t="s">
        <v>1645</v>
      </c>
      <c r="F118">
        <f t="shared" si="33"/>
        <v>0</v>
      </c>
      <c r="G118">
        <f t="shared" si="33"/>
        <v>0</v>
      </c>
      <c r="H118">
        <f t="shared" si="33"/>
        <v>0</v>
      </c>
      <c r="I118">
        <f t="shared" si="33"/>
        <v>0</v>
      </c>
      <c r="J118">
        <f t="shared" si="33"/>
        <v>0</v>
      </c>
      <c r="K118">
        <f t="shared" si="33"/>
        <v>0</v>
      </c>
      <c r="L118">
        <f t="shared" si="33"/>
        <v>3.240756524</v>
      </c>
      <c r="M118">
        <f t="shared" si="33"/>
        <v>50.118205304</v>
      </c>
      <c r="N118">
        <f t="shared" si="33"/>
        <v>-32.545647099999996</v>
      </c>
      <c r="O118">
        <f t="shared" si="33"/>
        <v>553.63390991000006</v>
      </c>
      <c r="P118">
        <f t="shared" si="33"/>
        <v>24.1</v>
      </c>
      <c r="Q118">
        <f t="shared" si="33"/>
        <v>2</v>
      </c>
    </row>
    <row r="119" spans="1:17">
      <c r="A119" s="414" t="s">
        <v>3695</v>
      </c>
      <c r="B119" s="414" t="s">
        <v>3698</v>
      </c>
      <c r="C119" s="38">
        <f t="shared" ref="C119" si="34">IF(D119=0,0,IF(OR(D119&gt;P119,D119&lt;Q119),"contact vendor",F119*D119^G119+H119*LN(D119)+I119+J119*EXP(K119*D119)+L119*D119^3+M119*D119^2+N119*D119+O119))</f>
        <v>0</v>
      </c>
      <c r="D119" s="496">
        <f xml:space="preserve"> coag_valve_size</f>
        <v>0</v>
      </c>
      <c r="E119" t="s">
        <v>1641</v>
      </c>
      <c r="F119">
        <f t="shared" si="33"/>
        <v>0</v>
      </c>
      <c r="G119">
        <f t="shared" si="33"/>
        <v>0</v>
      </c>
      <c r="H119">
        <f t="shared" si="33"/>
        <v>0</v>
      </c>
      <c r="I119">
        <f t="shared" si="33"/>
        <v>0</v>
      </c>
      <c r="J119">
        <f t="shared" si="33"/>
        <v>0</v>
      </c>
      <c r="K119">
        <f t="shared" si="33"/>
        <v>0</v>
      </c>
      <c r="L119">
        <f t="shared" si="33"/>
        <v>0</v>
      </c>
      <c r="M119">
        <f t="shared" si="33"/>
        <v>23.867181313</v>
      </c>
      <c r="N119">
        <f t="shared" si="33"/>
        <v>53.974127154000001</v>
      </c>
      <c r="O119">
        <f t="shared" si="33"/>
        <v>43.165150769999997</v>
      </c>
      <c r="P119">
        <f t="shared" si="33"/>
        <v>12.1</v>
      </c>
      <c r="Q119">
        <f t="shared" si="33"/>
        <v>0</v>
      </c>
    </row>
    <row r="120" spans="1:17">
      <c r="A120" s="5" t="s">
        <v>2304</v>
      </c>
      <c r="B120" s="5" t="s">
        <v>1791</v>
      </c>
      <c r="C120" s="38">
        <f t="shared" si="32"/>
        <v>0</v>
      </c>
      <c r="D120" s="496">
        <f xml:space="preserve"> polymer_valve_size</f>
        <v>0</v>
      </c>
      <c r="E120" t="s">
        <v>1641</v>
      </c>
      <c r="F120">
        <f t="shared" si="33"/>
        <v>0</v>
      </c>
      <c r="G120">
        <f t="shared" si="33"/>
        <v>0</v>
      </c>
      <c r="H120">
        <f t="shared" si="33"/>
        <v>0</v>
      </c>
      <c r="I120">
        <f t="shared" si="33"/>
        <v>0</v>
      </c>
      <c r="J120">
        <f t="shared" si="33"/>
        <v>0</v>
      </c>
      <c r="K120">
        <f t="shared" si="33"/>
        <v>0</v>
      </c>
      <c r="L120">
        <f t="shared" si="33"/>
        <v>0</v>
      </c>
      <c r="M120">
        <f t="shared" si="33"/>
        <v>23.867181313</v>
      </c>
      <c r="N120">
        <f t="shared" si="33"/>
        <v>53.974127154000001</v>
      </c>
      <c r="O120">
        <f t="shared" si="33"/>
        <v>43.165150769999997</v>
      </c>
      <c r="P120">
        <f t="shared" si="33"/>
        <v>12.1</v>
      </c>
      <c r="Q120">
        <f t="shared" si="33"/>
        <v>0</v>
      </c>
    </row>
    <row r="121" spans="1:17">
      <c r="A121" s="5" t="s">
        <v>2306</v>
      </c>
      <c r="B121" s="5" t="s">
        <v>1792</v>
      </c>
      <c r="C121" s="38">
        <f t="shared" si="32"/>
        <v>0</v>
      </c>
      <c r="D121" s="496">
        <f xml:space="preserve"> polymer_valve_size</f>
        <v>0</v>
      </c>
      <c r="E121" t="s">
        <v>1643</v>
      </c>
      <c r="F121">
        <f t="shared" si="33"/>
        <v>0</v>
      </c>
      <c r="G121">
        <f t="shared" si="33"/>
        <v>0</v>
      </c>
      <c r="H121">
        <f t="shared" si="33"/>
        <v>0</v>
      </c>
      <c r="I121">
        <f t="shared" si="33"/>
        <v>0</v>
      </c>
      <c r="J121">
        <f t="shared" si="33"/>
        <v>0</v>
      </c>
      <c r="K121">
        <f t="shared" si="33"/>
        <v>0</v>
      </c>
      <c r="L121">
        <f t="shared" si="33"/>
        <v>0</v>
      </c>
      <c r="M121">
        <f t="shared" si="33"/>
        <v>43.739370735000001</v>
      </c>
      <c r="N121">
        <f t="shared" si="33"/>
        <v>186.790998664</v>
      </c>
      <c r="O121">
        <f t="shared" si="33"/>
        <v>114.073407746</v>
      </c>
      <c r="P121">
        <f t="shared" si="33"/>
        <v>48.1</v>
      </c>
      <c r="Q121">
        <f t="shared" si="33"/>
        <v>0</v>
      </c>
    </row>
    <row r="122" spans="1:17">
      <c r="A122" s="31" t="s">
        <v>2308</v>
      </c>
      <c r="B122" s="5" t="s">
        <v>1793</v>
      </c>
      <c r="C122" s="38">
        <f t="shared" si="32"/>
        <v>0</v>
      </c>
      <c r="D122" s="496">
        <f xml:space="preserve"> polymer_valve_size</f>
        <v>0</v>
      </c>
      <c r="E122" t="s">
        <v>1645</v>
      </c>
      <c r="F122">
        <f t="shared" si="33"/>
        <v>0</v>
      </c>
      <c r="G122">
        <f t="shared" si="33"/>
        <v>0</v>
      </c>
      <c r="H122">
        <f t="shared" si="33"/>
        <v>0</v>
      </c>
      <c r="I122">
        <f t="shared" si="33"/>
        <v>0</v>
      </c>
      <c r="J122">
        <f t="shared" si="33"/>
        <v>0</v>
      </c>
      <c r="K122">
        <f t="shared" si="33"/>
        <v>0</v>
      </c>
      <c r="L122">
        <f t="shared" si="33"/>
        <v>3.240756524</v>
      </c>
      <c r="M122">
        <f t="shared" si="33"/>
        <v>50.118205304</v>
      </c>
      <c r="N122">
        <f t="shared" si="33"/>
        <v>-32.545647099999996</v>
      </c>
      <c r="O122">
        <f t="shared" si="33"/>
        <v>553.63390991000006</v>
      </c>
      <c r="P122">
        <f t="shared" si="33"/>
        <v>24.1</v>
      </c>
      <c r="Q122">
        <f t="shared" si="33"/>
        <v>2</v>
      </c>
    </row>
    <row r="123" spans="1:17">
      <c r="A123" s="5" t="s">
        <v>3771</v>
      </c>
      <c r="B123" t="s">
        <v>1456</v>
      </c>
      <c r="C123" s="38">
        <f t="shared" si="32"/>
        <v>2969.62455361</v>
      </c>
      <c r="D123">
        <f>in_valve_size</f>
        <v>10</v>
      </c>
      <c r="E123" t="s">
        <v>1641</v>
      </c>
      <c r="F123">
        <f t="shared" ref="F123:Q128" si="35">VLOOKUP($E123,eq_table_cl,F$4,FALSE)</f>
        <v>0</v>
      </c>
      <c r="G123">
        <f t="shared" si="35"/>
        <v>0</v>
      </c>
      <c r="H123">
        <f t="shared" si="35"/>
        <v>0</v>
      </c>
      <c r="I123">
        <f t="shared" si="35"/>
        <v>0</v>
      </c>
      <c r="J123">
        <f t="shared" si="35"/>
        <v>0</v>
      </c>
      <c r="K123">
        <f t="shared" si="35"/>
        <v>0</v>
      </c>
      <c r="L123">
        <f t="shared" si="35"/>
        <v>0</v>
      </c>
      <c r="M123">
        <f t="shared" si="35"/>
        <v>23.867181313</v>
      </c>
      <c r="N123">
        <f t="shared" si="35"/>
        <v>53.974127154000001</v>
      </c>
      <c r="O123">
        <f t="shared" si="35"/>
        <v>43.165150769999997</v>
      </c>
      <c r="P123">
        <f t="shared" si="35"/>
        <v>12.1</v>
      </c>
      <c r="Q123">
        <f t="shared" si="35"/>
        <v>0</v>
      </c>
    </row>
    <row r="124" spans="1:17">
      <c r="A124" s="5" t="s">
        <v>3772</v>
      </c>
      <c r="B124" t="s">
        <v>1457</v>
      </c>
      <c r="C124" s="38">
        <f t="shared" si="32"/>
        <v>6355.9204678860006</v>
      </c>
      <c r="D124">
        <f>in_valve_size</f>
        <v>10</v>
      </c>
      <c r="E124" t="s">
        <v>1643</v>
      </c>
      <c r="F124">
        <f t="shared" si="35"/>
        <v>0</v>
      </c>
      <c r="G124">
        <f t="shared" si="35"/>
        <v>0</v>
      </c>
      <c r="H124">
        <f t="shared" si="35"/>
        <v>0</v>
      </c>
      <c r="I124">
        <f t="shared" si="35"/>
        <v>0</v>
      </c>
      <c r="J124">
        <f t="shared" si="35"/>
        <v>0</v>
      </c>
      <c r="K124">
        <f t="shared" si="35"/>
        <v>0</v>
      </c>
      <c r="L124">
        <f t="shared" si="35"/>
        <v>0</v>
      </c>
      <c r="M124">
        <f t="shared" si="35"/>
        <v>43.739370735000001</v>
      </c>
      <c r="N124">
        <f t="shared" si="35"/>
        <v>186.790998664</v>
      </c>
      <c r="O124">
        <f t="shared" si="35"/>
        <v>114.073407746</v>
      </c>
      <c r="P124">
        <f t="shared" si="35"/>
        <v>48.1</v>
      </c>
      <c r="Q124">
        <f t="shared" si="35"/>
        <v>0</v>
      </c>
    </row>
    <row r="125" spans="1:17">
      <c r="A125" s="5" t="s">
        <v>3773</v>
      </c>
      <c r="B125" t="s">
        <v>1458</v>
      </c>
      <c r="C125" s="38">
        <f t="shared" si="32"/>
        <v>8480.7544933100016</v>
      </c>
      <c r="D125">
        <f>in_valve_size</f>
        <v>10</v>
      </c>
      <c r="E125" t="s">
        <v>1645</v>
      </c>
      <c r="F125">
        <f t="shared" si="35"/>
        <v>0</v>
      </c>
      <c r="G125">
        <f t="shared" si="35"/>
        <v>0</v>
      </c>
      <c r="H125">
        <f t="shared" si="35"/>
        <v>0</v>
      </c>
      <c r="I125">
        <f t="shared" si="35"/>
        <v>0</v>
      </c>
      <c r="J125">
        <f t="shared" si="35"/>
        <v>0</v>
      </c>
      <c r="K125">
        <f t="shared" si="35"/>
        <v>0</v>
      </c>
      <c r="L125">
        <f t="shared" si="35"/>
        <v>3.240756524</v>
      </c>
      <c r="M125">
        <f t="shared" si="35"/>
        <v>50.118205304</v>
      </c>
      <c r="N125">
        <f t="shared" si="35"/>
        <v>-32.545647099999996</v>
      </c>
      <c r="O125">
        <f t="shared" si="35"/>
        <v>553.63390991000006</v>
      </c>
      <c r="P125">
        <f t="shared" si="35"/>
        <v>24.1</v>
      </c>
      <c r="Q125">
        <f t="shared" si="35"/>
        <v>2</v>
      </c>
    </row>
    <row r="126" spans="1:17">
      <c r="A126" s="5" t="s">
        <v>1918</v>
      </c>
      <c r="B126" t="s">
        <v>1927</v>
      </c>
      <c r="C126" s="38">
        <f t="shared" si="32"/>
        <v>0</v>
      </c>
      <c r="D126">
        <f>bypass_valve_size</f>
        <v>0</v>
      </c>
      <c r="E126" t="s">
        <v>1641</v>
      </c>
      <c r="F126">
        <f t="shared" si="35"/>
        <v>0</v>
      </c>
      <c r="G126">
        <f t="shared" si="35"/>
        <v>0</v>
      </c>
      <c r="H126">
        <f t="shared" si="35"/>
        <v>0</v>
      </c>
      <c r="I126">
        <f t="shared" si="35"/>
        <v>0</v>
      </c>
      <c r="J126">
        <f t="shared" si="35"/>
        <v>0</v>
      </c>
      <c r="K126">
        <f t="shared" si="35"/>
        <v>0</v>
      </c>
      <c r="L126">
        <f t="shared" si="35"/>
        <v>0</v>
      </c>
      <c r="M126">
        <f t="shared" si="35"/>
        <v>23.867181313</v>
      </c>
      <c r="N126">
        <f t="shared" si="35"/>
        <v>53.974127154000001</v>
      </c>
      <c r="O126">
        <f t="shared" si="35"/>
        <v>43.165150769999997</v>
      </c>
      <c r="P126">
        <f t="shared" si="35"/>
        <v>12.1</v>
      </c>
      <c r="Q126">
        <f t="shared" si="35"/>
        <v>0</v>
      </c>
    </row>
    <row r="127" spans="1:17">
      <c r="A127" s="5" t="s">
        <v>1920</v>
      </c>
      <c r="B127" t="s">
        <v>1928</v>
      </c>
      <c r="C127" s="38">
        <f t="shared" si="32"/>
        <v>0</v>
      </c>
      <c r="D127">
        <f>bypass_valve_size</f>
        <v>0</v>
      </c>
      <c r="E127" t="s">
        <v>1643</v>
      </c>
      <c r="F127">
        <f t="shared" si="35"/>
        <v>0</v>
      </c>
      <c r="G127">
        <f t="shared" si="35"/>
        <v>0</v>
      </c>
      <c r="H127">
        <f t="shared" si="35"/>
        <v>0</v>
      </c>
      <c r="I127">
        <f t="shared" si="35"/>
        <v>0</v>
      </c>
      <c r="J127">
        <f t="shared" si="35"/>
        <v>0</v>
      </c>
      <c r="K127">
        <f t="shared" si="35"/>
        <v>0</v>
      </c>
      <c r="L127">
        <f t="shared" si="35"/>
        <v>0</v>
      </c>
      <c r="M127">
        <f t="shared" si="35"/>
        <v>43.739370735000001</v>
      </c>
      <c r="N127">
        <f t="shared" si="35"/>
        <v>186.790998664</v>
      </c>
      <c r="O127">
        <f t="shared" si="35"/>
        <v>114.073407746</v>
      </c>
      <c r="P127">
        <f t="shared" si="35"/>
        <v>48.1</v>
      </c>
      <c r="Q127">
        <f t="shared" si="35"/>
        <v>0</v>
      </c>
    </row>
    <row r="128" spans="1:17">
      <c r="A128" s="5" t="s">
        <v>1922</v>
      </c>
      <c r="B128" t="s">
        <v>1929</v>
      </c>
      <c r="C128" s="38">
        <f t="shared" si="32"/>
        <v>0</v>
      </c>
      <c r="D128">
        <f>bypass_valve_size</f>
        <v>0</v>
      </c>
      <c r="E128" t="s">
        <v>1645</v>
      </c>
      <c r="F128">
        <f t="shared" si="35"/>
        <v>0</v>
      </c>
      <c r="G128">
        <f t="shared" si="35"/>
        <v>0</v>
      </c>
      <c r="H128">
        <f t="shared" si="35"/>
        <v>0</v>
      </c>
      <c r="I128">
        <f t="shared" si="35"/>
        <v>0</v>
      </c>
      <c r="J128">
        <f t="shared" si="35"/>
        <v>0</v>
      </c>
      <c r="K128">
        <f t="shared" si="35"/>
        <v>0</v>
      </c>
      <c r="L128">
        <f t="shared" si="35"/>
        <v>3.240756524</v>
      </c>
      <c r="M128">
        <f t="shared" si="35"/>
        <v>50.118205304</v>
      </c>
      <c r="N128">
        <f t="shared" si="35"/>
        <v>-32.545647099999996</v>
      </c>
      <c r="O128">
        <f t="shared" si="35"/>
        <v>553.63390991000006</v>
      </c>
      <c r="P128">
        <f t="shared" si="35"/>
        <v>24.1</v>
      </c>
      <c r="Q128">
        <f t="shared" si="35"/>
        <v>2</v>
      </c>
    </row>
    <row r="129" spans="1:17">
      <c r="A129" s="14" t="s">
        <v>715</v>
      </c>
    </row>
    <row r="130" spans="1:17">
      <c r="A130" s="11" t="s">
        <v>716</v>
      </c>
      <c r="B130" t="s">
        <v>2925</v>
      </c>
      <c r="C130" s="38">
        <f t="shared" ref="C130:C132" si="36">IF(D130=0,0,IF(OR(D130&gt;P130,D130&lt;Q130),"contact vendor",F130*D130^G130+H130*LN(D130)+I130+J130*EXP(K130*D130)+L130*D130^3+M130*D130^2+N130*D130+O130))</f>
        <v>29419.399557293564</v>
      </c>
      <c r="D130">
        <f>pump_rating</f>
        <v>1868.0555555555554</v>
      </c>
      <c r="E130" t="s">
        <v>2925</v>
      </c>
      <c r="F130">
        <f t="shared" ref="F130:Q132" si="37">VLOOKUP($E130,eq_table_cl,F$4,FALSE)</f>
        <v>0</v>
      </c>
      <c r="G130">
        <f t="shared" si="37"/>
        <v>0</v>
      </c>
      <c r="H130">
        <f t="shared" si="37"/>
        <v>0</v>
      </c>
      <c r="I130">
        <f t="shared" si="37"/>
        <v>0</v>
      </c>
      <c r="J130">
        <f t="shared" si="37"/>
        <v>0</v>
      </c>
      <c r="K130">
        <f t="shared" si="37"/>
        <v>0</v>
      </c>
      <c r="L130">
        <f t="shared" si="37"/>
        <v>0</v>
      </c>
      <c r="M130">
        <f t="shared" si="37"/>
        <v>-6.7002999999999995E-4</v>
      </c>
      <c r="N130">
        <f t="shared" si="37"/>
        <v>14.809014980000001</v>
      </c>
      <c r="O130">
        <f t="shared" si="37"/>
        <v>4093.494684836</v>
      </c>
      <c r="P130">
        <f t="shared" si="37"/>
        <v>10001</v>
      </c>
      <c r="Q130">
        <f t="shared" si="37"/>
        <v>0</v>
      </c>
    </row>
    <row r="131" spans="1:17">
      <c r="A131" s="11" t="s">
        <v>717</v>
      </c>
      <c r="B131" t="s">
        <v>1597</v>
      </c>
      <c r="C131" s="38">
        <f t="shared" si="36"/>
        <v>20602.109041098502</v>
      </c>
      <c r="D131">
        <f>back_pump_rating</f>
        <v>1177.5</v>
      </c>
      <c r="E131" t="s">
        <v>1646</v>
      </c>
      <c r="F131">
        <f t="shared" si="37"/>
        <v>0</v>
      </c>
      <c r="G131">
        <f t="shared" si="37"/>
        <v>0</v>
      </c>
      <c r="H131">
        <f t="shared" si="37"/>
        <v>0</v>
      </c>
      <c r="I131">
        <f t="shared" si="37"/>
        <v>0</v>
      </c>
      <c r="J131">
        <f t="shared" si="37"/>
        <v>0</v>
      </c>
      <c r="K131">
        <f t="shared" si="37"/>
        <v>0</v>
      </c>
      <c r="L131">
        <f t="shared" si="37"/>
        <v>0</v>
      </c>
      <c r="M131">
        <f t="shared" si="37"/>
        <v>-6.7002999999999995E-4</v>
      </c>
      <c r="N131">
        <f t="shared" si="37"/>
        <v>14.809014980000001</v>
      </c>
      <c r="O131">
        <f t="shared" si="37"/>
        <v>4093.494684836</v>
      </c>
      <c r="P131">
        <f t="shared" si="37"/>
        <v>10001</v>
      </c>
      <c r="Q131">
        <f t="shared" si="37"/>
        <v>0</v>
      </c>
    </row>
    <row r="132" spans="1:17">
      <c r="A132" s="83" t="s">
        <v>2601</v>
      </c>
      <c r="B132" t="s">
        <v>2602</v>
      </c>
      <c r="C132" s="38">
        <f t="shared" si="36"/>
        <v>4266.3954671906031</v>
      </c>
      <c r="D132">
        <f>res_pump_rating</f>
        <v>11.681547619047619</v>
      </c>
      <c r="E132" t="s">
        <v>2925</v>
      </c>
      <c r="F132">
        <f t="shared" si="37"/>
        <v>0</v>
      </c>
      <c r="G132">
        <f t="shared" si="37"/>
        <v>0</v>
      </c>
      <c r="H132">
        <f t="shared" si="37"/>
        <v>0</v>
      </c>
      <c r="I132">
        <f t="shared" si="37"/>
        <v>0</v>
      </c>
      <c r="J132">
        <f t="shared" si="37"/>
        <v>0</v>
      </c>
      <c r="K132">
        <f t="shared" si="37"/>
        <v>0</v>
      </c>
      <c r="L132">
        <f t="shared" si="37"/>
        <v>0</v>
      </c>
      <c r="M132">
        <f t="shared" si="37"/>
        <v>-6.7002999999999995E-4</v>
      </c>
      <c r="N132">
        <f t="shared" si="37"/>
        <v>14.809014980000001</v>
      </c>
      <c r="O132">
        <f t="shared" si="37"/>
        <v>4093.494684836</v>
      </c>
      <c r="P132">
        <f t="shared" si="37"/>
        <v>10001</v>
      </c>
      <c r="Q132">
        <f t="shared" si="37"/>
        <v>0</v>
      </c>
    </row>
    <row r="133" spans="1:17">
      <c r="A133" s="900" t="s">
        <v>3699</v>
      </c>
      <c r="C133" s="472"/>
    </row>
    <row r="134" spans="1:17">
      <c r="A134" s="31" t="s">
        <v>2313</v>
      </c>
      <c r="B134" s="5" t="s">
        <v>3700</v>
      </c>
      <c r="C134" s="38">
        <f t="shared" ref="C134:C135" si="38">IF(D134=0,0,IF(OR(D134&gt;P134,D134&lt;Q134),"contact vendor",F134*D134^G134+H134*LN(D134)+I134+J134*EXP(K134*D134)+L134*D134^3+M134*D134^2+N134*D134+O134))</f>
        <v>0</v>
      </c>
      <c r="D134">
        <f>cm_pump_rating_coag</f>
        <v>0</v>
      </c>
      <c r="E134" s="5" t="s">
        <v>2315</v>
      </c>
      <c r="F134">
        <f t="shared" ref="F134:Q135" si="39">VLOOKUP($E134,eq_table_cl,F$4,FALSE)</f>
        <v>0</v>
      </c>
      <c r="G134">
        <f t="shared" si="39"/>
        <v>0</v>
      </c>
      <c r="H134">
        <f t="shared" si="39"/>
        <v>0</v>
      </c>
      <c r="I134">
        <f t="shared" si="39"/>
        <v>0</v>
      </c>
      <c r="J134">
        <f t="shared" si="39"/>
        <v>0</v>
      </c>
      <c r="K134">
        <f t="shared" si="39"/>
        <v>0</v>
      </c>
      <c r="L134">
        <f t="shared" si="39"/>
        <v>5.8459699999999996E-4</v>
      </c>
      <c r="M134">
        <f t="shared" si="39"/>
        <v>-0.31291286000000001</v>
      </c>
      <c r="N134">
        <f t="shared" si="39"/>
        <v>58.800444323000001</v>
      </c>
      <c r="O134">
        <f t="shared" si="39"/>
        <v>3000.5306602579999</v>
      </c>
      <c r="P134">
        <f t="shared" si="39"/>
        <v>132.01</v>
      </c>
      <c r="Q134">
        <f t="shared" si="39"/>
        <v>0</v>
      </c>
    </row>
    <row r="135" spans="1:17">
      <c r="A135" s="31" t="s">
        <v>2319</v>
      </c>
      <c r="B135" s="5" t="s">
        <v>3701</v>
      </c>
      <c r="C135" s="38">
        <f t="shared" si="38"/>
        <v>0</v>
      </c>
      <c r="D135">
        <f>cm_pump_rating_coag</f>
        <v>0</v>
      </c>
      <c r="E135" s="5" t="s">
        <v>2321</v>
      </c>
      <c r="F135">
        <f t="shared" si="39"/>
        <v>0</v>
      </c>
      <c r="G135">
        <f t="shared" si="39"/>
        <v>0</v>
      </c>
      <c r="H135">
        <f t="shared" si="39"/>
        <v>0</v>
      </c>
      <c r="I135">
        <f t="shared" si="39"/>
        <v>0</v>
      </c>
      <c r="J135">
        <f t="shared" si="39"/>
        <v>1147.9723958510001</v>
      </c>
      <c r="K135">
        <f t="shared" si="39"/>
        <v>5.4740779000000003E-2</v>
      </c>
      <c r="L135">
        <f t="shared" si="39"/>
        <v>0</v>
      </c>
      <c r="M135">
        <f t="shared" si="39"/>
        <v>0</v>
      </c>
      <c r="N135">
        <f t="shared" si="39"/>
        <v>0</v>
      </c>
      <c r="O135">
        <f t="shared" si="39"/>
        <v>0</v>
      </c>
      <c r="P135">
        <f t="shared" si="39"/>
        <v>21.01</v>
      </c>
      <c r="Q135">
        <f t="shared" si="39"/>
        <v>0</v>
      </c>
    </row>
    <row r="136" spans="1:17">
      <c r="A136" s="83" t="s">
        <v>2329</v>
      </c>
      <c r="C136" s="472"/>
    </row>
    <row r="137" spans="1:17">
      <c r="A137" s="31" t="s">
        <v>2313</v>
      </c>
      <c r="B137" s="5" t="s">
        <v>2314</v>
      </c>
      <c r="C137" s="38">
        <f t="shared" ref="C137:C140" si="40">IF(D137=0,0,IF(OR(D137&gt;P137,D137&lt;Q137),"contact vendor",F137*D137^G137+H137*LN(D137)+I137+J137*EXP(K137*D137)+L137*D137^3+M137*D137^2+N137*D137+O137))</f>
        <v>0</v>
      </c>
      <c r="D137">
        <f>cm_pump_rating_polymer</f>
        <v>0</v>
      </c>
      <c r="E137" s="5" t="s">
        <v>2315</v>
      </c>
      <c r="F137">
        <f t="shared" ref="F137:Q140" si="41">VLOOKUP($E137,eq_table_cl,F$4,FALSE)</f>
        <v>0</v>
      </c>
      <c r="G137">
        <f t="shared" si="41"/>
        <v>0</v>
      </c>
      <c r="H137">
        <f t="shared" si="41"/>
        <v>0</v>
      </c>
      <c r="I137">
        <f t="shared" si="41"/>
        <v>0</v>
      </c>
      <c r="J137">
        <f t="shared" si="41"/>
        <v>0</v>
      </c>
      <c r="K137">
        <f t="shared" si="41"/>
        <v>0</v>
      </c>
      <c r="L137">
        <f t="shared" si="41"/>
        <v>5.8459699999999996E-4</v>
      </c>
      <c r="M137">
        <f t="shared" si="41"/>
        <v>-0.31291286000000001</v>
      </c>
      <c r="N137">
        <f t="shared" si="41"/>
        <v>58.800444323000001</v>
      </c>
      <c r="O137">
        <f t="shared" si="41"/>
        <v>3000.5306602579999</v>
      </c>
      <c r="P137">
        <f t="shared" si="41"/>
        <v>132.01</v>
      </c>
      <c r="Q137">
        <f t="shared" si="41"/>
        <v>0</v>
      </c>
    </row>
    <row r="138" spans="1:17">
      <c r="A138" s="31" t="s">
        <v>2316</v>
      </c>
      <c r="B138" s="5" t="s">
        <v>2317</v>
      </c>
      <c r="C138" s="38">
        <f t="shared" si="40"/>
        <v>0</v>
      </c>
      <c r="D138">
        <f>cm_pump_rating_polymer</f>
        <v>0</v>
      </c>
      <c r="E138" s="5" t="s">
        <v>2318</v>
      </c>
      <c r="F138">
        <f t="shared" si="41"/>
        <v>0</v>
      </c>
      <c r="G138">
        <f t="shared" si="41"/>
        <v>0</v>
      </c>
      <c r="H138">
        <f t="shared" si="41"/>
        <v>0</v>
      </c>
      <c r="I138">
        <f t="shared" si="41"/>
        <v>0</v>
      </c>
      <c r="J138">
        <f t="shared" si="41"/>
        <v>0</v>
      </c>
      <c r="K138">
        <f t="shared" si="41"/>
        <v>0</v>
      </c>
      <c r="L138">
        <f t="shared" si="41"/>
        <v>0</v>
      </c>
      <c r="M138">
        <f t="shared" si="41"/>
        <v>-0.19761578099999999</v>
      </c>
      <c r="N138">
        <f t="shared" si="41"/>
        <v>60.928056216999998</v>
      </c>
      <c r="O138">
        <f t="shared" si="41"/>
        <v>3430.8004552430002</v>
      </c>
      <c r="P138">
        <f t="shared" si="41"/>
        <v>132.01</v>
      </c>
      <c r="Q138">
        <f t="shared" si="41"/>
        <v>0</v>
      </c>
    </row>
    <row r="139" spans="1:17">
      <c r="A139" s="31" t="s">
        <v>2319</v>
      </c>
      <c r="B139" s="5" t="s">
        <v>2320</v>
      </c>
      <c r="C139" s="38">
        <f t="shared" si="40"/>
        <v>0</v>
      </c>
      <c r="D139">
        <f>cm_pump_rating_polymer</f>
        <v>0</v>
      </c>
      <c r="E139" s="5" t="s">
        <v>2321</v>
      </c>
      <c r="F139">
        <f t="shared" si="41"/>
        <v>0</v>
      </c>
      <c r="G139">
        <f t="shared" si="41"/>
        <v>0</v>
      </c>
      <c r="H139">
        <f t="shared" si="41"/>
        <v>0</v>
      </c>
      <c r="I139">
        <f t="shared" si="41"/>
        <v>0</v>
      </c>
      <c r="J139">
        <f t="shared" si="41"/>
        <v>1147.9723958510001</v>
      </c>
      <c r="K139">
        <f t="shared" si="41"/>
        <v>5.4740779000000003E-2</v>
      </c>
      <c r="L139">
        <f t="shared" si="41"/>
        <v>0</v>
      </c>
      <c r="M139">
        <f t="shared" si="41"/>
        <v>0</v>
      </c>
      <c r="N139">
        <f t="shared" si="41"/>
        <v>0</v>
      </c>
      <c r="O139">
        <f t="shared" si="41"/>
        <v>0</v>
      </c>
      <c r="P139">
        <f t="shared" si="41"/>
        <v>21.01</v>
      </c>
      <c r="Q139">
        <f t="shared" si="41"/>
        <v>0</v>
      </c>
    </row>
    <row r="140" spans="1:17">
      <c r="A140" s="31" t="s">
        <v>2322</v>
      </c>
      <c r="B140" s="5" t="s">
        <v>2323</v>
      </c>
      <c r="C140" s="38">
        <f t="shared" si="40"/>
        <v>0</v>
      </c>
      <c r="D140">
        <f>cm_pump_rating_polymer</f>
        <v>0</v>
      </c>
      <c r="E140" s="5" t="s">
        <v>2324</v>
      </c>
      <c r="F140">
        <f t="shared" si="41"/>
        <v>2305.9222008940001</v>
      </c>
      <c r="G140">
        <f t="shared" si="41"/>
        <v>0.140989643</v>
      </c>
      <c r="H140">
        <f t="shared" si="41"/>
        <v>0</v>
      </c>
      <c r="I140">
        <f t="shared" si="41"/>
        <v>0</v>
      </c>
      <c r="J140">
        <f t="shared" si="41"/>
        <v>0</v>
      </c>
      <c r="K140">
        <f t="shared" si="41"/>
        <v>0</v>
      </c>
      <c r="L140">
        <f t="shared" si="41"/>
        <v>0</v>
      </c>
      <c r="M140">
        <f t="shared" si="41"/>
        <v>0</v>
      </c>
      <c r="N140">
        <f t="shared" si="41"/>
        <v>0</v>
      </c>
      <c r="O140">
        <f t="shared" si="41"/>
        <v>0</v>
      </c>
      <c r="P140">
        <f t="shared" si="41"/>
        <v>21.01</v>
      </c>
      <c r="Q140">
        <f t="shared" si="41"/>
        <v>0</v>
      </c>
    </row>
    <row r="141" spans="1:17">
      <c r="A141" s="14" t="s">
        <v>718</v>
      </c>
    </row>
    <row r="142" spans="1:17">
      <c r="A142" s="83" t="s">
        <v>3770</v>
      </c>
    </row>
    <row r="143" spans="1:17">
      <c r="A143" s="5" t="s">
        <v>65</v>
      </c>
      <c r="B143" t="s">
        <v>2649</v>
      </c>
      <c r="C143" s="38">
        <f t="shared" ref="C143:C146" si="42">IF(D143=0,0,IF(OR(D143&gt;P143,D143&lt;Q143),"contact vendor",F143*D143^G143+H143*LN(D143)+I143+J143*EXP(K143*D143)+L143*D143^3+M143*D143^2+N143*D143+O143))</f>
        <v>4626.8161419190001</v>
      </c>
      <c r="D143">
        <f>in_meter_size</f>
        <v>10</v>
      </c>
      <c r="E143" t="s">
        <v>2650</v>
      </c>
      <c r="F143">
        <f t="shared" ref="F143:Q146" si="43">VLOOKUP($E143,eq_table_cl,F$4,FALSE)</f>
        <v>0</v>
      </c>
      <c r="G143">
        <f t="shared" si="43"/>
        <v>0</v>
      </c>
      <c r="H143">
        <f t="shared" si="43"/>
        <v>0</v>
      </c>
      <c r="I143">
        <f t="shared" si="43"/>
        <v>0</v>
      </c>
      <c r="J143">
        <f t="shared" si="43"/>
        <v>0</v>
      </c>
      <c r="K143">
        <f t="shared" si="43"/>
        <v>0</v>
      </c>
      <c r="L143">
        <f t="shared" si="43"/>
        <v>0.290528801</v>
      </c>
      <c r="M143">
        <f t="shared" si="43"/>
        <v>-20.141018838000001</v>
      </c>
      <c r="N143">
        <f t="shared" si="43"/>
        <v>567.62280550399998</v>
      </c>
      <c r="O143">
        <f t="shared" si="43"/>
        <v>674.16116967899995</v>
      </c>
      <c r="P143">
        <f t="shared" si="43"/>
        <v>60.1</v>
      </c>
      <c r="Q143">
        <f t="shared" si="43"/>
        <v>0</v>
      </c>
    </row>
    <row r="144" spans="1:17">
      <c r="A144" s="5" t="s">
        <v>66</v>
      </c>
      <c r="B144" t="s">
        <v>67</v>
      </c>
      <c r="C144" s="38">
        <f t="shared" si="42"/>
        <v>6008.2861197009997</v>
      </c>
      <c r="D144">
        <f>in_meter_size</f>
        <v>10</v>
      </c>
      <c r="E144" t="s">
        <v>68</v>
      </c>
      <c r="F144">
        <f t="shared" si="43"/>
        <v>0</v>
      </c>
      <c r="G144">
        <f t="shared" si="43"/>
        <v>0</v>
      </c>
      <c r="H144">
        <f t="shared" si="43"/>
        <v>0</v>
      </c>
      <c r="I144">
        <f t="shared" si="43"/>
        <v>0</v>
      </c>
      <c r="J144">
        <f t="shared" si="43"/>
        <v>0</v>
      </c>
      <c r="K144">
        <f t="shared" si="43"/>
        <v>0</v>
      </c>
      <c r="L144">
        <f t="shared" si="43"/>
        <v>0.48667437299999999</v>
      </c>
      <c r="M144">
        <f t="shared" si="43"/>
        <v>-19.177375645000001</v>
      </c>
      <c r="N144">
        <f t="shared" si="43"/>
        <v>593.88035160699997</v>
      </c>
      <c r="O144">
        <f t="shared" si="43"/>
        <v>1500.545795131</v>
      </c>
      <c r="P144">
        <f t="shared" si="43"/>
        <v>36.1</v>
      </c>
      <c r="Q144">
        <f t="shared" si="43"/>
        <v>0</v>
      </c>
    </row>
    <row r="145" spans="1:17">
      <c r="A145" s="5" t="s">
        <v>69</v>
      </c>
      <c r="B145" t="s">
        <v>70</v>
      </c>
      <c r="C145" s="38">
        <f t="shared" si="42"/>
        <v>4013.0326495740001</v>
      </c>
      <c r="D145">
        <f>in_meter_size</f>
        <v>10</v>
      </c>
      <c r="E145" t="s">
        <v>71</v>
      </c>
      <c r="F145">
        <f t="shared" si="43"/>
        <v>0</v>
      </c>
      <c r="G145">
        <f t="shared" si="43"/>
        <v>0</v>
      </c>
      <c r="H145">
        <f t="shared" si="43"/>
        <v>0</v>
      </c>
      <c r="I145">
        <f t="shared" si="43"/>
        <v>0</v>
      </c>
      <c r="J145">
        <f t="shared" si="43"/>
        <v>0</v>
      </c>
      <c r="K145">
        <f t="shared" si="43"/>
        <v>0</v>
      </c>
      <c r="L145">
        <f t="shared" si="43"/>
        <v>-8.9659137E-2</v>
      </c>
      <c r="M145">
        <f t="shared" si="43"/>
        <v>7.3814192910000003</v>
      </c>
      <c r="N145">
        <f t="shared" si="43"/>
        <v>135.40877886999999</v>
      </c>
      <c r="O145">
        <f t="shared" si="43"/>
        <v>2010.462068774</v>
      </c>
      <c r="P145">
        <f t="shared" si="43"/>
        <v>48.1</v>
      </c>
      <c r="Q145">
        <f t="shared" si="43"/>
        <v>0</v>
      </c>
    </row>
    <row r="146" spans="1:17">
      <c r="A146" s="5" t="s">
        <v>72</v>
      </c>
      <c r="B146" t="s">
        <v>73</v>
      </c>
      <c r="C146" s="38">
        <f t="shared" si="42"/>
        <v>8445.7466193210003</v>
      </c>
      <c r="D146">
        <f>in_meter_size</f>
        <v>10</v>
      </c>
      <c r="E146" t="s">
        <v>74</v>
      </c>
      <c r="F146">
        <f t="shared" si="43"/>
        <v>0</v>
      </c>
      <c r="G146">
        <f t="shared" si="43"/>
        <v>0</v>
      </c>
      <c r="H146">
        <f t="shared" si="43"/>
        <v>0</v>
      </c>
      <c r="I146">
        <f t="shared" si="43"/>
        <v>0</v>
      </c>
      <c r="J146">
        <f t="shared" si="43"/>
        <v>0</v>
      </c>
      <c r="K146">
        <f t="shared" si="43"/>
        <v>0</v>
      </c>
      <c r="L146">
        <f t="shared" si="43"/>
        <v>8.7416773000000003E-2</v>
      </c>
      <c r="M146">
        <f t="shared" si="43"/>
        <v>3.727367106</v>
      </c>
      <c r="N146">
        <f t="shared" si="43"/>
        <v>488.19409208000002</v>
      </c>
      <c r="O146">
        <f t="shared" si="43"/>
        <v>3103.652214921</v>
      </c>
      <c r="P146">
        <f t="shared" si="43"/>
        <v>36.1</v>
      </c>
      <c r="Q146">
        <f t="shared" si="43"/>
        <v>0</v>
      </c>
    </row>
    <row r="147" spans="1:17">
      <c r="A147" s="83" t="s">
        <v>75</v>
      </c>
    </row>
    <row r="148" spans="1:17">
      <c r="A148" s="5" t="s">
        <v>65</v>
      </c>
      <c r="B148" t="s">
        <v>2697</v>
      </c>
      <c r="C148" s="38">
        <f t="shared" ref="C148:C151" si="44">IF(D148=0,0,IF(OR(D148&gt;P148,D148&lt;Q148),"contact vendor",F148*D148^G148+H148*LN(D148)+I148+J148*EXP(K148*D148)+L148*D148^3+M148*D148^2+N148*D148+O148))</f>
        <v>4074.8691541909998</v>
      </c>
      <c r="D148">
        <f>proc_meter_size</f>
        <v>8</v>
      </c>
      <c r="E148" t="s">
        <v>2650</v>
      </c>
      <c r="F148">
        <f t="shared" ref="F148:Q151" si="45">VLOOKUP($E148,eq_table_cl,F$4,FALSE)</f>
        <v>0</v>
      </c>
      <c r="G148">
        <f t="shared" si="45"/>
        <v>0</v>
      </c>
      <c r="H148">
        <f t="shared" si="45"/>
        <v>0</v>
      </c>
      <c r="I148">
        <f t="shared" si="45"/>
        <v>0</v>
      </c>
      <c r="J148">
        <f t="shared" si="45"/>
        <v>0</v>
      </c>
      <c r="K148">
        <f t="shared" si="45"/>
        <v>0</v>
      </c>
      <c r="L148">
        <f t="shared" si="45"/>
        <v>0.290528801</v>
      </c>
      <c r="M148">
        <f t="shared" si="45"/>
        <v>-20.141018838000001</v>
      </c>
      <c r="N148">
        <f t="shared" si="45"/>
        <v>567.62280550399998</v>
      </c>
      <c r="O148">
        <f t="shared" si="45"/>
        <v>674.16116967899995</v>
      </c>
      <c r="P148">
        <f t="shared" si="45"/>
        <v>60.1</v>
      </c>
      <c r="Q148">
        <f t="shared" si="45"/>
        <v>0</v>
      </c>
    </row>
    <row r="149" spans="1:17">
      <c r="A149" s="5" t="s">
        <v>66</v>
      </c>
      <c r="B149" t="s">
        <v>76</v>
      </c>
      <c r="C149" s="38">
        <f t="shared" si="44"/>
        <v>5273.4138456829996</v>
      </c>
      <c r="D149">
        <f>proc_meter_size</f>
        <v>8</v>
      </c>
      <c r="E149" t="s">
        <v>68</v>
      </c>
      <c r="F149">
        <f t="shared" si="45"/>
        <v>0</v>
      </c>
      <c r="G149">
        <f t="shared" si="45"/>
        <v>0</v>
      </c>
      <c r="H149">
        <f t="shared" si="45"/>
        <v>0</v>
      </c>
      <c r="I149">
        <f t="shared" si="45"/>
        <v>0</v>
      </c>
      <c r="J149">
        <f t="shared" si="45"/>
        <v>0</v>
      </c>
      <c r="K149">
        <f t="shared" si="45"/>
        <v>0</v>
      </c>
      <c r="L149">
        <f t="shared" si="45"/>
        <v>0.48667437299999999</v>
      </c>
      <c r="M149">
        <f t="shared" si="45"/>
        <v>-19.177375645000001</v>
      </c>
      <c r="N149">
        <f t="shared" si="45"/>
        <v>593.88035160699997</v>
      </c>
      <c r="O149">
        <f t="shared" si="45"/>
        <v>1500.545795131</v>
      </c>
      <c r="P149">
        <f t="shared" si="45"/>
        <v>36.1</v>
      </c>
      <c r="Q149">
        <f t="shared" si="45"/>
        <v>0</v>
      </c>
    </row>
    <row r="150" spans="1:17">
      <c r="A150" s="5" t="s">
        <v>69</v>
      </c>
      <c r="B150" t="s">
        <v>77</v>
      </c>
      <c r="C150" s="38">
        <f t="shared" si="44"/>
        <v>3520.2376562139998</v>
      </c>
      <c r="D150">
        <f>proc_meter_size</f>
        <v>8</v>
      </c>
      <c r="E150" t="s">
        <v>71</v>
      </c>
      <c r="F150">
        <f t="shared" si="45"/>
        <v>0</v>
      </c>
      <c r="G150">
        <f t="shared" si="45"/>
        <v>0</v>
      </c>
      <c r="H150">
        <f t="shared" si="45"/>
        <v>0</v>
      </c>
      <c r="I150">
        <f t="shared" si="45"/>
        <v>0</v>
      </c>
      <c r="J150">
        <f t="shared" si="45"/>
        <v>0</v>
      </c>
      <c r="K150">
        <f t="shared" si="45"/>
        <v>0</v>
      </c>
      <c r="L150">
        <f t="shared" si="45"/>
        <v>-8.9659137E-2</v>
      </c>
      <c r="M150">
        <f t="shared" si="45"/>
        <v>7.3814192910000003</v>
      </c>
      <c r="N150">
        <f t="shared" si="45"/>
        <v>135.40877886999999</v>
      </c>
      <c r="O150">
        <f t="shared" si="45"/>
        <v>2010.462068774</v>
      </c>
      <c r="P150">
        <f t="shared" si="45"/>
        <v>48.1</v>
      </c>
      <c r="Q150">
        <f t="shared" si="45"/>
        <v>0</v>
      </c>
    </row>
    <row r="151" spans="1:17">
      <c r="A151" s="5" t="s">
        <v>72</v>
      </c>
      <c r="B151" t="s">
        <v>78</v>
      </c>
      <c r="C151" s="38">
        <f t="shared" si="44"/>
        <v>7292.5138341210004</v>
      </c>
      <c r="D151">
        <f>proc_meter_size</f>
        <v>8</v>
      </c>
      <c r="E151" t="s">
        <v>74</v>
      </c>
      <c r="F151">
        <f t="shared" si="45"/>
        <v>0</v>
      </c>
      <c r="G151">
        <f t="shared" si="45"/>
        <v>0</v>
      </c>
      <c r="H151">
        <f t="shared" si="45"/>
        <v>0</v>
      </c>
      <c r="I151">
        <f t="shared" si="45"/>
        <v>0</v>
      </c>
      <c r="J151">
        <f t="shared" si="45"/>
        <v>0</v>
      </c>
      <c r="K151">
        <f t="shared" si="45"/>
        <v>0</v>
      </c>
      <c r="L151">
        <f t="shared" si="45"/>
        <v>8.7416773000000003E-2</v>
      </c>
      <c r="M151">
        <f t="shared" si="45"/>
        <v>3.727367106</v>
      </c>
      <c r="N151">
        <f t="shared" si="45"/>
        <v>488.19409208000002</v>
      </c>
      <c r="O151">
        <f t="shared" si="45"/>
        <v>3103.652214921</v>
      </c>
      <c r="P151">
        <f t="shared" si="45"/>
        <v>36.1</v>
      </c>
      <c r="Q151">
        <f t="shared" si="45"/>
        <v>0</v>
      </c>
    </row>
    <row r="152" spans="1:17">
      <c r="A152" s="83" t="s">
        <v>79</v>
      </c>
      <c r="C152" s="38"/>
    </row>
    <row r="153" spans="1:17">
      <c r="A153" s="5" t="s">
        <v>65</v>
      </c>
      <c r="B153" t="s">
        <v>1757</v>
      </c>
      <c r="C153" s="38">
        <f t="shared" ref="C153:C156" si="46">IF(D153=0,0,IF(OR(D153&gt;P153,D153&lt;Q153),"contact vendor",F153*D153^G153+H153*LN(D153)+I153+J153*EXP(K153*D153)+L153*D153^3+M153*D153^2+N153*D153+O153))</f>
        <v>4074.8691541909998</v>
      </c>
      <c r="D153">
        <f>back_meter_size</f>
        <v>8</v>
      </c>
      <c r="E153" t="s">
        <v>2650</v>
      </c>
      <c r="F153">
        <f t="shared" ref="F153:Q156" si="47">VLOOKUP($E153,eq_table_cl,F$4,FALSE)</f>
        <v>0</v>
      </c>
      <c r="G153">
        <f t="shared" si="47"/>
        <v>0</v>
      </c>
      <c r="H153">
        <f t="shared" si="47"/>
        <v>0</v>
      </c>
      <c r="I153">
        <f t="shared" si="47"/>
        <v>0</v>
      </c>
      <c r="J153">
        <f t="shared" si="47"/>
        <v>0</v>
      </c>
      <c r="K153">
        <f t="shared" si="47"/>
        <v>0</v>
      </c>
      <c r="L153">
        <f t="shared" si="47"/>
        <v>0.290528801</v>
      </c>
      <c r="M153">
        <f t="shared" si="47"/>
        <v>-20.141018838000001</v>
      </c>
      <c r="N153">
        <f t="shared" si="47"/>
        <v>567.62280550399998</v>
      </c>
      <c r="O153">
        <f t="shared" si="47"/>
        <v>674.16116967899995</v>
      </c>
      <c r="P153">
        <f t="shared" si="47"/>
        <v>60.1</v>
      </c>
      <c r="Q153">
        <f t="shared" si="47"/>
        <v>0</v>
      </c>
    </row>
    <row r="154" spans="1:17">
      <c r="A154" s="5" t="s">
        <v>66</v>
      </c>
      <c r="B154" t="s">
        <v>80</v>
      </c>
      <c r="C154" s="38">
        <f t="shared" si="46"/>
        <v>5273.4138456829996</v>
      </c>
      <c r="D154">
        <f>back_meter_size</f>
        <v>8</v>
      </c>
      <c r="E154" t="s">
        <v>68</v>
      </c>
      <c r="F154">
        <f t="shared" si="47"/>
        <v>0</v>
      </c>
      <c r="G154">
        <f t="shared" si="47"/>
        <v>0</v>
      </c>
      <c r="H154">
        <f t="shared" si="47"/>
        <v>0</v>
      </c>
      <c r="I154">
        <f t="shared" si="47"/>
        <v>0</v>
      </c>
      <c r="J154">
        <f t="shared" si="47"/>
        <v>0</v>
      </c>
      <c r="K154">
        <f t="shared" si="47"/>
        <v>0</v>
      </c>
      <c r="L154">
        <f t="shared" si="47"/>
        <v>0.48667437299999999</v>
      </c>
      <c r="M154">
        <f t="shared" si="47"/>
        <v>-19.177375645000001</v>
      </c>
      <c r="N154">
        <f t="shared" si="47"/>
        <v>593.88035160699997</v>
      </c>
      <c r="O154">
        <f t="shared" si="47"/>
        <v>1500.545795131</v>
      </c>
      <c r="P154">
        <f t="shared" si="47"/>
        <v>36.1</v>
      </c>
      <c r="Q154">
        <f t="shared" si="47"/>
        <v>0</v>
      </c>
    </row>
    <row r="155" spans="1:17">
      <c r="A155" s="5" t="s">
        <v>69</v>
      </c>
      <c r="B155" t="s">
        <v>81</v>
      </c>
      <c r="C155" s="38">
        <f t="shared" si="46"/>
        <v>3520.2376562139998</v>
      </c>
      <c r="D155">
        <f>back_meter_size</f>
        <v>8</v>
      </c>
      <c r="E155" t="s">
        <v>71</v>
      </c>
      <c r="F155">
        <f t="shared" si="47"/>
        <v>0</v>
      </c>
      <c r="G155">
        <f t="shared" si="47"/>
        <v>0</v>
      </c>
      <c r="H155">
        <f t="shared" si="47"/>
        <v>0</v>
      </c>
      <c r="I155">
        <f t="shared" si="47"/>
        <v>0</v>
      </c>
      <c r="J155">
        <f t="shared" si="47"/>
        <v>0</v>
      </c>
      <c r="K155">
        <f t="shared" si="47"/>
        <v>0</v>
      </c>
      <c r="L155">
        <f t="shared" si="47"/>
        <v>-8.9659137E-2</v>
      </c>
      <c r="M155">
        <f t="shared" si="47"/>
        <v>7.3814192910000003</v>
      </c>
      <c r="N155">
        <f t="shared" si="47"/>
        <v>135.40877886999999</v>
      </c>
      <c r="O155">
        <f t="shared" si="47"/>
        <v>2010.462068774</v>
      </c>
      <c r="P155">
        <f t="shared" si="47"/>
        <v>48.1</v>
      </c>
      <c r="Q155">
        <f t="shared" si="47"/>
        <v>0</v>
      </c>
    </row>
    <row r="156" spans="1:17">
      <c r="A156" s="5" t="s">
        <v>72</v>
      </c>
      <c r="B156" t="s">
        <v>82</v>
      </c>
      <c r="C156" s="38">
        <f t="shared" si="46"/>
        <v>7292.5138341210004</v>
      </c>
      <c r="D156">
        <f>back_meter_size</f>
        <v>8</v>
      </c>
      <c r="E156" t="s">
        <v>74</v>
      </c>
      <c r="F156">
        <f t="shared" si="47"/>
        <v>0</v>
      </c>
      <c r="G156">
        <f t="shared" si="47"/>
        <v>0</v>
      </c>
      <c r="H156">
        <f t="shared" si="47"/>
        <v>0</v>
      </c>
      <c r="I156">
        <f t="shared" si="47"/>
        <v>0</v>
      </c>
      <c r="J156">
        <f t="shared" si="47"/>
        <v>0</v>
      </c>
      <c r="K156">
        <f t="shared" si="47"/>
        <v>0</v>
      </c>
      <c r="L156">
        <f t="shared" si="47"/>
        <v>8.7416773000000003E-2</v>
      </c>
      <c r="M156">
        <f t="shared" si="47"/>
        <v>3.727367106</v>
      </c>
      <c r="N156">
        <f t="shared" si="47"/>
        <v>488.19409208000002</v>
      </c>
      <c r="O156">
        <f t="shared" si="47"/>
        <v>3103.652214921</v>
      </c>
      <c r="P156">
        <f t="shared" si="47"/>
        <v>36.1</v>
      </c>
      <c r="Q156">
        <f t="shared" si="47"/>
        <v>0</v>
      </c>
    </row>
    <row r="157" spans="1:17">
      <c r="A157" s="83" t="s">
        <v>83</v>
      </c>
    </row>
    <row r="158" spans="1:17">
      <c r="A158" s="5" t="s">
        <v>65</v>
      </c>
      <c r="B158" t="s">
        <v>2603</v>
      </c>
      <c r="C158" s="38">
        <f t="shared" ref="C158:C161" si="48">IF(D158=0,0,IF(OR(D158&gt;P158,D158&lt;Q158),"contact vendor",F158*D158^G158+H158*LN(D158)+I158+J158*EXP(K158*D158)+L158*D158^3+M158*D158^2+N158*D158+O158))</f>
        <v>1481.2586202528748</v>
      </c>
      <c r="D158">
        <f>res_meter_size</f>
        <v>1.5</v>
      </c>
      <c r="E158" t="s">
        <v>2650</v>
      </c>
      <c r="F158">
        <f t="shared" ref="F158:Q161" si="49">VLOOKUP($E158,eq_table_cl,F$4,FALSE)</f>
        <v>0</v>
      </c>
      <c r="G158">
        <f t="shared" si="49"/>
        <v>0</v>
      </c>
      <c r="H158">
        <f t="shared" si="49"/>
        <v>0</v>
      </c>
      <c r="I158">
        <f t="shared" si="49"/>
        <v>0</v>
      </c>
      <c r="J158">
        <f t="shared" si="49"/>
        <v>0</v>
      </c>
      <c r="K158">
        <f t="shared" si="49"/>
        <v>0</v>
      </c>
      <c r="L158">
        <f t="shared" si="49"/>
        <v>0.290528801</v>
      </c>
      <c r="M158">
        <f t="shared" si="49"/>
        <v>-20.141018838000001</v>
      </c>
      <c r="N158">
        <f t="shared" si="49"/>
        <v>567.62280550399998</v>
      </c>
      <c r="O158">
        <f t="shared" si="49"/>
        <v>674.16116967899995</v>
      </c>
      <c r="P158">
        <f t="shared" si="49"/>
        <v>60.1</v>
      </c>
      <c r="Q158">
        <f t="shared" si="49"/>
        <v>0</v>
      </c>
    </row>
    <row r="159" spans="1:17">
      <c r="A159" s="5" t="s">
        <v>66</v>
      </c>
      <c r="B159" t="s">
        <v>84</v>
      </c>
      <c r="C159" s="38">
        <f t="shared" si="48"/>
        <v>2349.8597533491247</v>
      </c>
      <c r="D159">
        <f>res_meter_size</f>
        <v>1.5</v>
      </c>
      <c r="E159" t="s">
        <v>68</v>
      </c>
      <c r="F159">
        <f t="shared" si="49"/>
        <v>0</v>
      </c>
      <c r="G159">
        <f t="shared" si="49"/>
        <v>0</v>
      </c>
      <c r="H159">
        <f t="shared" si="49"/>
        <v>0</v>
      </c>
      <c r="I159">
        <f t="shared" si="49"/>
        <v>0</v>
      </c>
      <c r="J159">
        <f t="shared" si="49"/>
        <v>0</v>
      </c>
      <c r="K159">
        <f t="shared" si="49"/>
        <v>0</v>
      </c>
      <c r="L159">
        <f t="shared" si="49"/>
        <v>0.48667437299999999</v>
      </c>
      <c r="M159">
        <f t="shared" si="49"/>
        <v>-19.177375645000001</v>
      </c>
      <c r="N159">
        <f t="shared" si="49"/>
        <v>593.88035160699997</v>
      </c>
      <c r="O159">
        <f t="shared" si="49"/>
        <v>1500.545795131</v>
      </c>
      <c r="P159">
        <f t="shared" si="49"/>
        <v>36.1</v>
      </c>
      <c r="Q159">
        <f t="shared" si="49"/>
        <v>0</v>
      </c>
    </row>
    <row r="160" spans="1:17">
      <c r="A160" s="5" t="s">
        <v>69</v>
      </c>
      <c r="B160" t="s">
        <v>85</v>
      </c>
      <c r="C160" s="38">
        <f t="shared" si="48"/>
        <v>2229.8808308963748</v>
      </c>
      <c r="D160">
        <f>res_meter_size</f>
        <v>1.5</v>
      </c>
      <c r="E160" t="s">
        <v>71</v>
      </c>
      <c r="F160">
        <f t="shared" si="49"/>
        <v>0</v>
      </c>
      <c r="G160">
        <f t="shared" si="49"/>
        <v>0</v>
      </c>
      <c r="H160">
        <f t="shared" si="49"/>
        <v>0</v>
      </c>
      <c r="I160">
        <f t="shared" si="49"/>
        <v>0</v>
      </c>
      <c r="J160">
        <f t="shared" si="49"/>
        <v>0</v>
      </c>
      <c r="K160">
        <f t="shared" si="49"/>
        <v>0</v>
      </c>
      <c r="L160">
        <f t="shared" si="49"/>
        <v>-8.9659137E-2</v>
      </c>
      <c r="M160">
        <f t="shared" si="49"/>
        <v>7.3814192910000003</v>
      </c>
      <c r="N160">
        <f t="shared" si="49"/>
        <v>135.40877886999999</v>
      </c>
      <c r="O160">
        <f t="shared" si="49"/>
        <v>2010.462068774</v>
      </c>
      <c r="P160">
        <f t="shared" si="49"/>
        <v>48.1</v>
      </c>
      <c r="Q160">
        <f t="shared" si="49"/>
        <v>0</v>
      </c>
    </row>
    <row r="161" spans="1:17">
      <c r="A161" s="5" t="s">
        <v>72</v>
      </c>
      <c r="B161" t="s">
        <v>86</v>
      </c>
      <c r="C161" s="38">
        <f t="shared" si="48"/>
        <v>3844.6249606383749</v>
      </c>
      <c r="D161">
        <f>res_meter_size</f>
        <v>1.5</v>
      </c>
      <c r="E161" t="s">
        <v>74</v>
      </c>
      <c r="F161">
        <f t="shared" si="49"/>
        <v>0</v>
      </c>
      <c r="G161">
        <f t="shared" si="49"/>
        <v>0</v>
      </c>
      <c r="H161">
        <f t="shared" si="49"/>
        <v>0</v>
      </c>
      <c r="I161">
        <f t="shared" si="49"/>
        <v>0</v>
      </c>
      <c r="J161">
        <f t="shared" si="49"/>
        <v>0</v>
      </c>
      <c r="K161">
        <f t="shared" si="49"/>
        <v>0</v>
      </c>
      <c r="L161">
        <f t="shared" si="49"/>
        <v>8.7416773000000003E-2</v>
      </c>
      <c r="M161">
        <f t="shared" si="49"/>
        <v>3.727367106</v>
      </c>
      <c r="N161">
        <f t="shared" si="49"/>
        <v>488.19409208000002</v>
      </c>
      <c r="O161">
        <f t="shared" si="49"/>
        <v>3103.652214921</v>
      </c>
      <c r="P161">
        <f t="shared" si="49"/>
        <v>36.1</v>
      </c>
      <c r="Q161">
        <f t="shared" si="49"/>
        <v>0</v>
      </c>
    </row>
    <row r="162" spans="1:17">
      <c r="A162" s="14" t="s">
        <v>2464</v>
      </c>
    </row>
    <row r="163" spans="1:17">
      <c r="A163" s="11" t="s">
        <v>593</v>
      </c>
      <c r="B163" t="s">
        <v>1080</v>
      </c>
      <c r="C163" s="38">
        <f t="shared" ref="C163:C166" si="50">IF(D163=0,0,IF(OR(D163&gt;P163,D163&lt;Q163),"contact vendor",F163*D163^G163+H163*LN(D163)+I163+J163*EXP(K163*D163)+L163*D163^3+M163*D163^2+N163*D163+O163))</f>
        <v>2534.3228291277064</v>
      </c>
      <c r="D163">
        <f>transfer_rate</f>
        <v>3769.9111843077517</v>
      </c>
      <c r="E163" t="s">
        <v>2698</v>
      </c>
      <c r="F163">
        <f t="shared" ref="F163:Q166" si="51">VLOOKUP($E163,eq_table_cl,F$4,FALSE)</f>
        <v>0</v>
      </c>
      <c r="G163">
        <f t="shared" si="51"/>
        <v>0</v>
      </c>
      <c r="H163">
        <f t="shared" si="51"/>
        <v>0</v>
      </c>
      <c r="I163">
        <f t="shared" si="51"/>
        <v>0</v>
      </c>
      <c r="J163">
        <f t="shared" si="51"/>
        <v>0</v>
      </c>
      <c r="K163">
        <f t="shared" si="51"/>
        <v>0</v>
      </c>
      <c r="L163">
        <f t="shared" si="51"/>
        <v>0</v>
      </c>
      <c r="M163">
        <f t="shared" si="51"/>
        <v>-5.3099999999999998E-7</v>
      </c>
      <c r="N163">
        <f t="shared" si="51"/>
        <v>0.21637999499999999</v>
      </c>
      <c r="O163">
        <f t="shared" si="51"/>
        <v>1726.1361602259999</v>
      </c>
      <c r="P163">
        <f t="shared" si="51"/>
        <v>108290</v>
      </c>
      <c r="Q163">
        <f t="shared" si="51"/>
        <v>0</v>
      </c>
    </row>
    <row r="164" spans="1:17">
      <c r="A164" s="11" t="s">
        <v>1760</v>
      </c>
      <c r="B164" t="s">
        <v>2699</v>
      </c>
      <c r="C164" s="38" t="str">
        <f t="shared" si="50"/>
        <v>contact vendor</v>
      </c>
      <c r="D164" t="str">
        <f>eductor_size</f>
        <v>NA</v>
      </c>
      <c r="E164" t="s">
        <v>2699</v>
      </c>
      <c r="F164">
        <f t="shared" si="51"/>
        <v>0</v>
      </c>
      <c r="G164">
        <f t="shared" si="51"/>
        <v>0</v>
      </c>
      <c r="H164">
        <f t="shared" si="51"/>
        <v>0</v>
      </c>
      <c r="I164">
        <f t="shared" si="51"/>
        <v>0</v>
      </c>
      <c r="J164">
        <f t="shared" si="51"/>
        <v>0</v>
      </c>
      <c r="K164">
        <f t="shared" si="51"/>
        <v>0</v>
      </c>
      <c r="L164">
        <f t="shared" si="51"/>
        <v>0</v>
      </c>
      <c r="M164">
        <f t="shared" si="51"/>
        <v>22.470786887999999</v>
      </c>
      <c r="N164">
        <f t="shared" si="51"/>
        <v>2229.8918400309999</v>
      </c>
      <c r="O164">
        <f t="shared" si="51"/>
        <v>-1911.930587201</v>
      </c>
      <c r="P164">
        <f t="shared" si="51"/>
        <v>8.1</v>
      </c>
      <c r="Q164">
        <f t="shared" si="51"/>
        <v>1.5</v>
      </c>
    </row>
    <row r="165" spans="1:17">
      <c r="A165" s="11" t="s">
        <v>593</v>
      </c>
      <c r="B165" t="s">
        <v>1634</v>
      </c>
      <c r="C165" s="38">
        <f t="shared" si="50"/>
        <v>1858.8971676102162</v>
      </c>
      <c r="D165">
        <f>res_transfer_rate</f>
        <v>614.48151138693538</v>
      </c>
      <c r="E165" t="s">
        <v>2698</v>
      </c>
      <c r="F165">
        <f t="shared" si="51"/>
        <v>0</v>
      </c>
      <c r="G165">
        <f t="shared" si="51"/>
        <v>0</v>
      </c>
      <c r="H165">
        <f t="shared" si="51"/>
        <v>0</v>
      </c>
      <c r="I165">
        <f t="shared" si="51"/>
        <v>0</v>
      </c>
      <c r="J165">
        <f t="shared" si="51"/>
        <v>0</v>
      </c>
      <c r="K165">
        <f t="shared" si="51"/>
        <v>0</v>
      </c>
      <c r="L165">
        <f t="shared" si="51"/>
        <v>0</v>
      </c>
      <c r="M165">
        <f t="shared" si="51"/>
        <v>-5.3099999999999998E-7</v>
      </c>
      <c r="N165">
        <f t="shared" si="51"/>
        <v>0.21637999499999999</v>
      </c>
      <c r="O165">
        <f t="shared" si="51"/>
        <v>1726.1361602259999</v>
      </c>
      <c r="P165">
        <f t="shared" si="51"/>
        <v>108290</v>
      </c>
      <c r="Q165">
        <f t="shared" si="51"/>
        <v>0</v>
      </c>
    </row>
    <row r="166" spans="1:17">
      <c r="A166" s="11" t="s">
        <v>1760</v>
      </c>
      <c r="B166" t="s">
        <v>1635</v>
      </c>
      <c r="C166" s="38" t="str">
        <f t="shared" si="50"/>
        <v>contact vendor</v>
      </c>
      <c r="D166" t="str">
        <f>res_eductor_size</f>
        <v>NA</v>
      </c>
      <c r="E166" t="s">
        <v>2699</v>
      </c>
      <c r="F166">
        <f t="shared" si="51"/>
        <v>0</v>
      </c>
      <c r="G166">
        <f t="shared" si="51"/>
        <v>0</v>
      </c>
      <c r="H166">
        <f t="shared" si="51"/>
        <v>0</v>
      </c>
      <c r="I166">
        <f t="shared" si="51"/>
        <v>0</v>
      </c>
      <c r="J166">
        <f t="shared" si="51"/>
        <v>0</v>
      </c>
      <c r="K166">
        <f t="shared" si="51"/>
        <v>0</v>
      </c>
      <c r="L166">
        <f t="shared" si="51"/>
        <v>0</v>
      </c>
      <c r="M166">
        <f t="shared" si="51"/>
        <v>22.470786887999999</v>
      </c>
      <c r="N166">
        <f t="shared" si="51"/>
        <v>2229.8918400309999</v>
      </c>
      <c r="O166">
        <f t="shared" si="51"/>
        <v>-1911.930587201</v>
      </c>
      <c r="P166">
        <f t="shared" si="51"/>
        <v>8.1</v>
      </c>
      <c r="Q166">
        <f t="shared" si="51"/>
        <v>1.5</v>
      </c>
    </row>
    <row r="167" spans="1:17">
      <c r="A167" s="669" t="s">
        <v>2469</v>
      </c>
      <c r="C167" s="38"/>
    </row>
    <row r="168" spans="1:17">
      <c r="A168" s="31" t="s">
        <v>2465</v>
      </c>
      <c r="B168" t="s">
        <v>3133</v>
      </c>
    </row>
    <row r="169" spans="1:17">
      <c r="A169" s="31" t="s">
        <v>2466</v>
      </c>
      <c r="B169" t="s">
        <v>2467</v>
      </c>
      <c r="C169" s="38">
        <f t="shared" ref="C169:C170" si="52">IF(D169=0,0,IF(OR(D169&gt;P169,D169&lt;Q169),"contact vendor",F169*D169^G169+H169*LN(D169)+I169+J169*EXP(K169*D169)+L169*D169^3+M169*D169^2+N169*D169+O169))</f>
        <v>0</v>
      </c>
      <c r="D169">
        <f>hmix_size</f>
        <v>0</v>
      </c>
      <c r="E169" t="s">
        <v>2468</v>
      </c>
      <c r="F169">
        <f t="shared" ref="F169:Q170" si="53">VLOOKUP($E169,eq_table_cl,F$4,FALSE)</f>
        <v>3220.9800634899998</v>
      </c>
      <c r="G169">
        <f t="shared" si="53"/>
        <v>0.14804462199999999</v>
      </c>
      <c r="H169">
        <f t="shared" si="53"/>
        <v>0</v>
      </c>
      <c r="I169">
        <f t="shared" si="53"/>
        <v>0</v>
      </c>
      <c r="J169">
        <f t="shared" si="53"/>
        <v>0</v>
      </c>
      <c r="K169">
        <f t="shared" si="53"/>
        <v>0</v>
      </c>
      <c r="L169">
        <f t="shared" si="53"/>
        <v>0</v>
      </c>
      <c r="M169">
        <f t="shared" si="53"/>
        <v>0</v>
      </c>
      <c r="N169">
        <f t="shared" si="53"/>
        <v>0</v>
      </c>
      <c r="O169">
        <f t="shared" si="53"/>
        <v>0</v>
      </c>
      <c r="P169">
        <f t="shared" si="53"/>
        <v>4.0999999999999996</v>
      </c>
      <c r="Q169">
        <f t="shared" si="53"/>
        <v>0</v>
      </c>
    </row>
    <row r="170" spans="1:17">
      <c r="A170" s="5" t="s">
        <v>2542</v>
      </c>
      <c r="B170" t="s">
        <v>2543</v>
      </c>
      <c r="C170" s="38">
        <f t="shared" si="52"/>
        <v>0</v>
      </c>
      <c r="D170">
        <f>hmix_size</f>
        <v>0</v>
      </c>
      <c r="E170" t="s">
        <v>2544</v>
      </c>
      <c r="F170">
        <f t="shared" si="53"/>
        <v>0</v>
      </c>
      <c r="G170">
        <f t="shared" si="53"/>
        <v>0</v>
      </c>
      <c r="H170">
        <f t="shared" si="53"/>
        <v>0</v>
      </c>
      <c r="I170">
        <f t="shared" si="53"/>
        <v>0</v>
      </c>
      <c r="J170">
        <f t="shared" si="53"/>
        <v>0</v>
      </c>
      <c r="K170">
        <f t="shared" si="53"/>
        <v>0</v>
      </c>
      <c r="L170">
        <f t="shared" si="53"/>
        <v>0</v>
      </c>
      <c r="M170">
        <f t="shared" si="53"/>
        <v>0</v>
      </c>
      <c r="N170">
        <f t="shared" si="53"/>
        <v>1053.0249738949999</v>
      </c>
      <c r="O170">
        <f t="shared" si="53"/>
        <v>4010.0161733059999</v>
      </c>
      <c r="P170">
        <f t="shared" si="53"/>
        <v>110</v>
      </c>
      <c r="Q170">
        <f t="shared" si="53"/>
        <v>0</v>
      </c>
    </row>
    <row r="171" spans="1:17">
      <c r="A171" s="669" t="s">
        <v>3702</v>
      </c>
      <c r="C171" s="38"/>
    </row>
    <row r="172" spans="1:17">
      <c r="A172" s="31" t="s">
        <v>2465</v>
      </c>
      <c r="B172" t="s">
        <v>3133</v>
      </c>
    </row>
    <row r="173" spans="1:17">
      <c r="A173" s="31" t="s">
        <v>2466</v>
      </c>
      <c r="B173" s="414" t="s">
        <v>3703</v>
      </c>
      <c r="C173" s="38">
        <f t="shared" ref="C173:C174" si="54">IF(D173=0,0,IF(OR(D173&gt;P173,D173&lt;Q173),"contact vendor",F173*D173^G173+H173*LN(D173)+I173+J173*EXP(K173*D173)+L173*D173^3+M173*D173^2+N173*D173+O173))</f>
        <v>0</v>
      </c>
      <c r="D173">
        <f>coag_cmix_size</f>
        <v>0</v>
      </c>
      <c r="E173" t="s">
        <v>2468</v>
      </c>
      <c r="F173">
        <f t="shared" ref="F173:Q174" si="55">VLOOKUP($E173,eq_table_cl,F$4,FALSE)</f>
        <v>3220.9800634899998</v>
      </c>
      <c r="G173">
        <f t="shared" si="55"/>
        <v>0.14804462199999999</v>
      </c>
      <c r="H173">
        <f t="shared" si="55"/>
        <v>0</v>
      </c>
      <c r="I173">
        <f t="shared" si="55"/>
        <v>0</v>
      </c>
      <c r="J173">
        <f t="shared" si="55"/>
        <v>0</v>
      </c>
      <c r="K173">
        <f t="shared" si="55"/>
        <v>0</v>
      </c>
      <c r="L173">
        <f t="shared" si="55"/>
        <v>0</v>
      </c>
      <c r="M173">
        <f t="shared" si="55"/>
        <v>0</v>
      </c>
      <c r="N173">
        <f t="shared" si="55"/>
        <v>0</v>
      </c>
      <c r="O173">
        <f t="shared" si="55"/>
        <v>0</v>
      </c>
      <c r="P173">
        <f t="shared" si="55"/>
        <v>4.0999999999999996</v>
      </c>
      <c r="Q173">
        <f t="shared" si="55"/>
        <v>0</v>
      </c>
    </row>
    <row r="174" spans="1:17">
      <c r="A174" s="5" t="s">
        <v>2542</v>
      </c>
      <c r="B174" s="414" t="s">
        <v>3704</v>
      </c>
      <c r="C174" s="38">
        <f t="shared" si="54"/>
        <v>0</v>
      </c>
      <c r="D174">
        <f>coag_cmix_size</f>
        <v>0</v>
      </c>
      <c r="E174" t="s">
        <v>2544</v>
      </c>
      <c r="F174">
        <f t="shared" si="55"/>
        <v>0</v>
      </c>
      <c r="G174">
        <f t="shared" si="55"/>
        <v>0</v>
      </c>
      <c r="H174">
        <f t="shared" si="55"/>
        <v>0</v>
      </c>
      <c r="I174">
        <f t="shared" si="55"/>
        <v>0</v>
      </c>
      <c r="J174">
        <f t="shared" si="55"/>
        <v>0</v>
      </c>
      <c r="K174">
        <f t="shared" si="55"/>
        <v>0</v>
      </c>
      <c r="L174">
        <f t="shared" si="55"/>
        <v>0</v>
      </c>
      <c r="M174">
        <f t="shared" si="55"/>
        <v>0</v>
      </c>
      <c r="N174">
        <f t="shared" si="55"/>
        <v>1053.0249738949999</v>
      </c>
      <c r="O174">
        <f t="shared" si="55"/>
        <v>4010.0161733059999</v>
      </c>
      <c r="P174">
        <f t="shared" si="55"/>
        <v>110</v>
      </c>
      <c r="Q174">
        <f t="shared" si="55"/>
        <v>0</v>
      </c>
    </row>
    <row r="175" spans="1:17">
      <c r="A175" s="669" t="s">
        <v>3298</v>
      </c>
      <c r="C175" s="38"/>
    </row>
    <row r="176" spans="1:17">
      <c r="A176" s="31" t="s">
        <v>2465</v>
      </c>
      <c r="B176" t="s">
        <v>3133</v>
      </c>
    </row>
    <row r="177" spans="1:17">
      <c r="A177" s="31" t="s">
        <v>2466</v>
      </c>
      <c r="B177" s="414" t="s">
        <v>3302</v>
      </c>
      <c r="C177" s="38">
        <f t="shared" ref="C177:C178" si="56">IF(D177=0,0,IF(OR(D177&gt;P177,D177&lt;Q177),"contact vendor",F177*D177^G177+H177*LN(D177)+I177+J177*EXP(K177*D177)+L177*D177^3+M177*D177^2+N177*D177+O177))</f>
        <v>0</v>
      </c>
      <c r="D177">
        <f>polymer_cmix_size</f>
        <v>0</v>
      </c>
      <c r="E177" t="s">
        <v>2468</v>
      </c>
      <c r="F177">
        <f t="shared" ref="F177:Q178" si="57">VLOOKUP($E177,eq_table_cl,F$4,FALSE)</f>
        <v>3220.9800634899998</v>
      </c>
      <c r="G177">
        <f t="shared" si="57"/>
        <v>0.14804462199999999</v>
      </c>
      <c r="H177">
        <f t="shared" si="57"/>
        <v>0</v>
      </c>
      <c r="I177">
        <f t="shared" si="57"/>
        <v>0</v>
      </c>
      <c r="J177">
        <f t="shared" si="57"/>
        <v>0</v>
      </c>
      <c r="K177">
        <f t="shared" si="57"/>
        <v>0</v>
      </c>
      <c r="L177">
        <f t="shared" si="57"/>
        <v>0</v>
      </c>
      <c r="M177">
        <f t="shared" si="57"/>
        <v>0</v>
      </c>
      <c r="N177">
        <f t="shared" si="57"/>
        <v>0</v>
      </c>
      <c r="O177">
        <f t="shared" si="57"/>
        <v>0</v>
      </c>
      <c r="P177">
        <f t="shared" si="57"/>
        <v>4.0999999999999996</v>
      </c>
      <c r="Q177">
        <f t="shared" si="57"/>
        <v>0</v>
      </c>
    </row>
    <row r="178" spans="1:17">
      <c r="A178" s="5" t="s">
        <v>2542</v>
      </c>
      <c r="B178" s="414" t="s">
        <v>3303</v>
      </c>
      <c r="C178" s="38">
        <f t="shared" si="56"/>
        <v>0</v>
      </c>
      <c r="D178">
        <f>polymer_cmix_size</f>
        <v>0</v>
      </c>
      <c r="E178" t="s">
        <v>2544</v>
      </c>
      <c r="F178">
        <f t="shared" si="57"/>
        <v>0</v>
      </c>
      <c r="G178">
        <f t="shared" si="57"/>
        <v>0</v>
      </c>
      <c r="H178">
        <f t="shared" si="57"/>
        <v>0</v>
      </c>
      <c r="I178">
        <f t="shared" si="57"/>
        <v>0</v>
      </c>
      <c r="J178">
        <f t="shared" si="57"/>
        <v>0</v>
      </c>
      <c r="K178">
        <f t="shared" si="57"/>
        <v>0</v>
      </c>
      <c r="L178">
        <f t="shared" si="57"/>
        <v>0</v>
      </c>
      <c r="M178">
        <f t="shared" si="57"/>
        <v>0</v>
      </c>
      <c r="N178">
        <f t="shared" si="57"/>
        <v>1053.0249738949999</v>
      </c>
      <c r="O178">
        <f t="shared" si="57"/>
        <v>4010.0161733059999</v>
      </c>
      <c r="P178">
        <f t="shared" si="57"/>
        <v>110</v>
      </c>
      <c r="Q178">
        <f t="shared" si="57"/>
        <v>0</v>
      </c>
    </row>
    <row r="179" spans="1:17">
      <c r="A179" s="24" t="s">
        <v>1608</v>
      </c>
      <c r="B179" s="5"/>
    </row>
    <row r="180" spans="1:17">
      <c r="A180" s="39" t="s">
        <v>3124</v>
      </c>
      <c r="B180" s="5" t="s">
        <v>3125</v>
      </c>
      <c r="C180" s="38">
        <f>IF(D180=0,0,IF(OR(D180&gt;P180,D180&lt;Q180),"contact vendor",F180*D180^G180+H180*LN(D180)+I180+J180*EXP(K180*D180)+L180*D180^3+M180*D180^2+N180*D180+O180))</f>
        <v>1.6773787749987228</v>
      </c>
      <c r="D180">
        <f>IF(GAC&gt;P180,P180,GAC)</f>
        <v>40000</v>
      </c>
      <c r="E180" t="s">
        <v>3125</v>
      </c>
      <c r="F180">
        <f t="shared" ref="F180:Q180" si="58">VLOOKUP($E180,eq_table_cl,F$4,FALSE)</f>
        <v>0</v>
      </c>
      <c r="G180">
        <f t="shared" si="58"/>
        <v>0</v>
      </c>
      <c r="H180">
        <f t="shared" si="58"/>
        <v>0</v>
      </c>
      <c r="I180">
        <f t="shared" si="58"/>
        <v>0</v>
      </c>
      <c r="J180">
        <f t="shared" si="58"/>
        <v>2.101628083</v>
      </c>
      <c r="K180">
        <f t="shared" si="58"/>
        <v>-5.6370000000000004E-6</v>
      </c>
      <c r="L180">
        <f t="shared" si="58"/>
        <v>0</v>
      </c>
      <c r="M180">
        <f t="shared" si="58"/>
        <v>0</v>
      </c>
      <c r="N180">
        <f t="shared" si="58"/>
        <v>0</v>
      </c>
      <c r="O180">
        <f t="shared" si="58"/>
        <v>0</v>
      </c>
      <c r="P180">
        <f t="shared" si="58"/>
        <v>40000</v>
      </c>
      <c r="Q180">
        <f t="shared" si="58"/>
        <v>0</v>
      </c>
    </row>
    <row r="181" spans="1:17">
      <c r="A181" s="39" t="s">
        <v>2152</v>
      </c>
      <c r="B181" s="5" t="s">
        <v>3133</v>
      </c>
      <c r="C181" s="70"/>
    </row>
    <row r="182" spans="1:17">
      <c r="A182" s="24" t="s">
        <v>960</v>
      </c>
      <c r="B182" s="5"/>
    </row>
    <row r="183" spans="1:17">
      <c r="A183" s="39" t="s">
        <v>3126</v>
      </c>
      <c r="B183" t="s">
        <v>3127</v>
      </c>
      <c r="C183" s="38">
        <f t="shared" ref="C183:C184" si="59">IF(D183=0,0,IF(OR(D183&gt;P183,D183&lt;Q183),"contact vendor",F183*D183^G183+H183*LN(D183)+I183+J183*EXP(K183*D183)+L183*D183^3+M183*D183^2+N183*D183+O183))</f>
        <v>0</v>
      </c>
      <c r="D183">
        <f>furnace_size</f>
        <v>0</v>
      </c>
      <c r="E183" t="s">
        <v>3127</v>
      </c>
      <c r="F183">
        <f t="shared" ref="F183:Q184" si="60">VLOOKUP($E183,eq_table_cl,F$4,FALSE)</f>
        <v>97378.213729220006</v>
      </c>
      <c r="G183">
        <f t="shared" si="60"/>
        <v>0.38341135900000001</v>
      </c>
      <c r="H183">
        <f t="shared" si="60"/>
        <v>0</v>
      </c>
      <c r="I183">
        <f t="shared" si="60"/>
        <v>0</v>
      </c>
      <c r="J183">
        <f t="shared" si="60"/>
        <v>0</v>
      </c>
      <c r="K183">
        <f t="shared" si="60"/>
        <v>0</v>
      </c>
      <c r="L183">
        <f t="shared" si="60"/>
        <v>0</v>
      </c>
      <c r="M183">
        <f t="shared" si="60"/>
        <v>0</v>
      </c>
      <c r="N183">
        <f t="shared" si="60"/>
        <v>0</v>
      </c>
      <c r="O183">
        <f t="shared" si="60"/>
        <v>0</v>
      </c>
      <c r="P183">
        <f t="shared" si="60"/>
        <v>100001</v>
      </c>
      <c r="Q183">
        <f t="shared" si="60"/>
        <v>0</v>
      </c>
    </row>
    <row r="184" spans="1:17">
      <c r="A184" s="39" t="s">
        <v>762</v>
      </c>
      <c r="B184" t="s">
        <v>763</v>
      </c>
      <c r="C184" s="38">
        <f t="shared" si="59"/>
        <v>0</v>
      </c>
      <c r="D184">
        <f>r_regen_capacity</f>
        <v>0</v>
      </c>
      <c r="E184" t="s">
        <v>3127</v>
      </c>
      <c r="F184">
        <f t="shared" si="60"/>
        <v>97378.213729220006</v>
      </c>
      <c r="G184">
        <f t="shared" si="60"/>
        <v>0.38341135900000001</v>
      </c>
      <c r="H184">
        <f t="shared" si="60"/>
        <v>0</v>
      </c>
      <c r="I184">
        <f t="shared" si="60"/>
        <v>0</v>
      </c>
      <c r="J184">
        <f t="shared" si="60"/>
        <v>0</v>
      </c>
      <c r="K184">
        <f t="shared" si="60"/>
        <v>0</v>
      </c>
      <c r="L184">
        <f t="shared" si="60"/>
        <v>0</v>
      </c>
      <c r="M184">
        <f t="shared" si="60"/>
        <v>0</v>
      </c>
      <c r="N184">
        <f t="shared" si="60"/>
        <v>0</v>
      </c>
      <c r="O184">
        <f t="shared" si="60"/>
        <v>0</v>
      </c>
      <c r="P184">
        <f t="shared" si="60"/>
        <v>100001</v>
      </c>
      <c r="Q184">
        <f t="shared" si="60"/>
        <v>0</v>
      </c>
    </row>
    <row r="185" spans="1:17">
      <c r="A185" s="39" t="s">
        <v>3128</v>
      </c>
    </row>
    <row r="186" spans="1:17">
      <c r="A186" s="23" t="s">
        <v>3129</v>
      </c>
      <c r="B186" t="s">
        <v>3133</v>
      </c>
    </row>
    <row r="187" spans="1:17">
      <c r="A187" s="5" t="s">
        <v>3130</v>
      </c>
      <c r="B187" t="s">
        <v>3134</v>
      </c>
      <c r="C187" s="38">
        <f>IF(D187=0,0,IF(OR(D187&gt;P187,D187&lt;Q187),"contact vendor",F187*D187^G187+H187*LN(D187)+I187+J187*EXP(K187*D187)+L187*D187^3+M187*D187^2+N187*D187+O187))</f>
        <v>22121.279094053785</v>
      </c>
      <c r="D187">
        <f>virgin_tank_vol</f>
        <v>5000.6112567956325</v>
      </c>
      <c r="E187" t="s">
        <v>596</v>
      </c>
      <c r="F187">
        <f t="shared" ref="F187:Q187" si="61">VLOOKUP($E187,eq_table_cl,F$4,FALSE)</f>
        <v>308.93713092600001</v>
      </c>
      <c r="G187">
        <f t="shared" si="61"/>
        <v>0.50146757099999995</v>
      </c>
      <c r="H187">
        <f t="shared" si="61"/>
        <v>0</v>
      </c>
      <c r="I187">
        <f t="shared" si="61"/>
        <v>0</v>
      </c>
      <c r="J187">
        <f t="shared" si="61"/>
        <v>0</v>
      </c>
      <c r="K187">
        <f t="shared" si="61"/>
        <v>0</v>
      </c>
      <c r="L187">
        <f t="shared" si="61"/>
        <v>0</v>
      </c>
      <c r="M187">
        <f t="shared" si="61"/>
        <v>0</v>
      </c>
      <c r="N187">
        <f t="shared" si="61"/>
        <v>0</v>
      </c>
      <c r="O187">
        <f t="shared" si="61"/>
        <v>0</v>
      </c>
      <c r="P187">
        <f t="shared" si="61"/>
        <v>289001</v>
      </c>
      <c r="Q187">
        <f t="shared" si="61"/>
        <v>0</v>
      </c>
    </row>
    <row r="188" spans="1:17">
      <c r="A188" s="39" t="s">
        <v>3131</v>
      </c>
    </row>
    <row r="189" spans="1:17">
      <c r="A189" s="23" t="s">
        <v>3129</v>
      </c>
      <c r="B189" t="s">
        <v>3133</v>
      </c>
    </row>
    <row r="190" spans="1:17">
      <c r="A190" s="5" t="s">
        <v>3130</v>
      </c>
      <c r="B190" t="s">
        <v>3135</v>
      </c>
      <c r="C190" s="38">
        <f>IF(D190=0,0,IF(OR(D190&gt;P190,D190&lt;Q190),"contact vendor",F190*D190^G190+H190*LN(D190)+I190+J190*EXP(K190*D190)+L190*D190^3+M190*D190^2+N190*D190+O190))</f>
        <v>22121.279094053785</v>
      </c>
      <c r="D190">
        <f>spent_tank_vol</f>
        <v>5000.6112567956325</v>
      </c>
      <c r="E190" t="s">
        <v>596</v>
      </c>
      <c r="F190">
        <f t="shared" ref="F190:Q190" si="62">VLOOKUP($E190,eq_table_cl,F$4,FALSE)</f>
        <v>308.93713092600001</v>
      </c>
      <c r="G190">
        <f t="shared" si="62"/>
        <v>0.50146757099999995</v>
      </c>
      <c r="H190">
        <f t="shared" si="62"/>
        <v>0</v>
      </c>
      <c r="I190">
        <f t="shared" si="62"/>
        <v>0</v>
      </c>
      <c r="J190">
        <f t="shared" si="62"/>
        <v>0</v>
      </c>
      <c r="K190">
        <f t="shared" si="62"/>
        <v>0</v>
      </c>
      <c r="L190">
        <f t="shared" si="62"/>
        <v>0</v>
      </c>
      <c r="M190">
        <f t="shared" si="62"/>
        <v>0</v>
      </c>
      <c r="N190">
        <f t="shared" si="62"/>
        <v>0</v>
      </c>
      <c r="O190">
        <f t="shared" si="62"/>
        <v>0</v>
      </c>
      <c r="P190">
        <f t="shared" si="62"/>
        <v>289001</v>
      </c>
      <c r="Q190">
        <f t="shared" si="62"/>
        <v>0</v>
      </c>
    </row>
    <row r="191" spans="1:17">
      <c r="A191" s="39" t="s">
        <v>3132</v>
      </c>
    </row>
    <row r="192" spans="1:17">
      <c r="A192" s="23" t="s">
        <v>3129</v>
      </c>
      <c r="B192" t="s">
        <v>3133</v>
      </c>
    </row>
    <row r="193" spans="1:17">
      <c r="A193" s="5" t="s">
        <v>3130</v>
      </c>
      <c r="B193" t="s">
        <v>3136</v>
      </c>
      <c r="C193" s="38">
        <f>IF(D193=0,0,IF(OR(D193&gt;P193,D193&lt;Q193),"contact vendor",F193*D193^G193+H193*LN(D193)+I193+J193*EXP(K193*D193)+L193*D193^3+M193*D193^2+N193*D193+O193))</f>
        <v>22121.279094053785</v>
      </c>
      <c r="D193">
        <f>regen_tank_vol</f>
        <v>5000.6112567956325</v>
      </c>
      <c r="E193" t="s">
        <v>596</v>
      </c>
      <c r="F193">
        <f t="shared" ref="F193:Q193" si="63">VLOOKUP($E193,eq_table_cl,F$4,FALSE)</f>
        <v>308.93713092600001</v>
      </c>
      <c r="G193">
        <f t="shared" si="63"/>
        <v>0.50146757099999995</v>
      </c>
      <c r="H193">
        <f t="shared" si="63"/>
        <v>0</v>
      </c>
      <c r="I193">
        <f t="shared" si="63"/>
        <v>0</v>
      </c>
      <c r="J193">
        <f t="shared" si="63"/>
        <v>0</v>
      </c>
      <c r="K193">
        <f t="shared" si="63"/>
        <v>0</v>
      </c>
      <c r="L193">
        <f t="shared" si="63"/>
        <v>0</v>
      </c>
      <c r="M193">
        <f t="shared" si="63"/>
        <v>0</v>
      </c>
      <c r="N193">
        <f t="shared" si="63"/>
        <v>0</v>
      </c>
      <c r="O193">
        <f t="shared" si="63"/>
        <v>0</v>
      </c>
      <c r="P193">
        <f t="shared" si="63"/>
        <v>289001</v>
      </c>
      <c r="Q193">
        <f t="shared" si="63"/>
        <v>0</v>
      </c>
    </row>
    <row r="195" spans="1:17">
      <c r="A195" s="24" t="s">
        <v>1011</v>
      </c>
      <c r="B195" s="5"/>
    </row>
    <row r="196" spans="1:17">
      <c r="A196" s="39" t="str">
        <f>IF(OR(regen_type=3,regen_type=5),"Replacement virgin GAC","Makeup GAC")</f>
        <v>Replacement virgin GAC</v>
      </c>
      <c r="B196" t="s">
        <v>1012</v>
      </c>
      <c r="C196" s="38">
        <f>IF(D196=0,0,IF(OR(D196&gt;P196,D196&lt;Q196),"contact vendor",F196*D196^G196+H196*LN(D196)+I196+J196*EXP(K196*D196)+L196*D196^3+M196*D196^2+N196*D196+O196))</f>
        <v>1.6773787749987228</v>
      </c>
      <c r="D196">
        <f>IF(GAC_makeup&gt;P196,P196,GAC_makeup)</f>
        <v>40000</v>
      </c>
      <c r="E196" t="s">
        <v>3125</v>
      </c>
      <c r="F196">
        <f t="shared" ref="F196:Q199" si="64">VLOOKUP($E196,eq_table_cl,F$4,FALSE)</f>
        <v>0</v>
      </c>
      <c r="G196">
        <f t="shared" si="64"/>
        <v>0</v>
      </c>
      <c r="H196">
        <f t="shared" si="64"/>
        <v>0</v>
      </c>
      <c r="I196">
        <f t="shared" si="64"/>
        <v>0</v>
      </c>
      <c r="J196">
        <f t="shared" si="64"/>
        <v>2.101628083</v>
      </c>
      <c r="K196">
        <f t="shared" si="64"/>
        <v>-5.6370000000000004E-6</v>
      </c>
      <c r="L196">
        <f t="shared" si="64"/>
        <v>0</v>
      </c>
      <c r="M196">
        <f t="shared" si="64"/>
        <v>0</v>
      </c>
      <c r="N196">
        <f t="shared" si="64"/>
        <v>0</v>
      </c>
      <c r="O196">
        <f t="shared" si="64"/>
        <v>0</v>
      </c>
      <c r="P196">
        <f t="shared" si="64"/>
        <v>40000</v>
      </c>
      <c r="Q196">
        <f t="shared" si="64"/>
        <v>0</v>
      </c>
    </row>
    <row r="197" spans="1:17">
      <c r="A197" s="39" t="str">
        <f>IF(regen_type=1,"",IF(OR(regen_type=2,regen_type=4),"Off-site GAC regeneration","Dispose Spent GAC"))</f>
        <v>Dispose Spent GAC</v>
      </c>
      <c r="B197" t="s">
        <v>1013</v>
      </c>
      <c r="C197" s="38">
        <f t="shared" ref="C197:C199" si="65">IF(D197=0,0,IF(OR(D197&gt;P197,D197&lt;Q197),"contact vendor",F197*D197^G197+H197*LN(D197)+I197+J197*EXP(K197*D197)+L197*D197^3+M197*D197^2+N197*D197+O197))</f>
        <v>0</v>
      </c>
      <c r="D197">
        <f>IF(regen_yr&gt;P197,P197,regen_yr)</f>
        <v>0</v>
      </c>
      <c r="E197" t="s">
        <v>1013</v>
      </c>
      <c r="F197">
        <f t="shared" si="64"/>
        <v>0</v>
      </c>
      <c r="G197">
        <f t="shared" si="64"/>
        <v>0</v>
      </c>
      <c r="H197">
        <f t="shared" si="64"/>
        <v>0</v>
      </c>
      <c r="I197">
        <f t="shared" si="64"/>
        <v>0</v>
      </c>
      <c r="J197">
        <f t="shared" si="64"/>
        <v>1.9919101159999999</v>
      </c>
      <c r="K197">
        <f t="shared" si="64"/>
        <v>-1.3224000000000001E-5</v>
      </c>
      <c r="L197">
        <f t="shared" si="64"/>
        <v>0</v>
      </c>
      <c r="M197">
        <f t="shared" si="64"/>
        <v>0</v>
      </c>
      <c r="N197">
        <f t="shared" si="64"/>
        <v>0</v>
      </c>
      <c r="O197">
        <f t="shared" si="64"/>
        <v>0</v>
      </c>
      <c r="P197">
        <f t="shared" si="64"/>
        <v>40000</v>
      </c>
      <c r="Q197">
        <f t="shared" si="64"/>
        <v>0</v>
      </c>
    </row>
    <row r="198" spans="1:17">
      <c r="A198" s="39" t="str">
        <f>IF(OR(regen_type=3,regen_type=5),"Replacement virgin GAC after retrofit","Makeup GAC after retrofit")</f>
        <v>Replacement virgin GAC after retrofit</v>
      </c>
      <c r="B198" t="s">
        <v>3033</v>
      </c>
      <c r="C198" s="38">
        <f t="shared" si="65"/>
        <v>0</v>
      </c>
      <c r="D198">
        <f>IF(r_GAC_makeup&gt;P198,P198,r_GAC_makeup)</f>
        <v>0</v>
      </c>
      <c r="E198" t="s">
        <v>3125</v>
      </c>
      <c r="F198">
        <f t="shared" si="64"/>
        <v>0</v>
      </c>
      <c r="G198">
        <f t="shared" si="64"/>
        <v>0</v>
      </c>
      <c r="H198">
        <f t="shared" si="64"/>
        <v>0</v>
      </c>
      <c r="I198">
        <f t="shared" si="64"/>
        <v>0</v>
      </c>
      <c r="J198">
        <f t="shared" si="64"/>
        <v>2.101628083</v>
      </c>
      <c r="K198">
        <f t="shared" si="64"/>
        <v>-5.6370000000000004E-6</v>
      </c>
      <c r="L198">
        <f t="shared" si="64"/>
        <v>0</v>
      </c>
      <c r="M198">
        <f t="shared" si="64"/>
        <v>0</v>
      </c>
      <c r="N198">
        <f t="shared" si="64"/>
        <v>0</v>
      </c>
      <c r="O198">
        <f t="shared" si="64"/>
        <v>0</v>
      </c>
      <c r="P198">
        <f t="shared" si="64"/>
        <v>40000</v>
      </c>
      <c r="Q198">
        <f t="shared" si="64"/>
        <v>0</v>
      </c>
    </row>
    <row r="199" spans="1:17">
      <c r="A199" s="39" t="str">
        <f>IF(regen_type=1,"",IF(OR(regen_type=2,regen_type=4),"Off-site GAC regeneration after retrofit","Dispose Spent GAC after retrofit"))</f>
        <v>Dispose Spent GAC after retrofit</v>
      </c>
      <c r="B199" t="s">
        <v>3034</v>
      </c>
      <c r="C199" s="38">
        <f t="shared" si="65"/>
        <v>0</v>
      </c>
      <c r="D199">
        <f>IF(r_regen_yr&gt;P199,P199,r_regen_yr)</f>
        <v>0</v>
      </c>
      <c r="E199" t="s">
        <v>1013</v>
      </c>
      <c r="F199">
        <f t="shared" si="64"/>
        <v>0</v>
      </c>
      <c r="G199">
        <f t="shared" si="64"/>
        <v>0</v>
      </c>
      <c r="H199">
        <f t="shared" si="64"/>
        <v>0</v>
      </c>
      <c r="I199">
        <f t="shared" si="64"/>
        <v>0</v>
      </c>
      <c r="J199">
        <f t="shared" si="64"/>
        <v>1.9919101159999999</v>
      </c>
      <c r="K199">
        <f t="shared" si="64"/>
        <v>-1.3224000000000001E-5</v>
      </c>
      <c r="L199">
        <f t="shared" si="64"/>
        <v>0</v>
      </c>
      <c r="M199">
        <f t="shared" si="64"/>
        <v>0</v>
      </c>
      <c r="N199">
        <f t="shared" si="64"/>
        <v>0</v>
      </c>
      <c r="O199">
        <f t="shared" si="64"/>
        <v>0</v>
      </c>
      <c r="P199">
        <f t="shared" si="64"/>
        <v>40000</v>
      </c>
      <c r="Q199">
        <f t="shared" si="64"/>
        <v>0</v>
      </c>
    </row>
    <row r="200" spans="1:17">
      <c r="A200" s="14" t="s">
        <v>514</v>
      </c>
    </row>
    <row r="201" spans="1:17">
      <c r="A201" s="11" t="s">
        <v>2947</v>
      </c>
      <c r="B201" t="s">
        <v>2953</v>
      </c>
      <c r="C201" s="38">
        <f>IF(D201=0,0,IF(OR(D201&gt;P201,D201&lt;Q201),"contact vendor",F201*D201^G201+H201*LN(D201)+I201+J201*EXP(K201*D201)+L201*D201^3+M201*D201^2+N201*D201+O201))</f>
        <v>0</v>
      </c>
      <c r="D201">
        <f>sept_tank_vol</f>
        <v>0</v>
      </c>
      <c r="E201" t="s">
        <v>2953</v>
      </c>
      <c r="F201">
        <f t="shared" ref="F201:Q201" si="66">VLOOKUP($E201,eq_table_cl,F$4,FALSE)</f>
        <v>0</v>
      </c>
      <c r="G201">
        <f t="shared" si="66"/>
        <v>0</v>
      </c>
      <c r="H201">
        <f t="shared" si="66"/>
        <v>0</v>
      </c>
      <c r="I201">
        <f t="shared" si="66"/>
        <v>0</v>
      </c>
      <c r="J201">
        <f t="shared" si="66"/>
        <v>0</v>
      </c>
      <c r="K201">
        <f t="shared" si="66"/>
        <v>0</v>
      </c>
      <c r="L201">
        <f t="shared" si="66"/>
        <v>0</v>
      </c>
      <c r="M201">
        <f t="shared" si="66"/>
        <v>-4.1899999999999998E-7</v>
      </c>
      <c r="N201">
        <f t="shared" si="66"/>
        <v>1.820226125</v>
      </c>
      <c r="O201">
        <f t="shared" si="66"/>
        <v>-609.61927057299999</v>
      </c>
      <c r="P201">
        <f t="shared" si="66"/>
        <v>100001</v>
      </c>
      <c r="Q201">
        <f t="shared" si="66"/>
        <v>750</v>
      </c>
    </row>
    <row r="203" spans="1:17">
      <c r="A203" s="14" t="s">
        <v>1165</v>
      </c>
      <c r="C203" s="472" t="str">
        <f>IF(LEN($E203)=0,"",IF(OR(D203&gt;P203,D203&lt;Q203),"contact vendor",F203*D203^G203+H203*LN(D203)+I203+J203*EXP(K203*D203)+L203*D203^3+M203*D203^2+N203*D203+O203))</f>
        <v/>
      </c>
      <c r="F203" t="str">
        <f t="shared" ref="F203:Q204" si="67">IF(LEN($E203)=0,"",VLOOKUP($E203,eq_table_cl,F$7,FALSE))</f>
        <v/>
      </c>
      <c r="G203" t="str">
        <f t="shared" si="67"/>
        <v/>
      </c>
      <c r="H203" t="str">
        <f t="shared" si="67"/>
        <v/>
      </c>
      <c r="I203" t="str">
        <f t="shared" si="67"/>
        <v/>
      </c>
      <c r="J203" t="str">
        <f t="shared" si="67"/>
        <v/>
      </c>
      <c r="K203" t="str">
        <f t="shared" si="67"/>
        <v/>
      </c>
      <c r="L203" t="str">
        <f t="shared" si="67"/>
        <v/>
      </c>
      <c r="M203" t="str">
        <f t="shared" si="67"/>
        <v/>
      </c>
      <c r="N203" t="str">
        <f t="shared" si="67"/>
        <v/>
      </c>
      <c r="O203" t="str">
        <f t="shared" si="67"/>
        <v/>
      </c>
      <c r="P203" t="str">
        <f t="shared" si="67"/>
        <v/>
      </c>
      <c r="Q203" t="str">
        <f t="shared" si="67"/>
        <v/>
      </c>
    </row>
    <row r="204" spans="1:17">
      <c r="A204" s="83" t="s">
        <v>388</v>
      </c>
      <c r="C204" s="472" t="str">
        <f t="shared" ref="C204" si="68">IF(LEN($E204)=0,"",IF(OR(D204&gt;P204,D204&lt;Q204),"contact vendor",F204*D204^G204+H204*LN(D204)+I204+J204*EXP(K204*D204)+L204*D204^3+M204*D204^2+N204*D204+O204))</f>
        <v/>
      </c>
      <c r="F204" t="str">
        <f t="shared" si="67"/>
        <v/>
      </c>
      <c r="G204" t="str">
        <f t="shared" si="67"/>
        <v/>
      </c>
      <c r="H204" t="str">
        <f t="shared" si="67"/>
        <v/>
      </c>
      <c r="I204" t="str">
        <f t="shared" si="67"/>
        <v/>
      </c>
      <c r="J204" t="str">
        <f t="shared" si="67"/>
        <v/>
      </c>
      <c r="K204" t="str">
        <f t="shared" si="67"/>
        <v/>
      </c>
      <c r="L204" t="str">
        <f t="shared" si="67"/>
        <v/>
      </c>
      <c r="M204" t="str">
        <f t="shared" si="67"/>
        <v/>
      </c>
      <c r="N204" t="str">
        <f t="shared" si="67"/>
        <v/>
      </c>
      <c r="O204" t="str">
        <f t="shared" si="67"/>
        <v/>
      </c>
      <c r="P204" t="str">
        <f t="shared" si="67"/>
        <v/>
      </c>
      <c r="Q204" t="str">
        <f t="shared" si="67"/>
        <v/>
      </c>
    </row>
    <row r="205" spans="1:17">
      <c r="A205" t="s">
        <v>1166</v>
      </c>
      <c r="B205" t="s">
        <v>1167</v>
      </c>
      <c r="C205" s="38">
        <f t="shared" ref="C205:C207" si="69">IF(D205=0,0,IF(OR(D205&gt;P205,D205&lt;Q205),"contact vendor",F205*D205^G205+H205*LN(D205)+I205+J205*EXP(K205*D205)+L205*D205^3+M205*D205^2+N205*D205+O205))</f>
        <v>74.732635146286725</v>
      </c>
      <c r="D205">
        <f>build1_fp</f>
        <v>3780</v>
      </c>
      <c r="E205" t="s">
        <v>1168</v>
      </c>
      <c r="F205">
        <f t="shared" ref="F205:Q207" si="70">VLOOKUP($E205,eq_table_cl,F$4,FALSE)</f>
        <v>163.72087260199999</v>
      </c>
      <c r="G205">
        <f t="shared" si="70"/>
        <v>-9.5204622000000003E-2</v>
      </c>
      <c r="H205">
        <f t="shared" si="70"/>
        <v>0</v>
      </c>
      <c r="I205">
        <f t="shared" si="70"/>
        <v>0</v>
      </c>
      <c r="J205">
        <f t="shared" si="70"/>
        <v>0</v>
      </c>
      <c r="K205">
        <f t="shared" si="70"/>
        <v>0</v>
      </c>
      <c r="L205">
        <f t="shared" si="70"/>
        <v>0</v>
      </c>
      <c r="M205">
        <f t="shared" si="70"/>
        <v>0</v>
      </c>
      <c r="N205">
        <f t="shared" si="70"/>
        <v>0</v>
      </c>
      <c r="O205">
        <f t="shared" si="70"/>
        <v>0</v>
      </c>
      <c r="P205">
        <f t="shared" si="70"/>
        <v>200000.1</v>
      </c>
      <c r="Q205">
        <f t="shared" si="70"/>
        <v>0</v>
      </c>
    </row>
    <row r="206" spans="1:17">
      <c r="A206" t="s">
        <v>1169</v>
      </c>
      <c r="B206" t="s">
        <v>1170</v>
      </c>
      <c r="C206" s="38">
        <f t="shared" si="69"/>
        <v>89.618271427284725</v>
      </c>
      <c r="D206">
        <f>build1_fp</f>
        <v>3780</v>
      </c>
      <c r="E206" t="s">
        <v>1171</v>
      </c>
      <c r="F206">
        <f t="shared" si="70"/>
        <v>198.02119383900001</v>
      </c>
      <c r="G206">
        <f t="shared" si="70"/>
        <v>-9.6244836E-2</v>
      </c>
      <c r="H206">
        <f t="shared" si="70"/>
        <v>0</v>
      </c>
      <c r="I206">
        <f t="shared" si="70"/>
        <v>0</v>
      </c>
      <c r="J206">
        <f t="shared" si="70"/>
        <v>0</v>
      </c>
      <c r="K206">
        <f t="shared" si="70"/>
        <v>0</v>
      </c>
      <c r="L206">
        <f t="shared" si="70"/>
        <v>0</v>
      </c>
      <c r="M206">
        <f t="shared" si="70"/>
        <v>0</v>
      </c>
      <c r="N206">
        <f t="shared" si="70"/>
        <v>0</v>
      </c>
      <c r="O206">
        <f t="shared" si="70"/>
        <v>0</v>
      </c>
      <c r="P206">
        <f t="shared" si="70"/>
        <v>200000.1</v>
      </c>
      <c r="Q206">
        <f t="shared" si="70"/>
        <v>0</v>
      </c>
    </row>
    <row r="207" spans="1:17">
      <c r="A207" t="s">
        <v>1172</v>
      </c>
      <c r="B207" t="s">
        <v>1173</v>
      </c>
      <c r="C207" s="38">
        <f t="shared" si="69"/>
        <v>122.7064787872412</v>
      </c>
      <c r="D207">
        <f>build1_fp</f>
        <v>3780</v>
      </c>
      <c r="E207" t="s">
        <v>1174</v>
      </c>
      <c r="F207">
        <f t="shared" si="70"/>
        <v>378.41221851</v>
      </c>
      <c r="G207">
        <f t="shared" si="70"/>
        <v>-0.13671524199999999</v>
      </c>
      <c r="H207">
        <f t="shared" si="70"/>
        <v>0</v>
      </c>
      <c r="I207">
        <f t="shared" si="70"/>
        <v>0</v>
      </c>
      <c r="J207">
        <f t="shared" si="70"/>
        <v>0</v>
      </c>
      <c r="K207">
        <f t="shared" si="70"/>
        <v>0</v>
      </c>
      <c r="L207">
        <f t="shared" si="70"/>
        <v>0</v>
      </c>
      <c r="M207">
        <f t="shared" si="70"/>
        <v>0</v>
      </c>
      <c r="N207">
        <f t="shared" si="70"/>
        <v>0</v>
      </c>
      <c r="O207">
        <f t="shared" si="70"/>
        <v>0</v>
      </c>
      <c r="P207">
        <f t="shared" si="70"/>
        <v>200000.1</v>
      </c>
      <c r="Q207">
        <f t="shared" si="70"/>
        <v>0</v>
      </c>
    </row>
    <row r="208" spans="1:17">
      <c r="A208" s="83" t="s">
        <v>1175</v>
      </c>
      <c r="C208" s="472"/>
    </row>
    <row r="209" spans="1:17">
      <c r="A209" t="s">
        <v>1662</v>
      </c>
      <c r="B209" t="s">
        <v>1176</v>
      </c>
      <c r="C209" s="38">
        <f t="shared" ref="C209:C213" si="71">IF(D209=0,0,IF(OR(D209&gt;P209,D209&lt;Q209),"contact vendor",F209*D209^G209+H209*LN(D209)+I209+J209*EXP(K209*D209)+L209*D209^3+M209*D209^2+N209*D209+O209))</f>
        <v>39933.474612588798</v>
      </c>
      <c r="D209">
        <f>build1_heat_mbh/build1_zones</f>
        <v>101.18601398424175</v>
      </c>
      <c r="E209" t="s">
        <v>1177</v>
      </c>
      <c r="F209">
        <f t="shared" ref="F209:Q213" si="72">VLOOKUP($E209,eq_table_cl,F$4,FALSE)</f>
        <v>1144.4973268870001</v>
      </c>
      <c r="G209">
        <f t="shared" si="72"/>
        <v>0.76939132899999996</v>
      </c>
      <c r="H209">
        <f t="shared" si="72"/>
        <v>0</v>
      </c>
      <c r="I209">
        <f t="shared" si="72"/>
        <v>0</v>
      </c>
      <c r="J209">
        <f t="shared" si="72"/>
        <v>0</v>
      </c>
      <c r="K209">
        <f t="shared" si="72"/>
        <v>0</v>
      </c>
      <c r="L209">
        <f t="shared" si="72"/>
        <v>0</v>
      </c>
      <c r="M209">
        <f t="shared" si="72"/>
        <v>0</v>
      </c>
      <c r="N209">
        <f t="shared" si="72"/>
        <v>0</v>
      </c>
      <c r="O209">
        <f t="shared" si="72"/>
        <v>0</v>
      </c>
      <c r="P209">
        <f t="shared" si="72"/>
        <v>6148.1</v>
      </c>
      <c r="Q209">
        <f t="shared" si="72"/>
        <v>0</v>
      </c>
    </row>
    <row r="210" spans="1:17">
      <c r="A210" t="s">
        <v>725</v>
      </c>
      <c r="B210" t="s">
        <v>1178</v>
      </c>
      <c r="C210" s="38">
        <f t="shared" si="71"/>
        <v>28313.868145051252</v>
      </c>
      <c r="D210">
        <f>build1_heat_mbh/build1_zones</f>
        <v>101.18601398424175</v>
      </c>
      <c r="E210" t="s">
        <v>1179</v>
      </c>
      <c r="F210">
        <f t="shared" si="72"/>
        <v>884.952743048</v>
      </c>
      <c r="G210">
        <f t="shared" si="72"/>
        <v>0.75061779799999995</v>
      </c>
      <c r="H210">
        <f t="shared" si="72"/>
        <v>0</v>
      </c>
      <c r="I210">
        <f t="shared" si="72"/>
        <v>0</v>
      </c>
      <c r="J210">
        <f t="shared" si="72"/>
        <v>0</v>
      </c>
      <c r="K210">
        <f t="shared" si="72"/>
        <v>0</v>
      </c>
      <c r="L210">
        <f t="shared" si="72"/>
        <v>0</v>
      </c>
      <c r="M210">
        <f t="shared" si="72"/>
        <v>0</v>
      </c>
      <c r="N210">
        <f t="shared" si="72"/>
        <v>0</v>
      </c>
      <c r="O210">
        <f t="shared" si="72"/>
        <v>0</v>
      </c>
      <c r="P210">
        <f t="shared" si="72"/>
        <v>5032.1000000000004</v>
      </c>
      <c r="Q210">
        <f t="shared" si="72"/>
        <v>0</v>
      </c>
    </row>
    <row r="211" spans="1:17">
      <c r="A211" t="s">
        <v>726</v>
      </c>
      <c r="B211" t="s">
        <v>1180</v>
      </c>
      <c r="C211" s="38">
        <f t="shared" si="71"/>
        <v>28313.868145051252</v>
      </c>
      <c r="D211">
        <f>build1_heat_mbh/build1_zones</f>
        <v>101.18601398424175</v>
      </c>
      <c r="E211" t="s">
        <v>1181</v>
      </c>
      <c r="F211">
        <f t="shared" si="72"/>
        <v>884.952743048</v>
      </c>
      <c r="G211">
        <f t="shared" si="72"/>
        <v>0.75061779799999995</v>
      </c>
      <c r="H211">
        <f t="shared" si="72"/>
        <v>0</v>
      </c>
      <c r="I211">
        <f t="shared" si="72"/>
        <v>0</v>
      </c>
      <c r="J211">
        <f t="shared" si="72"/>
        <v>0</v>
      </c>
      <c r="K211">
        <f t="shared" si="72"/>
        <v>0</v>
      </c>
      <c r="L211">
        <f t="shared" si="72"/>
        <v>0</v>
      </c>
      <c r="M211">
        <f t="shared" si="72"/>
        <v>0</v>
      </c>
      <c r="N211">
        <f t="shared" si="72"/>
        <v>0</v>
      </c>
      <c r="O211">
        <f t="shared" si="72"/>
        <v>0</v>
      </c>
      <c r="P211">
        <f t="shared" si="72"/>
        <v>5032.1000000000004</v>
      </c>
      <c r="Q211">
        <f t="shared" si="72"/>
        <v>0</v>
      </c>
    </row>
    <row r="212" spans="1:17">
      <c r="A212" t="s">
        <v>1297</v>
      </c>
      <c r="B212" t="s">
        <v>1182</v>
      </c>
      <c r="C212" s="38">
        <f t="shared" si="71"/>
        <v>31873.565370149812</v>
      </c>
      <c r="D212">
        <f>build1_heat_mbh/build1_zones</f>
        <v>101.18601398424175</v>
      </c>
      <c r="E212" t="s">
        <v>1183</v>
      </c>
      <c r="F212">
        <f t="shared" si="72"/>
        <v>1161.335000027</v>
      </c>
      <c r="G212">
        <f t="shared" si="72"/>
        <v>0.71739984700000003</v>
      </c>
      <c r="H212">
        <f t="shared" si="72"/>
        <v>0</v>
      </c>
      <c r="I212">
        <f t="shared" si="72"/>
        <v>0</v>
      </c>
      <c r="J212">
        <f t="shared" si="72"/>
        <v>0</v>
      </c>
      <c r="K212">
        <f t="shared" si="72"/>
        <v>0</v>
      </c>
      <c r="L212">
        <f t="shared" si="72"/>
        <v>0</v>
      </c>
      <c r="M212">
        <f t="shared" si="72"/>
        <v>0</v>
      </c>
      <c r="N212">
        <f t="shared" si="72"/>
        <v>0</v>
      </c>
      <c r="O212">
        <f t="shared" si="72"/>
        <v>0</v>
      </c>
      <c r="P212">
        <f t="shared" si="72"/>
        <v>3350.1</v>
      </c>
      <c r="Q212">
        <f t="shared" si="72"/>
        <v>0</v>
      </c>
    </row>
    <row r="213" spans="1:17">
      <c r="A213" t="s">
        <v>1298</v>
      </c>
      <c r="B213" t="s">
        <v>1184</v>
      </c>
      <c r="C213" s="38">
        <f t="shared" si="71"/>
        <v>31873.565370149812</v>
      </c>
      <c r="D213">
        <f>build1_heat_mbh/build1_zones</f>
        <v>101.18601398424175</v>
      </c>
      <c r="E213" t="s">
        <v>1185</v>
      </c>
      <c r="F213">
        <f t="shared" si="72"/>
        <v>1161.335000027</v>
      </c>
      <c r="G213">
        <f t="shared" si="72"/>
        <v>0.71739984700000003</v>
      </c>
      <c r="H213">
        <f t="shared" si="72"/>
        <v>0</v>
      </c>
      <c r="I213">
        <f t="shared" si="72"/>
        <v>0</v>
      </c>
      <c r="J213">
        <f t="shared" si="72"/>
        <v>0</v>
      </c>
      <c r="K213">
        <f t="shared" si="72"/>
        <v>0</v>
      </c>
      <c r="L213">
        <f t="shared" si="72"/>
        <v>0</v>
      </c>
      <c r="M213">
        <f t="shared" si="72"/>
        <v>0</v>
      </c>
      <c r="N213">
        <f t="shared" si="72"/>
        <v>0</v>
      </c>
      <c r="O213">
        <f t="shared" si="72"/>
        <v>0</v>
      </c>
      <c r="P213">
        <f t="shared" si="72"/>
        <v>3350.1</v>
      </c>
      <c r="Q213">
        <f t="shared" si="72"/>
        <v>0</v>
      </c>
    </row>
    <row r="214" spans="1:17">
      <c r="A214" s="83" t="s">
        <v>1186</v>
      </c>
      <c r="C214" s="472"/>
    </row>
    <row r="215" spans="1:17">
      <c r="A215" t="s">
        <v>1187</v>
      </c>
      <c r="B215" t="s">
        <v>1188</v>
      </c>
      <c r="C215" s="38">
        <f t="shared" ref="C215:C216" si="73">IF(D215=0,0,IF(OR(D215&gt;P215,D215&lt;Q215),"contact vendor",F215*D215^G215+H215*LN(D215)+I215+J215*EXP(K215*D215)+L215*D215^3+M215*D215^2+N215*D215+O215))</f>
        <v>12797.940858481534</v>
      </c>
      <c r="D215">
        <f>build1_cooling_tons/build1_zones</f>
        <v>4.324699988179515</v>
      </c>
      <c r="E215" t="s">
        <v>1189</v>
      </c>
      <c r="F215">
        <f t="shared" ref="F215:Q216" si="74">VLOOKUP($E215,eq_table_cl,F$4,FALSE)</f>
        <v>2490.0166433280001</v>
      </c>
      <c r="G215">
        <f t="shared" si="74"/>
        <v>1.117904172</v>
      </c>
      <c r="H215">
        <f t="shared" si="74"/>
        <v>0</v>
      </c>
      <c r="I215">
        <f t="shared" si="74"/>
        <v>0</v>
      </c>
      <c r="J215">
        <f t="shared" si="74"/>
        <v>0</v>
      </c>
      <c r="K215">
        <f t="shared" si="74"/>
        <v>0</v>
      </c>
      <c r="L215">
        <f t="shared" si="74"/>
        <v>0</v>
      </c>
      <c r="M215">
        <f t="shared" si="74"/>
        <v>0</v>
      </c>
      <c r="N215">
        <f t="shared" si="74"/>
        <v>0</v>
      </c>
      <c r="O215">
        <f t="shared" si="74"/>
        <v>0</v>
      </c>
      <c r="P215">
        <f t="shared" si="74"/>
        <v>113.33</v>
      </c>
      <c r="Q215">
        <f t="shared" si="74"/>
        <v>0</v>
      </c>
    </row>
    <row r="216" spans="1:17">
      <c r="A216" t="s">
        <v>611</v>
      </c>
      <c r="B216" t="s">
        <v>1190</v>
      </c>
      <c r="C216" s="38">
        <f t="shared" si="73"/>
        <v>7706.3565966399337</v>
      </c>
      <c r="D216">
        <f>build1_cooling_tons/build1_zones</f>
        <v>4.324699988179515</v>
      </c>
      <c r="E216" t="str">
        <f>IF(D216&gt;12,"hvac_hp_eq_large","hvac_hp_eq_small")</f>
        <v>hvac_hp_eq_small</v>
      </c>
      <c r="F216">
        <f t="shared" si="74"/>
        <v>3571.6003625200001</v>
      </c>
      <c r="G216">
        <f t="shared" si="74"/>
        <v>0.52517194700000003</v>
      </c>
      <c r="H216">
        <f t="shared" si="74"/>
        <v>0</v>
      </c>
      <c r="I216">
        <f t="shared" si="74"/>
        <v>0</v>
      </c>
      <c r="J216">
        <f t="shared" si="74"/>
        <v>0</v>
      </c>
      <c r="K216">
        <f t="shared" si="74"/>
        <v>0</v>
      </c>
      <c r="L216">
        <f t="shared" si="74"/>
        <v>0</v>
      </c>
      <c r="M216">
        <f t="shared" si="74"/>
        <v>0</v>
      </c>
      <c r="N216">
        <f t="shared" si="74"/>
        <v>0</v>
      </c>
      <c r="O216">
        <f t="shared" si="74"/>
        <v>0</v>
      </c>
      <c r="P216">
        <f t="shared" si="74"/>
        <v>12</v>
      </c>
      <c r="Q216">
        <f t="shared" si="74"/>
        <v>0</v>
      </c>
    </row>
    <row r="217" spans="1:17">
      <c r="A217" s="83" t="s">
        <v>389</v>
      </c>
      <c r="C217" s="472"/>
    </row>
    <row r="218" spans="1:17">
      <c r="A218" t="s">
        <v>1166</v>
      </c>
      <c r="B218" t="s">
        <v>1191</v>
      </c>
      <c r="C218" s="38">
        <f t="shared" ref="C218:C220" si="75">IF(D218=0,0,IF(OR(D218&gt;P218,D218&lt;Q218),"contact vendor",F218*D218^G218+H218*LN(D218)+I218+J218*EXP(K218*D218)+L218*D218^3+M218*D218^2+N218*D218+O218))</f>
        <v>0</v>
      </c>
      <c r="D218">
        <f>build2_fp</f>
        <v>0</v>
      </c>
      <c r="E218" t="s">
        <v>1168</v>
      </c>
      <c r="F218">
        <f t="shared" ref="F218:Q220" si="76">VLOOKUP($E218,eq_table_cl,F$4,FALSE)</f>
        <v>163.72087260199999</v>
      </c>
      <c r="G218">
        <f t="shared" si="76"/>
        <v>-9.5204622000000003E-2</v>
      </c>
      <c r="H218">
        <f t="shared" si="76"/>
        <v>0</v>
      </c>
      <c r="I218">
        <f t="shared" si="76"/>
        <v>0</v>
      </c>
      <c r="J218">
        <f t="shared" si="76"/>
        <v>0</v>
      </c>
      <c r="K218">
        <f t="shared" si="76"/>
        <v>0</v>
      </c>
      <c r="L218">
        <f t="shared" si="76"/>
        <v>0</v>
      </c>
      <c r="M218">
        <f t="shared" si="76"/>
        <v>0</v>
      </c>
      <c r="N218">
        <f t="shared" si="76"/>
        <v>0</v>
      </c>
      <c r="O218">
        <f t="shared" si="76"/>
        <v>0</v>
      </c>
      <c r="P218">
        <f t="shared" si="76"/>
        <v>200000.1</v>
      </c>
      <c r="Q218">
        <f t="shared" si="76"/>
        <v>0</v>
      </c>
    </row>
    <row r="219" spans="1:17">
      <c r="A219" t="s">
        <v>1169</v>
      </c>
      <c r="B219" t="s">
        <v>1192</v>
      </c>
      <c r="C219" s="38">
        <f t="shared" si="75"/>
        <v>0</v>
      </c>
      <c r="D219">
        <f>build2_fp</f>
        <v>0</v>
      </c>
      <c r="E219" t="s">
        <v>1171</v>
      </c>
      <c r="F219">
        <f t="shared" si="76"/>
        <v>198.02119383900001</v>
      </c>
      <c r="G219">
        <f t="shared" si="76"/>
        <v>-9.6244836E-2</v>
      </c>
      <c r="H219">
        <f t="shared" si="76"/>
        <v>0</v>
      </c>
      <c r="I219">
        <f t="shared" si="76"/>
        <v>0</v>
      </c>
      <c r="J219">
        <f t="shared" si="76"/>
        <v>0</v>
      </c>
      <c r="K219">
        <f t="shared" si="76"/>
        <v>0</v>
      </c>
      <c r="L219">
        <f t="shared" si="76"/>
        <v>0</v>
      </c>
      <c r="M219">
        <f t="shared" si="76"/>
        <v>0</v>
      </c>
      <c r="N219">
        <f t="shared" si="76"/>
        <v>0</v>
      </c>
      <c r="O219">
        <f t="shared" si="76"/>
        <v>0</v>
      </c>
      <c r="P219">
        <f t="shared" si="76"/>
        <v>200000.1</v>
      </c>
      <c r="Q219">
        <f t="shared" si="76"/>
        <v>0</v>
      </c>
    </row>
    <row r="220" spans="1:17">
      <c r="A220" t="s">
        <v>1172</v>
      </c>
      <c r="B220" t="s">
        <v>1193</v>
      </c>
      <c r="C220" s="38">
        <f t="shared" si="75"/>
        <v>0</v>
      </c>
      <c r="D220">
        <f>build2_fp</f>
        <v>0</v>
      </c>
      <c r="E220" t="s">
        <v>1174</v>
      </c>
      <c r="F220">
        <f t="shared" si="76"/>
        <v>378.41221851</v>
      </c>
      <c r="G220">
        <f t="shared" si="76"/>
        <v>-0.13671524199999999</v>
      </c>
      <c r="H220">
        <f t="shared" si="76"/>
        <v>0</v>
      </c>
      <c r="I220">
        <f t="shared" si="76"/>
        <v>0</v>
      </c>
      <c r="J220">
        <f t="shared" si="76"/>
        <v>0</v>
      </c>
      <c r="K220">
        <f t="shared" si="76"/>
        <v>0</v>
      </c>
      <c r="L220">
        <f t="shared" si="76"/>
        <v>0</v>
      </c>
      <c r="M220">
        <f t="shared" si="76"/>
        <v>0</v>
      </c>
      <c r="N220">
        <f t="shared" si="76"/>
        <v>0</v>
      </c>
      <c r="O220">
        <f t="shared" si="76"/>
        <v>0</v>
      </c>
      <c r="P220">
        <f t="shared" si="76"/>
        <v>200000.1</v>
      </c>
      <c r="Q220">
        <f t="shared" si="76"/>
        <v>0</v>
      </c>
    </row>
    <row r="221" spans="1:17">
      <c r="A221" s="83" t="s">
        <v>1175</v>
      </c>
      <c r="C221" s="472"/>
    </row>
    <row r="222" spans="1:17">
      <c r="A222" t="s">
        <v>1662</v>
      </c>
      <c r="B222" t="s">
        <v>1194</v>
      </c>
      <c r="C222" s="38">
        <f t="shared" ref="C222:C226" si="77">IF(D222=0,0,IF(OR(D222&gt;P222,D222&lt;Q222),"contact vendor",F222*D222^G222+H222*LN(D222)+I222+J222*EXP(K222*D222)+L222*D222^3+M222*D222^2+N222*D222+O222))</f>
        <v>0</v>
      </c>
      <c r="D222">
        <f>IF(build2_zones=0,0,build2_heat_mbh/build2_zones)</f>
        <v>0</v>
      </c>
      <c r="E222" t="s">
        <v>1177</v>
      </c>
      <c r="F222">
        <f t="shared" ref="F222:Q226" si="78">VLOOKUP($E222,eq_table_cl,F$4,FALSE)</f>
        <v>1144.4973268870001</v>
      </c>
      <c r="G222">
        <f t="shared" si="78"/>
        <v>0.76939132899999996</v>
      </c>
      <c r="H222">
        <f t="shared" si="78"/>
        <v>0</v>
      </c>
      <c r="I222">
        <f t="shared" si="78"/>
        <v>0</v>
      </c>
      <c r="J222">
        <f t="shared" si="78"/>
        <v>0</v>
      </c>
      <c r="K222">
        <f t="shared" si="78"/>
        <v>0</v>
      </c>
      <c r="L222">
        <f t="shared" si="78"/>
        <v>0</v>
      </c>
      <c r="M222">
        <f t="shared" si="78"/>
        <v>0</v>
      </c>
      <c r="N222">
        <f t="shared" si="78"/>
        <v>0</v>
      </c>
      <c r="O222">
        <f t="shared" si="78"/>
        <v>0</v>
      </c>
      <c r="P222">
        <f t="shared" si="78"/>
        <v>6148.1</v>
      </c>
      <c r="Q222">
        <f t="shared" si="78"/>
        <v>0</v>
      </c>
    </row>
    <row r="223" spans="1:17">
      <c r="A223" t="s">
        <v>725</v>
      </c>
      <c r="B223" t="s">
        <v>1195</v>
      </c>
      <c r="C223" s="38">
        <f t="shared" si="77"/>
        <v>0</v>
      </c>
      <c r="D223">
        <f>IF(build2_zones=0,0,build2_heat_mbh/build2_zones)</f>
        <v>0</v>
      </c>
      <c r="E223" t="s">
        <v>1179</v>
      </c>
      <c r="F223">
        <f t="shared" si="78"/>
        <v>884.952743048</v>
      </c>
      <c r="G223">
        <f t="shared" si="78"/>
        <v>0.75061779799999995</v>
      </c>
      <c r="H223">
        <f t="shared" si="78"/>
        <v>0</v>
      </c>
      <c r="I223">
        <f t="shared" si="78"/>
        <v>0</v>
      </c>
      <c r="J223">
        <f t="shared" si="78"/>
        <v>0</v>
      </c>
      <c r="K223">
        <f t="shared" si="78"/>
        <v>0</v>
      </c>
      <c r="L223">
        <f t="shared" si="78"/>
        <v>0</v>
      </c>
      <c r="M223">
        <f t="shared" si="78"/>
        <v>0</v>
      </c>
      <c r="N223">
        <f t="shared" si="78"/>
        <v>0</v>
      </c>
      <c r="O223">
        <f t="shared" si="78"/>
        <v>0</v>
      </c>
      <c r="P223">
        <f t="shared" si="78"/>
        <v>5032.1000000000004</v>
      </c>
      <c r="Q223">
        <f t="shared" si="78"/>
        <v>0</v>
      </c>
    </row>
    <row r="224" spans="1:17">
      <c r="A224" t="s">
        <v>726</v>
      </c>
      <c r="B224" t="s">
        <v>1196</v>
      </c>
      <c r="C224" s="38">
        <f t="shared" si="77"/>
        <v>0</v>
      </c>
      <c r="D224">
        <f>IF(build2_zones=0,0,build2_heat_mbh/build2_zones)</f>
        <v>0</v>
      </c>
      <c r="E224" t="s">
        <v>1181</v>
      </c>
      <c r="F224">
        <f t="shared" si="78"/>
        <v>884.952743048</v>
      </c>
      <c r="G224">
        <f t="shared" si="78"/>
        <v>0.75061779799999995</v>
      </c>
      <c r="H224">
        <f t="shared" si="78"/>
        <v>0</v>
      </c>
      <c r="I224">
        <f t="shared" si="78"/>
        <v>0</v>
      </c>
      <c r="J224">
        <f t="shared" si="78"/>
        <v>0</v>
      </c>
      <c r="K224">
        <f t="shared" si="78"/>
        <v>0</v>
      </c>
      <c r="L224">
        <f t="shared" si="78"/>
        <v>0</v>
      </c>
      <c r="M224">
        <f t="shared" si="78"/>
        <v>0</v>
      </c>
      <c r="N224">
        <f t="shared" si="78"/>
        <v>0</v>
      </c>
      <c r="O224">
        <f t="shared" si="78"/>
        <v>0</v>
      </c>
      <c r="P224">
        <f t="shared" si="78"/>
        <v>5032.1000000000004</v>
      </c>
      <c r="Q224">
        <f t="shared" si="78"/>
        <v>0</v>
      </c>
    </row>
    <row r="225" spans="1:17">
      <c r="A225" t="s">
        <v>1297</v>
      </c>
      <c r="B225" t="s">
        <v>1197</v>
      </c>
      <c r="C225" s="38">
        <f t="shared" si="77"/>
        <v>0</v>
      </c>
      <c r="D225">
        <f>IF(build2_zones=0,0,build2_heat_mbh/build2_zones)</f>
        <v>0</v>
      </c>
      <c r="E225" t="s">
        <v>1183</v>
      </c>
      <c r="F225">
        <f t="shared" si="78"/>
        <v>1161.335000027</v>
      </c>
      <c r="G225">
        <f t="shared" si="78"/>
        <v>0.71739984700000003</v>
      </c>
      <c r="H225">
        <f t="shared" si="78"/>
        <v>0</v>
      </c>
      <c r="I225">
        <f t="shared" si="78"/>
        <v>0</v>
      </c>
      <c r="J225">
        <f t="shared" si="78"/>
        <v>0</v>
      </c>
      <c r="K225">
        <f t="shared" si="78"/>
        <v>0</v>
      </c>
      <c r="L225">
        <f t="shared" si="78"/>
        <v>0</v>
      </c>
      <c r="M225">
        <f t="shared" si="78"/>
        <v>0</v>
      </c>
      <c r="N225">
        <f t="shared" si="78"/>
        <v>0</v>
      </c>
      <c r="O225">
        <f t="shared" si="78"/>
        <v>0</v>
      </c>
      <c r="P225">
        <f t="shared" si="78"/>
        <v>3350.1</v>
      </c>
      <c r="Q225">
        <f t="shared" si="78"/>
        <v>0</v>
      </c>
    </row>
    <row r="226" spans="1:17">
      <c r="A226" t="s">
        <v>1298</v>
      </c>
      <c r="B226" t="s">
        <v>1198</v>
      </c>
      <c r="C226" s="38">
        <f t="shared" si="77"/>
        <v>0</v>
      </c>
      <c r="D226">
        <f>IF(build2_zones=0,0,build2_heat_mbh/build2_zones)</f>
        <v>0</v>
      </c>
      <c r="E226" t="s">
        <v>1185</v>
      </c>
      <c r="F226">
        <f t="shared" si="78"/>
        <v>1161.335000027</v>
      </c>
      <c r="G226">
        <f t="shared" si="78"/>
        <v>0.71739984700000003</v>
      </c>
      <c r="H226">
        <f t="shared" si="78"/>
        <v>0</v>
      </c>
      <c r="I226">
        <f t="shared" si="78"/>
        <v>0</v>
      </c>
      <c r="J226">
        <f t="shared" si="78"/>
        <v>0</v>
      </c>
      <c r="K226">
        <f t="shared" si="78"/>
        <v>0</v>
      </c>
      <c r="L226">
        <f t="shared" si="78"/>
        <v>0</v>
      </c>
      <c r="M226">
        <f t="shared" si="78"/>
        <v>0</v>
      </c>
      <c r="N226">
        <f t="shared" si="78"/>
        <v>0</v>
      </c>
      <c r="O226">
        <f t="shared" si="78"/>
        <v>0</v>
      </c>
      <c r="P226">
        <f t="shared" si="78"/>
        <v>3350.1</v>
      </c>
      <c r="Q226">
        <f t="shared" si="78"/>
        <v>0</v>
      </c>
    </row>
    <row r="227" spans="1:17">
      <c r="A227" s="83" t="s">
        <v>1186</v>
      </c>
      <c r="C227" s="472"/>
    </row>
    <row r="228" spans="1:17">
      <c r="A228" t="s">
        <v>1187</v>
      </c>
      <c r="B228" t="s">
        <v>1199</v>
      </c>
      <c r="C228" s="38">
        <f t="shared" ref="C228:C229" si="79">IF(D228=0,0,IF(OR(D228&gt;P228,D228&lt;Q228),"contact vendor",F228*D228^G228+H228*LN(D228)+I228+J228*EXP(K228*D228)+L228*D228^3+M228*D228^2+N228*D228+O228))</f>
        <v>0</v>
      </c>
      <c r="D228">
        <f>IF(build2_zones=0,0,build2_cooling_tons/build2_zones)</f>
        <v>0</v>
      </c>
      <c r="E228" t="s">
        <v>1189</v>
      </c>
      <c r="F228">
        <f t="shared" ref="F228:Q229" si="80">VLOOKUP($E228,eq_table_cl,F$4,FALSE)</f>
        <v>2490.0166433280001</v>
      </c>
      <c r="G228">
        <f t="shared" si="80"/>
        <v>1.117904172</v>
      </c>
      <c r="H228">
        <f t="shared" si="80"/>
        <v>0</v>
      </c>
      <c r="I228">
        <f t="shared" si="80"/>
        <v>0</v>
      </c>
      <c r="J228">
        <f t="shared" si="80"/>
        <v>0</v>
      </c>
      <c r="K228">
        <f t="shared" si="80"/>
        <v>0</v>
      </c>
      <c r="L228">
        <f t="shared" si="80"/>
        <v>0</v>
      </c>
      <c r="M228">
        <f t="shared" si="80"/>
        <v>0</v>
      </c>
      <c r="N228">
        <f t="shared" si="80"/>
        <v>0</v>
      </c>
      <c r="O228">
        <f t="shared" si="80"/>
        <v>0</v>
      </c>
      <c r="P228">
        <f t="shared" si="80"/>
        <v>113.33</v>
      </c>
      <c r="Q228">
        <f t="shared" si="80"/>
        <v>0</v>
      </c>
    </row>
    <row r="229" spans="1:17">
      <c r="A229" t="s">
        <v>611</v>
      </c>
      <c r="B229" t="s">
        <v>1200</v>
      </c>
      <c r="C229" s="38">
        <f t="shared" si="79"/>
        <v>0</v>
      </c>
      <c r="D229">
        <f>IF(build2_zones=0,0,build2_cooling_tons/build2_zones)</f>
        <v>0</v>
      </c>
      <c r="E229" t="str">
        <f>IF(D229&gt;12,"hvac_hp_eq_large","hvac_hp_eq_small")</f>
        <v>hvac_hp_eq_small</v>
      </c>
      <c r="F229">
        <f t="shared" si="80"/>
        <v>3571.6003625200001</v>
      </c>
      <c r="G229">
        <f t="shared" si="80"/>
        <v>0.52517194700000003</v>
      </c>
      <c r="H229">
        <f t="shared" si="80"/>
        <v>0</v>
      </c>
      <c r="I229">
        <f t="shared" si="80"/>
        <v>0</v>
      </c>
      <c r="J229">
        <f t="shared" si="80"/>
        <v>0</v>
      </c>
      <c r="K229">
        <f t="shared" si="80"/>
        <v>0</v>
      </c>
      <c r="L229">
        <f t="shared" si="80"/>
        <v>0</v>
      </c>
      <c r="M229">
        <f t="shared" si="80"/>
        <v>0</v>
      </c>
      <c r="N229">
        <f t="shared" si="80"/>
        <v>0</v>
      </c>
      <c r="O229">
        <f t="shared" si="80"/>
        <v>0</v>
      </c>
      <c r="P229">
        <f t="shared" si="80"/>
        <v>12</v>
      </c>
      <c r="Q229">
        <f t="shared" si="80"/>
        <v>0</v>
      </c>
    </row>
    <row r="230" spans="1:17">
      <c r="A230" s="83" t="s">
        <v>175</v>
      </c>
      <c r="C230" s="472"/>
    </row>
    <row r="231" spans="1:17">
      <c r="A231" t="s">
        <v>1166</v>
      </c>
      <c r="B231" t="s">
        <v>177</v>
      </c>
      <c r="C231" s="38">
        <f t="shared" ref="C231:C233" si="81">IF(D231=0,0,IF(OR(D231&gt;P231,D231&lt;Q231),"contact vendor",F231*D231^G231+H231*LN(D231)+I231+J231*EXP(K231*D231)+L231*D231^3+M231*D231^2+N231*D231+O231))</f>
        <v>0</v>
      </c>
      <c r="D231">
        <f>r_inc_build1_fp</f>
        <v>0</v>
      </c>
      <c r="E231" t="s">
        <v>1168</v>
      </c>
      <c r="F231">
        <f t="shared" ref="F231:Q233" si="82">VLOOKUP($E231,eq_table_cl,F$4,FALSE)</f>
        <v>163.72087260199999</v>
      </c>
      <c r="G231">
        <f t="shared" si="82"/>
        <v>-9.5204622000000003E-2</v>
      </c>
      <c r="H231">
        <f t="shared" si="82"/>
        <v>0</v>
      </c>
      <c r="I231">
        <f t="shared" si="82"/>
        <v>0</v>
      </c>
      <c r="J231">
        <f t="shared" si="82"/>
        <v>0</v>
      </c>
      <c r="K231">
        <f t="shared" si="82"/>
        <v>0</v>
      </c>
      <c r="L231">
        <f t="shared" si="82"/>
        <v>0</v>
      </c>
      <c r="M231">
        <f t="shared" si="82"/>
        <v>0</v>
      </c>
      <c r="N231">
        <f t="shared" si="82"/>
        <v>0</v>
      </c>
      <c r="O231">
        <f t="shared" si="82"/>
        <v>0</v>
      </c>
      <c r="P231">
        <f t="shared" si="82"/>
        <v>200000.1</v>
      </c>
      <c r="Q231">
        <f t="shared" si="82"/>
        <v>0</v>
      </c>
    </row>
    <row r="232" spans="1:17">
      <c r="A232" t="s">
        <v>1169</v>
      </c>
      <c r="B232" t="s">
        <v>178</v>
      </c>
      <c r="C232" s="38">
        <f t="shared" si="81"/>
        <v>0</v>
      </c>
      <c r="D232">
        <f>r_inc_build1_fp</f>
        <v>0</v>
      </c>
      <c r="E232" t="s">
        <v>1171</v>
      </c>
      <c r="F232">
        <f t="shared" si="82"/>
        <v>198.02119383900001</v>
      </c>
      <c r="G232">
        <f t="shared" si="82"/>
        <v>-9.6244836E-2</v>
      </c>
      <c r="H232">
        <f t="shared" si="82"/>
        <v>0</v>
      </c>
      <c r="I232">
        <f t="shared" si="82"/>
        <v>0</v>
      </c>
      <c r="J232">
        <f t="shared" si="82"/>
        <v>0</v>
      </c>
      <c r="K232">
        <f t="shared" si="82"/>
        <v>0</v>
      </c>
      <c r="L232">
        <f t="shared" si="82"/>
        <v>0</v>
      </c>
      <c r="M232">
        <f t="shared" si="82"/>
        <v>0</v>
      </c>
      <c r="N232">
        <f t="shared" si="82"/>
        <v>0</v>
      </c>
      <c r="O232">
        <f t="shared" si="82"/>
        <v>0</v>
      </c>
      <c r="P232">
        <f t="shared" si="82"/>
        <v>200000.1</v>
      </c>
      <c r="Q232">
        <f t="shared" si="82"/>
        <v>0</v>
      </c>
    </row>
    <row r="233" spans="1:17">
      <c r="A233" t="s">
        <v>1172</v>
      </c>
      <c r="B233" t="s">
        <v>179</v>
      </c>
      <c r="C233" s="38">
        <f t="shared" si="81"/>
        <v>0</v>
      </c>
      <c r="D233">
        <f>r_inc_build1_fp</f>
        <v>0</v>
      </c>
      <c r="E233" t="s">
        <v>1174</v>
      </c>
      <c r="F233">
        <f t="shared" si="82"/>
        <v>378.41221851</v>
      </c>
      <c r="G233">
        <f t="shared" si="82"/>
        <v>-0.13671524199999999</v>
      </c>
      <c r="H233">
        <f t="shared" si="82"/>
        <v>0</v>
      </c>
      <c r="I233">
        <f t="shared" si="82"/>
        <v>0</v>
      </c>
      <c r="J233">
        <f t="shared" si="82"/>
        <v>0</v>
      </c>
      <c r="K233">
        <f t="shared" si="82"/>
        <v>0</v>
      </c>
      <c r="L233">
        <f t="shared" si="82"/>
        <v>0</v>
      </c>
      <c r="M233">
        <f t="shared" si="82"/>
        <v>0</v>
      </c>
      <c r="N233">
        <f t="shared" si="82"/>
        <v>0</v>
      </c>
      <c r="O233">
        <f t="shared" si="82"/>
        <v>0</v>
      </c>
      <c r="P233">
        <f t="shared" si="82"/>
        <v>200000.1</v>
      </c>
      <c r="Q233">
        <f t="shared" si="82"/>
        <v>0</v>
      </c>
    </row>
    <row r="234" spans="1:17">
      <c r="A234" s="83" t="s">
        <v>176</v>
      </c>
      <c r="C234" s="472"/>
    </row>
    <row r="235" spans="1:17">
      <c r="A235" t="s">
        <v>1166</v>
      </c>
      <c r="B235" t="s">
        <v>180</v>
      </c>
      <c r="C235" s="38">
        <f t="shared" ref="C235:C237" si="83">IF(D235=0,0,IF(OR(D235&gt;P235,D235&lt;Q235),"contact vendor",F235*D235^G235+H235*LN(D235)+I235+J235*EXP(K235*D235)+L235*D235^3+M235*D235^2+N235*D235+O235))</f>
        <v>0</v>
      </c>
      <c r="D235">
        <f>r_inc_build2_fp</f>
        <v>0</v>
      </c>
      <c r="E235" t="s">
        <v>1168</v>
      </c>
      <c r="F235">
        <f t="shared" ref="F235:Q237" si="84">VLOOKUP($E235,eq_table_cl,F$4,FALSE)</f>
        <v>163.72087260199999</v>
      </c>
      <c r="G235">
        <f t="shared" si="84"/>
        <v>-9.5204622000000003E-2</v>
      </c>
      <c r="H235">
        <f t="shared" si="84"/>
        <v>0</v>
      </c>
      <c r="I235">
        <f t="shared" si="84"/>
        <v>0</v>
      </c>
      <c r="J235">
        <f t="shared" si="84"/>
        <v>0</v>
      </c>
      <c r="K235">
        <f t="shared" si="84"/>
        <v>0</v>
      </c>
      <c r="L235">
        <f t="shared" si="84"/>
        <v>0</v>
      </c>
      <c r="M235">
        <f t="shared" si="84"/>
        <v>0</v>
      </c>
      <c r="N235">
        <f t="shared" si="84"/>
        <v>0</v>
      </c>
      <c r="O235">
        <f t="shared" si="84"/>
        <v>0</v>
      </c>
      <c r="P235">
        <f t="shared" si="84"/>
        <v>200000.1</v>
      </c>
      <c r="Q235">
        <f t="shared" si="84"/>
        <v>0</v>
      </c>
    </row>
    <row r="236" spans="1:17">
      <c r="A236" t="s">
        <v>1169</v>
      </c>
      <c r="B236" t="s">
        <v>181</v>
      </c>
      <c r="C236" s="38">
        <f t="shared" si="83"/>
        <v>0</v>
      </c>
      <c r="D236">
        <f>r_inc_build2_fp</f>
        <v>0</v>
      </c>
      <c r="E236" t="s">
        <v>1171</v>
      </c>
      <c r="F236">
        <f t="shared" si="84"/>
        <v>198.02119383900001</v>
      </c>
      <c r="G236">
        <f t="shared" si="84"/>
        <v>-9.6244836E-2</v>
      </c>
      <c r="H236">
        <f t="shared" si="84"/>
        <v>0</v>
      </c>
      <c r="I236">
        <f t="shared" si="84"/>
        <v>0</v>
      </c>
      <c r="J236">
        <f t="shared" si="84"/>
        <v>0</v>
      </c>
      <c r="K236">
        <f t="shared" si="84"/>
        <v>0</v>
      </c>
      <c r="L236">
        <f t="shared" si="84"/>
        <v>0</v>
      </c>
      <c r="M236">
        <f t="shared" si="84"/>
        <v>0</v>
      </c>
      <c r="N236">
        <f t="shared" si="84"/>
        <v>0</v>
      </c>
      <c r="O236">
        <f t="shared" si="84"/>
        <v>0</v>
      </c>
      <c r="P236">
        <f t="shared" si="84"/>
        <v>200000.1</v>
      </c>
      <c r="Q236">
        <f t="shared" si="84"/>
        <v>0</v>
      </c>
    </row>
    <row r="237" spans="1:17">
      <c r="A237" t="s">
        <v>1172</v>
      </c>
      <c r="B237" t="s">
        <v>182</v>
      </c>
      <c r="C237" s="38">
        <f t="shared" si="83"/>
        <v>0</v>
      </c>
      <c r="D237">
        <f>r_inc_build2_fp</f>
        <v>0</v>
      </c>
      <c r="E237" t="s">
        <v>1174</v>
      </c>
      <c r="F237">
        <f t="shared" si="84"/>
        <v>378.41221851</v>
      </c>
      <c r="G237">
        <f t="shared" si="84"/>
        <v>-0.13671524199999999</v>
      </c>
      <c r="H237">
        <f t="shared" si="84"/>
        <v>0</v>
      </c>
      <c r="I237">
        <f t="shared" si="84"/>
        <v>0</v>
      </c>
      <c r="J237">
        <f t="shared" si="84"/>
        <v>0</v>
      </c>
      <c r="K237">
        <f t="shared" si="84"/>
        <v>0</v>
      </c>
      <c r="L237">
        <f t="shared" si="84"/>
        <v>0</v>
      </c>
      <c r="M237">
        <f t="shared" si="84"/>
        <v>0</v>
      </c>
      <c r="N237">
        <f t="shared" si="84"/>
        <v>0</v>
      </c>
      <c r="O237">
        <f t="shared" si="84"/>
        <v>0</v>
      </c>
      <c r="P237">
        <f t="shared" si="84"/>
        <v>200000.1</v>
      </c>
      <c r="Q237">
        <f t="shared" si="84"/>
        <v>0</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9932F-66E4-4440-91B5-6B74483CDC94}">
  <sheetPr codeName="Sheet24"/>
  <dimension ref="A1:P64"/>
  <sheetViews>
    <sheetView workbookViewId="0">
      <pane xSplit="1" ySplit="5" topLeftCell="B6" activePane="bottomRight" state="frozen"/>
      <selection pane="topRight" activeCell="B1" sqref="B1"/>
      <selection pane="bottomLeft" activeCell="A6" sqref="A6"/>
      <selection pane="bottomRight"/>
    </sheetView>
  </sheetViews>
  <sheetFormatPr baseColWidth="10" defaultColWidth="8.83203125" defaultRowHeight="13"/>
  <cols>
    <col min="1" max="1" width="25.5" customWidth="1"/>
  </cols>
  <sheetData>
    <row r="1" spans="1:16">
      <c r="A1" s="1" t="s">
        <v>4632</v>
      </c>
      <c r="B1" s="414"/>
      <c r="C1" s="980"/>
      <c r="L1" s="981"/>
      <c r="N1" s="20"/>
    </row>
    <row r="2" spans="1:16">
      <c r="A2" s="570" t="s">
        <v>3269</v>
      </c>
      <c r="C2" s="489"/>
      <c r="L2" s="981"/>
      <c r="N2" s="20"/>
    </row>
    <row r="3" spans="1:16">
      <c r="A3" s="1"/>
      <c r="L3" s="981"/>
      <c r="N3" s="20"/>
    </row>
    <row r="4" spans="1:16">
      <c r="B4" s="414" t="s">
        <v>4529</v>
      </c>
      <c r="D4" t="s">
        <v>4530</v>
      </c>
      <c r="F4" t="s">
        <v>4531</v>
      </c>
      <c r="H4" t="s">
        <v>4532</v>
      </c>
      <c r="L4" s="990" t="s">
        <v>4533</v>
      </c>
      <c r="N4" s="20"/>
    </row>
    <row r="5" spans="1:16">
      <c r="A5" s="2" t="s">
        <v>4534</v>
      </c>
      <c r="B5" s="2" t="s">
        <v>4535</v>
      </c>
      <c r="C5" s="2" t="s">
        <v>4536</v>
      </c>
      <c r="D5" s="2" t="s">
        <v>4537</v>
      </c>
      <c r="E5" s="2" t="s">
        <v>4538</v>
      </c>
      <c r="F5" s="2" t="s">
        <v>4539</v>
      </c>
      <c r="G5" s="2" t="s">
        <v>4540</v>
      </c>
      <c r="H5" s="2" t="s">
        <v>4541</v>
      </c>
      <c r="I5" s="2" t="s">
        <v>4542</v>
      </c>
      <c r="J5" s="2" t="s">
        <v>4543</v>
      </c>
      <c r="K5" s="2" t="s">
        <v>4544</v>
      </c>
      <c r="L5" s="991" t="s">
        <v>4545</v>
      </c>
      <c r="M5" s="2" t="s">
        <v>4546</v>
      </c>
      <c r="N5" s="992" t="s">
        <v>4547</v>
      </c>
      <c r="O5" s="2" t="s">
        <v>4548</v>
      </c>
      <c r="P5" s="2" t="s">
        <v>4633</v>
      </c>
    </row>
    <row r="6" spans="1:16">
      <c r="A6" t="s">
        <v>1646</v>
      </c>
      <c r="B6" s="10">
        <v>0</v>
      </c>
      <c r="C6" s="10">
        <v>0</v>
      </c>
      <c r="D6" s="10">
        <v>0</v>
      </c>
      <c r="E6" s="10">
        <v>0</v>
      </c>
      <c r="F6" s="10">
        <v>0</v>
      </c>
      <c r="G6" s="10">
        <v>0</v>
      </c>
      <c r="H6" s="10">
        <v>0</v>
      </c>
      <c r="I6">
        <v>-6.7002999999999995E-4</v>
      </c>
      <c r="J6">
        <v>14.809014980000001</v>
      </c>
      <c r="K6">
        <v>4093.494684836</v>
      </c>
      <c r="L6" s="981">
        <v>0.16787720556525074</v>
      </c>
      <c r="M6" t="s">
        <v>4583</v>
      </c>
      <c r="N6" s="20">
        <v>0.95812431183124169</v>
      </c>
      <c r="O6">
        <v>10001</v>
      </c>
      <c r="P6">
        <v>0</v>
      </c>
    </row>
    <row r="7" spans="1:16">
      <c r="A7" t="s">
        <v>1174</v>
      </c>
      <c r="B7">
        <v>378.41221851</v>
      </c>
      <c r="C7">
        <v>-0.13671524199999999</v>
      </c>
      <c r="D7" s="10">
        <v>0</v>
      </c>
      <c r="E7" s="10">
        <v>0</v>
      </c>
      <c r="F7" s="10">
        <v>0</v>
      </c>
      <c r="G7" s="10">
        <v>0</v>
      </c>
      <c r="H7" s="10">
        <v>0</v>
      </c>
      <c r="I7" s="10">
        <v>0</v>
      </c>
      <c r="J7" s="10">
        <v>0</v>
      </c>
      <c r="K7" s="10">
        <v>0</v>
      </c>
      <c r="L7" s="981">
        <v>4.0372546378012256E-2</v>
      </c>
      <c r="M7" t="s">
        <v>4605</v>
      </c>
      <c r="N7" s="20">
        <v>0.95319947666108407</v>
      </c>
      <c r="O7">
        <v>200000.1</v>
      </c>
      <c r="P7">
        <v>0</v>
      </c>
    </row>
    <row r="8" spans="1:16">
      <c r="A8" t="s">
        <v>1168</v>
      </c>
      <c r="B8">
        <v>163.72087260199999</v>
      </c>
      <c r="C8">
        <v>-9.5204622000000003E-2</v>
      </c>
      <c r="D8" s="10">
        <v>0</v>
      </c>
      <c r="E8" s="10">
        <v>0</v>
      </c>
      <c r="F8" s="10">
        <v>0</v>
      </c>
      <c r="G8" s="10">
        <v>0</v>
      </c>
      <c r="H8" s="10">
        <v>0</v>
      </c>
      <c r="I8" s="10">
        <v>0</v>
      </c>
      <c r="J8" s="10">
        <v>0</v>
      </c>
      <c r="K8" s="10">
        <v>0</v>
      </c>
      <c r="L8" s="981">
        <v>2.4871309850656418E-2</v>
      </c>
      <c r="M8" t="s">
        <v>4603</v>
      </c>
      <c r="N8" s="20">
        <v>0.96700830313985342</v>
      </c>
      <c r="O8">
        <v>200000.1</v>
      </c>
      <c r="P8">
        <v>0</v>
      </c>
    </row>
    <row r="9" spans="1:16">
      <c r="A9" t="s">
        <v>1171</v>
      </c>
      <c r="B9">
        <v>198.02119383900001</v>
      </c>
      <c r="C9">
        <v>-9.6244836E-2</v>
      </c>
      <c r="D9" s="10">
        <v>0</v>
      </c>
      <c r="E9" s="10">
        <v>0</v>
      </c>
      <c r="F9" s="10">
        <v>0</v>
      </c>
      <c r="G9" s="10">
        <v>0</v>
      </c>
      <c r="H9" s="10">
        <v>0</v>
      </c>
      <c r="I9" s="10">
        <v>0</v>
      </c>
      <c r="J9" s="10">
        <v>0</v>
      </c>
      <c r="K9" s="10">
        <v>0</v>
      </c>
      <c r="L9" s="981">
        <v>2.5881342871107462E-2</v>
      </c>
      <c r="M9" t="s">
        <v>4604</v>
      </c>
      <c r="N9" s="20">
        <v>0.96588495619097448</v>
      </c>
      <c r="O9">
        <v>200000.1</v>
      </c>
      <c r="P9">
        <v>0</v>
      </c>
    </row>
    <row r="10" spans="1:16">
      <c r="A10" t="s">
        <v>4577</v>
      </c>
      <c r="B10" s="10">
        <v>0</v>
      </c>
      <c r="C10" s="10">
        <v>0</v>
      </c>
      <c r="D10" s="10">
        <v>0</v>
      </c>
      <c r="E10" s="10">
        <v>0</v>
      </c>
      <c r="F10" s="10">
        <v>0</v>
      </c>
      <c r="G10" s="10">
        <v>0</v>
      </c>
      <c r="H10">
        <v>1.500986001</v>
      </c>
      <c r="I10">
        <v>-137.11144950400001</v>
      </c>
      <c r="J10">
        <v>4591.2435827480003</v>
      </c>
      <c r="K10">
        <v>-36246.272177972001</v>
      </c>
      <c r="L10" s="981">
        <v>0.10118956633106969</v>
      </c>
      <c r="M10" t="s">
        <v>4578</v>
      </c>
      <c r="N10" s="20">
        <v>0.94922030750420328</v>
      </c>
      <c r="O10">
        <v>48.1</v>
      </c>
      <c r="P10">
        <v>14</v>
      </c>
    </row>
    <row r="11" spans="1:16">
      <c r="A11" t="s">
        <v>4575</v>
      </c>
      <c r="B11">
        <v>221.77653215199999</v>
      </c>
      <c r="C11">
        <v>1.0463710340000001</v>
      </c>
      <c r="D11" s="10">
        <v>0</v>
      </c>
      <c r="E11" s="10">
        <v>0</v>
      </c>
      <c r="F11" s="10">
        <v>0</v>
      </c>
      <c r="G11" s="10">
        <v>0</v>
      </c>
      <c r="H11" s="10">
        <v>0</v>
      </c>
      <c r="I11" s="10">
        <v>0</v>
      </c>
      <c r="J11" s="10">
        <v>0</v>
      </c>
      <c r="K11" s="10">
        <v>0</v>
      </c>
      <c r="L11" s="981">
        <v>0.19940134150122094</v>
      </c>
      <c r="M11" t="s">
        <v>4576</v>
      </c>
      <c r="N11" s="20">
        <v>0.94954224445418201</v>
      </c>
      <c r="O11">
        <v>12</v>
      </c>
      <c r="P11">
        <v>1</v>
      </c>
    </row>
    <row r="12" spans="1:16">
      <c r="A12" t="s">
        <v>1645</v>
      </c>
      <c r="B12" s="10">
        <v>0</v>
      </c>
      <c r="C12" s="10">
        <v>0</v>
      </c>
      <c r="D12" s="10">
        <v>0</v>
      </c>
      <c r="E12" s="10">
        <v>0</v>
      </c>
      <c r="F12" s="10">
        <v>0</v>
      </c>
      <c r="G12" s="10">
        <v>0</v>
      </c>
      <c r="H12">
        <v>3.240756524</v>
      </c>
      <c r="I12">
        <v>50.118205304</v>
      </c>
      <c r="J12">
        <v>-32.545647099999996</v>
      </c>
      <c r="K12">
        <v>553.63390991000006</v>
      </c>
      <c r="L12" s="981">
        <v>0.12711337788421534</v>
      </c>
      <c r="M12" t="s">
        <v>4581</v>
      </c>
      <c r="N12" s="20">
        <v>0.95706868872522688</v>
      </c>
      <c r="O12">
        <v>24.1</v>
      </c>
      <c r="P12">
        <v>2</v>
      </c>
    </row>
    <row r="13" spans="1:16">
      <c r="A13" t="s">
        <v>604</v>
      </c>
      <c r="B13" s="10">
        <v>0</v>
      </c>
      <c r="C13" s="10">
        <v>0</v>
      </c>
      <c r="D13" s="10">
        <v>0</v>
      </c>
      <c r="E13" s="10">
        <v>0</v>
      </c>
      <c r="F13" s="10">
        <v>0</v>
      </c>
      <c r="G13" s="10">
        <v>0</v>
      </c>
      <c r="H13" s="10">
        <v>0</v>
      </c>
      <c r="I13" s="10">
        <v>0</v>
      </c>
      <c r="J13">
        <v>1304.6120832720001</v>
      </c>
      <c r="K13">
        <v>-1165.0485677490001</v>
      </c>
      <c r="L13" s="981">
        <v>0.34948104502507477</v>
      </c>
      <c r="M13" t="s">
        <v>4569</v>
      </c>
      <c r="N13" s="20">
        <v>0.94241839597621901</v>
      </c>
      <c r="O13">
        <v>48.1</v>
      </c>
      <c r="P13">
        <v>1</v>
      </c>
    </row>
    <row r="14" spans="1:16">
      <c r="A14" t="s">
        <v>3216</v>
      </c>
      <c r="B14" s="10">
        <v>0</v>
      </c>
      <c r="C14" s="10">
        <v>0</v>
      </c>
      <c r="D14" s="10">
        <v>0</v>
      </c>
      <c r="E14" s="10">
        <v>0</v>
      </c>
      <c r="F14" s="10">
        <v>0</v>
      </c>
      <c r="G14" s="10">
        <v>0</v>
      </c>
      <c r="H14">
        <v>2.5666000000000001E-5</v>
      </c>
      <c r="I14">
        <v>-3.1620271999999998E-2</v>
      </c>
      <c r="J14">
        <v>66.758900197000003</v>
      </c>
      <c r="K14">
        <v>1888.9601026519999</v>
      </c>
      <c r="L14" s="981">
        <v>3.3285905839289309E-2</v>
      </c>
      <c r="M14" t="s">
        <v>4600</v>
      </c>
      <c r="N14" s="20">
        <v>0.99496202597007644</v>
      </c>
      <c r="O14">
        <v>1001</v>
      </c>
      <c r="P14">
        <v>0</v>
      </c>
    </row>
    <row r="15" spans="1:16">
      <c r="A15" t="s">
        <v>3215</v>
      </c>
      <c r="B15" s="10">
        <v>0</v>
      </c>
      <c r="C15" s="10">
        <v>0</v>
      </c>
      <c r="D15" s="10">
        <v>0</v>
      </c>
      <c r="E15" s="10">
        <v>0</v>
      </c>
      <c r="F15" s="10">
        <v>0</v>
      </c>
      <c r="G15" s="10">
        <v>0</v>
      </c>
      <c r="H15">
        <v>-5.6289999999999998E-6</v>
      </c>
      <c r="I15">
        <v>1.3916018E-2</v>
      </c>
      <c r="J15">
        <v>52.090398698000001</v>
      </c>
      <c r="K15">
        <v>47002.723866152999</v>
      </c>
      <c r="L15" s="981">
        <v>8.1474118959206938E-3</v>
      </c>
      <c r="M15" t="s">
        <v>4599</v>
      </c>
      <c r="N15" s="20">
        <v>0.99893759812171934</v>
      </c>
      <c r="O15">
        <v>1001</v>
      </c>
      <c r="P15">
        <v>0</v>
      </c>
    </row>
    <row r="16" spans="1:16">
      <c r="A16" t="s">
        <v>3217</v>
      </c>
      <c r="B16" s="10">
        <v>0</v>
      </c>
      <c r="C16" s="10">
        <v>0</v>
      </c>
      <c r="D16" s="10">
        <v>0</v>
      </c>
      <c r="E16" s="10">
        <v>0</v>
      </c>
      <c r="F16">
        <v>33696.395725932998</v>
      </c>
      <c r="G16">
        <v>5.9381778000000003E-2</v>
      </c>
      <c r="H16" s="10">
        <v>0</v>
      </c>
      <c r="I16" s="10">
        <v>0</v>
      </c>
      <c r="J16" s="10">
        <v>0</v>
      </c>
      <c r="K16" s="10">
        <v>0</v>
      </c>
      <c r="L16" s="981">
        <v>4.9521570484974298E-2</v>
      </c>
      <c r="M16" t="s">
        <v>4601</v>
      </c>
      <c r="N16" s="20">
        <v>0.98522124707860403</v>
      </c>
      <c r="O16">
        <v>31</v>
      </c>
      <c r="P16">
        <v>0</v>
      </c>
    </row>
    <row r="17" spans="1:16">
      <c r="A17" t="s">
        <v>598</v>
      </c>
      <c r="B17" s="10">
        <v>0</v>
      </c>
      <c r="C17" s="10">
        <v>0</v>
      </c>
      <c r="D17" s="10">
        <v>0</v>
      </c>
      <c r="E17" s="10">
        <v>0</v>
      </c>
      <c r="F17" s="10">
        <v>0</v>
      </c>
      <c r="G17" s="10">
        <v>0</v>
      </c>
      <c r="H17">
        <v>6.5072480000000002E-3</v>
      </c>
      <c r="I17">
        <v>0.74408816600000005</v>
      </c>
      <c r="J17">
        <v>2.9106427579999998</v>
      </c>
      <c r="K17">
        <v>0.95118725599999998</v>
      </c>
      <c r="L17" s="981">
        <v>9.2730127969551934E-2</v>
      </c>
      <c r="M17" t="s">
        <v>4560</v>
      </c>
      <c r="N17" s="20">
        <v>0.97997834929612926</v>
      </c>
      <c r="O17">
        <v>18.100000000000001</v>
      </c>
      <c r="P17">
        <v>0</v>
      </c>
    </row>
    <row r="18" spans="1:16">
      <c r="A18" t="s">
        <v>1088</v>
      </c>
      <c r="B18">
        <v>1596.499332614</v>
      </c>
      <c r="C18">
        <v>0.45949680900000001</v>
      </c>
      <c r="D18" s="10">
        <v>0</v>
      </c>
      <c r="E18" s="10">
        <v>0</v>
      </c>
      <c r="F18" s="10">
        <v>0</v>
      </c>
      <c r="G18" s="10">
        <v>0</v>
      </c>
      <c r="H18" s="10">
        <v>0</v>
      </c>
      <c r="I18" s="10">
        <v>0</v>
      </c>
      <c r="J18" s="10">
        <v>0</v>
      </c>
      <c r="K18" s="10">
        <v>0</v>
      </c>
      <c r="L18" s="981">
        <v>0.10812247070213186</v>
      </c>
      <c r="M18" t="s">
        <v>4550</v>
      </c>
      <c r="N18" s="20">
        <v>0.98240798871887336</v>
      </c>
      <c r="O18">
        <v>27101</v>
      </c>
      <c r="P18">
        <v>0</v>
      </c>
    </row>
    <row r="19" spans="1:16">
      <c r="A19" t="s">
        <v>1089</v>
      </c>
      <c r="B19">
        <v>1798.6988144679999</v>
      </c>
      <c r="C19">
        <v>0.42308934100000001</v>
      </c>
      <c r="D19" s="10">
        <v>0</v>
      </c>
      <c r="E19" s="10">
        <v>0</v>
      </c>
      <c r="F19" s="10">
        <v>0</v>
      </c>
      <c r="G19" s="10">
        <v>0</v>
      </c>
      <c r="H19" s="10">
        <v>0</v>
      </c>
      <c r="I19" s="10">
        <v>0</v>
      </c>
      <c r="J19" s="10">
        <v>0</v>
      </c>
      <c r="K19" s="10">
        <v>0</v>
      </c>
      <c r="L19" s="981">
        <v>0.10094397418738933</v>
      </c>
      <c r="M19" t="s">
        <v>4551</v>
      </c>
      <c r="N19" s="20">
        <v>0.98661329367737571</v>
      </c>
      <c r="O19">
        <v>27101</v>
      </c>
      <c r="P19">
        <v>0</v>
      </c>
    </row>
    <row r="20" spans="1:16">
      <c r="A20" t="s">
        <v>597</v>
      </c>
      <c r="B20" s="993">
        <v>0</v>
      </c>
      <c r="C20" s="10">
        <v>0</v>
      </c>
      <c r="D20" s="10">
        <v>0</v>
      </c>
      <c r="E20" s="10">
        <v>0</v>
      </c>
      <c r="F20" s="10">
        <v>0</v>
      </c>
      <c r="G20" s="10">
        <v>0</v>
      </c>
      <c r="H20">
        <v>1.3009082E-2</v>
      </c>
      <c r="I20">
        <v>-0.63853567099999997</v>
      </c>
      <c r="J20">
        <v>18.152542467</v>
      </c>
      <c r="K20">
        <v>11.056607186999999</v>
      </c>
      <c r="L20" s="981">
        <v>8.2838949266919329E-2</v>
      </c>
      <c r="M20" t="s">
        <v>4559</v>
      </c>
      <c r="N20" s="20">
        <v>0.99257213725669535</v>
      </c>
      <c r="O20">
        <v>48.1</v>
      </c>
      <c r="P20">
        <v>4</v>
      </c>
    </row>
    <row r="21" spans="1:16">
      <c r="A21" t="s">
        <v>1090</v>
      </c>
      <c r="B21">
        <v>135.281859973</v>
      </c>
      <c r="C21">
        <v>0.66222618499999997</v>
      </c>
      <c r="D21" s="10">
        <v>0</v>
      </c>
      <c r="E21" s="10">
        <v>0</v>
      </c>
      <c r="F21" s="10">
        <v>0</v>
      </c>
      <c r="G21" s="10">
        <v>0</v>
      </c>
      <c r="H21" s="10">
        <v>0</v>
      </c>
      <c r="I21" s="10">
        <v>0</v>
      </c>
      <c r="J21" s="10">
        <v>0</v>
      </c>
      <c r="K21" s="10">
        <v>0</v>
      </c>
      <c r="L21" s="981">
        <v>0.56626731611720127</v>
      </c>
      <c r="M21" t="s">
        <v>4554</v>
      </c>
      <c r="N21" s="20">
        <v>0.79467834835124995</v>
      </c>
      <c r="O21">
        <v>20001</v>
      </c>
      <c r="P21">
        <v>0</v>
      </c>
    </row>
    <row r="22" spans="1:16">
      <c r="A22" s="414" t="s">
        <v>2298</v>
      </c>
      <c r="B22" s="414">
        <v>259.35532937099998</v>
      </c>
      <c r="C22">
        <v>0.55137656199999996</v>
      </c>
      <c r="D22" s="10">
        <v>0</v>
      </c>
      <c r="E22" s="10">
        <v>0</v>
      </c>
      <c r="F22" s="10">
        <v>0</v>
      </c>
      <c r="G22" s="10">
        <v>0</v>
      </c>
      <c r="H22" s="10">
        <v>0</v>
      </c>
      <c r="I22" s="10">
        <v>0</v>
      </c>
      <c r="J22" s="10">
        <v>0</v>
      </c>
      <c r="K22" s="10">
        <v>0</v>
      </c>
      <c r="L22" s="981">
        <v>0.37258732877875211</v>
      </c>
      <c r="M22" t="s">
        <v>4557</v>
      </c>
      <c r="N22" s="20">
        <v>0.65985747035876607</v>
      </c>
      <c r="O22">
        <v>30001</v>
      </c>
      <c r="P22">
        <v>0</v>
      </c>
    </row>
    <row r="23" spans="1:16">
      <c r="A23" t="s">
        <v>595</v>
      </c>
      <c r="B23" s="10">
        <v>0</v>
      </c>
      <c r="C23" s="10">
        <v>0</v>
      </c>
      <c r="D23" s="10">
        <v>0</v>
      </c>
      <c r="E23" s="10">
        <v>0</v>
      </c>
      <c r="F23" s="10">
        <v>0</v>
      </c>
      <c r="G23" s="10">
        <v>0</v>
      </c>
      <c r="H23" s="10">
        <v>0</v>
      </c>
      <c r="I23">
        <v>2.2354919999999999E-3</v>
      </c>
      <c r="J23">
        <v>18.79231828</v>
      </c>
      <c r="K23">
        <v>275.54372241900001</v>
      </c>
      <c r="L23" s="994">
        <v>2.7488567290999504E-2</v>
      </c>
      <c r="M23" t="s">
        <v>4552</v>
      </c>
      <c r="N23" s="995">
        <v>0.99878194649957874</v>
      </c>
      <c r="O23">
        <v>901</v>
      </c>
      <c r="P23">
        <v>0</v>
      </c>
    </row>
    <row r="24" spans="1:16">
      <c r="A24" t="s">
        <v>3125</v>
      </c>
      <c r="B24" s="10">
        <v>0</v>
      </c>
      <c r="C24" s="10">
        <v>0</v>
      </c>
      <c r="D24" s="10">
        <v>0</v>
      </c>
      <c r="E24" s="10">
        <v>0</v>
      </c>
      <c r="F24">
        <v>2.101628083</v>
      </c>
      <c r="G24">
        <v>-5.6370000000000004E-6</v>
      </c>
      <c r="H24" s="10">
        <v>0</v>
      </c>
      <c r="I24" s="10">
        <v>0</v>
      </c>
      <c r="J24" s="10">
        <v>0</v>
      </c>
      <c r="K24" s="10">
        <v>0</v>
      </c>
      <c r="L24" s="981">
        <v>1.9633050773600032E-3</v>
      </c>
      <c r="M24" t="s">
        <v>4596</v>
      </c>
      <c r="N24" s="20">
        <v>0.9995210307055945</v>
      </c>
      <c r="O24">
        <v>40000</v>
      </c>
      <c r="P24">
        <v>0</v>
      </c>
    </row>
    <row r="25" spans="1:16">
      <c r="A25" t="s">
        <v>2698</v>
      </c>
      <c r="B25" s="10">
        <v>0</v>
      </c>
      <c r="C25" s="10">
        <v>0</v>
      </c>
      <c r="D25" s="10">
        <v>0</v>
      </c>
      <c r="E25" s="10">
        <v>0</v>
      </c>
      <c r="F25" s="10">
        <v>0</v>
      </c>
      <c r="G25" s="10">
        <v>0</v>
      </c>
      <c r="H25" s="10">
        <v>0</v>
      </c>
      <c r="I25">
        <v>-5.3099999999999998E-7</v>
      </c>
      <c r="J25">
        <v>0.21637999499999999</v>
      </c>
      <c r="K25">
        <v>1726.1361602259999</v>
      </c>
      <c r="L25" s="981">
        <v>0.13634459989196074</v>
      </c>
      <c r="M25" t="s">
        <v>4588</v>
      </c>
      <c r="N25" s="20">
        <v>0.88989336622886217</v>
      </c>
      <c r="O25">
        <v>108290</v>
      </c>
      <c r="P25">
        <v>0</v>
      </c>
    </row>
    <row r="26" spans="1:16">
      <c r="A26" t="s">
        <v>1091</v>
      </c>
      <c r="B26" s="10">
        <v>0</v>
      </c>
      <c r="C26" s="10">
        <v>0</v>
      </c>
      <c r="D26" s="10">
        <v>0</v>
      </c>
      <c r="E26" s="10">
        <v>0</v>
      </c>
      <c r="F26" s="10">
        <v>0</v>
      </c>
      <c r="G26" s="10">
        <v>0</v>
      </c>
      <c r="H26">
        <v>3E-9</v>
      </c>
      <c r="I26">
        <v>-4.4866E-5</v>
      </c>
      <c r="J26">
        <v>2.0973282219999998</v>
      </c>
      <c r="K26">
        <v>434.23312942000001</v>
      </c>
      <c r="L26" s="981">
        <v>0.15508350270168716</v>
      </c>
      <c r="M26" t="s">
        <v>4555</v>
      </c>
      <c r="N26" s="20">
        <v>0.89583196859918646</v>
      </c>
      <c r="O26">
        <v>16502</v>
      </c>
      <c r="P26">
        <v>0</v>
      </c>
    </row>
    <row r="27" spans="1:16">
      <c r="A27" t="s">
        <v>1189</v>
      </c>
      <c r="B27">
        <v>2490.0166433280001</v>
      </c>
      <c r="C27">
        <v>1.117904172</v>
      </c>
      <c r="D27" s="10">
        <v>0</v>
      </c>
      <c r="E27" s="10">
        <v>0</v>
      </c>
      <c r="F27" s="10">
        <v>0</v>
      </c>
      <c r="G27" s="10">
        <v>0</v>
      </c>
      <c r="H27" s="10">
        <v>0</v>
      </c>
      <c r="I27" s="10">
        <v>0</v>
      </c>
      <c r="J27" s="10">
        <v>0</v>
      </c>
      <c r="K27" s="10">
        <v>0</v>
      </c>
      <c r="L27" s="981">
        <v>2.9060052999028089E-2</v>
      </c>
      <c r="M27" t="s">
        <v>4606</v>
      </c>
      <c r="N27" s="20">
        <v>0.99708569616381693</v>
      </c>
      <c r="O27">
        <v>113.33</v>
      </c>
      <c r="P27">
        <v>0</v>
      </c>
    </row>
    <row r="28" spans="1:16">
      <c r="A28" t="s">
        <v>1177</v>
      </c>
      <c r="B28">
        <v>1144.4973268870001</v>
      </c>
      <c r="C28">
        <v>0.76939132899999996</v>
      </c>
      <c r="D28" s="10">
        <v>0</v>
      </c>
      <c r="E28" s="10">
        <v>0</v>
      </c>
      <c r="F28" s="10">
        <v>0</v>
      </c>
      <c r="G28" s="10">
        <v>0</v>
      </c>
      <c r="H28" s="10">
        <v>0</v>
      </c>
      <c r="I28" s="10">
        <v>0</v>
      </c>
      <c r="J28" s="10">
        <v>0</v>
      </c>
      <c r="K28" s="10">
        <v>0</v>
      </c>
      <c r="L28" s="981">
        <v>0.21824709010560447</v>
      </c>
      <c r="M28" t="s">
        <v>4607</v>
      </c>
      <c r="N28" s="20">
        <v>0.98363308354833745</v>
      </c>
      <c r="O28">
        <v>6148.1</v>
      </c>
      <c r="P28">
        <v>0</v>
      </c>
    </row>
    <row r="29" spans="1:16">
      <c r="A29" t="s">
        <v>1181</v>
      </c>
      <c r="B29">
        <v>884.952743048</v>
      </c>
      <c r="C29">
        <v>0.75061779799999995</v>
      </c>
      <c r="D29" s="10">
        <v>0</v>
      </c>
      <c r="E29" s="10">
        <v>0</v>
      </c>
      <c r="F29" s="10">
        <v>0</v>
      </c>
      <c r="G29" s="10">
        <v>0</v>
      </c>
      <c r="H29" s="10">
        <v>0</v>
      </c>
      <c r="I29" s="10">
        <v>0</v>
      </c>
      <c r="J29" s="10">
        <v>0</v>
      </c>
      <c r="K29" s="10">
        <v>0</v>
      </c>
      <c r="L29" s="981">
        <v>0.11117046204521347</v>
      </c>
      <c r="M29" t="s">
        <v>4609</v>
      </c>
      <c r="N29" s="20">
        <v>0.97378468247658279</v>
      </c>
      <c r="O29">
        <v>5032.1000000000004</v>
      </c>
      <c r="P29">
        <v>0</v>
      </c>
    </row>
    <row r="30" spans="1:16">
      <c r="A30" t="s">
        <v>1179</v>
      </c>
      <c r="B30">
        <v>884.952743048</v>
      </c>
      <c r="C30">
        <v>0.75061779799999995</v>
      </c>
      <c r="D30" s="10">
        <v>0</v>
      </c>
      <c r="E30" s="10">
        <v>0</v>
      </c>
      <c r="F30" s="10">
        <v>0</v>
      </c>
      <c r="G30" s="10">
        <v>0</v>
      </c>
      <c r="H30" s="10">
        <v>0</v>
      </c>
      <c r="I30" s="10">
        <v>0</v>
      </c>
      <c r="J30" s="10">
        <v>0</v>
      </c>
      <c r="K30" s="10">
        <v>0</v>
      </c>
      <c r="L30" s="981">
        <v>0.11117046204521347</v>
      </c>
      <c r="M30" t="s">
        <v>4608</v>
      </c>
      <c r="N30" s="20">
        <v>0.97378468247658279</v>
      </c>
      <c r="O30">
        <v>5032.1000000000004</v>
      </c>
      <c r="P30">
        <v>0</v>
      </c>
    </row>
    <row r="31" spans="1:16">
      <c r="A31" t="s">
        <v>4614</v>
      </c>
      <c r="B31">
        <v>2416.5109401350001</v>
      </c>
      <c r="C31">
        <v>0.81084980699999998</v>
      </c>
      <c r="D31" s="10">
        <v>0</v>
      </c>
      <c r="E31" s="10">
        <v>0</v>
      </c>
      <c r="F31" s="10">
        <v>0</v>
      </c>
      <c r="G31" s="10">
        <v>0</v>
      </c>
      <c r="H31" s="10">
        <v>0</v>
      </c>
      <c r="I31" s="10">
        <v>0</v>
      </c>
      <c r="J31" s="10">
        <v>0</v>
      </c>
      <c r="K31" s="10">
        <v>0</v>
      </c>
      <c r="L31" s="981">
        <v>6.3748011821242526E-2</v>
      </c>
      <c r="M31" t="s">
        <v>4615</v>
      </c>
      <c r="N31" s="20">
        <v>0.98438546621794643</v>
      </c>
      <c r="O31">
        <v>50.01</v>
      </c>
      <c r="P31">
        <v>12</v>
      </c>
    </row>
    <row r="32" spans="1:16">
      <c r="A32" t="s">
        <v>4612</v>
      </c>
      <c r="B32">
        <v>3571.6003625200001</v>
      </c>
      <c r="C32">
        <v>0.52517194700000003</v>
      </c>
      <c r="D32" s="10">
        <v>0</v>
      </c>
      <c r="E32" s="10">
        <v>0</v>
      </c>
      <c r="F32" s="10">
        <v>0</v>
      </c>
      <c r="G32" s="10">
        <v>0</v>
      </c>
      <c r="H32" s="10">
        <v>0</v>
      </c>
      <c r="I32" s="10">
        <v>0</v>
      </c>
      <c r="J32" s="10">
        <v>0</v>
      </c>
      <c r="K32" s="10">
        <v>0</v>
      </c>
      <c r="L32" s="981">
        <v>0.20178190920126421</v>
      </c>
      <c r="M32" t="s">
        <v>4613</v>
      </c>
      <c r="N32" s="20">
        <v>0.80101943972733713</v>
      </c>
      <c r="O32">
        <v>12</v>
      </c>
      <c r="P32">
        <v>0</v>
      </c>
    </row>
    <row r="33" spans="1:16">
      <c r="A33" t="s">
        <v>1185</v>
      </c>
      <c r="B33">
        <v>1161.335000027</v>
      </c>
      <c r="C33">
        <v>0.71739984700000003</v>
      </c>
      <c r="D33" s="10">
        <v>0</v>
      </c>
      <c r="E33" s="10">
        <v>0</v>
      </c>
      <c r="F33" s="10">
        <v>0</v>
      </c>
      <c r="G33" s="10">
        <v>0</v>
      </c>
      <c r="H33" s="10">
        <v>0</v>
      </c>
      <c r="I33" s="10">
        <v>0</v>
      </c>
      <c r="J33" s="10">
        <v>0</v>
      </c>
      <c r="K33" s="10">
        <v>0</v>
      </c>
      <c r="L33" s="981">
        <v>8.9610663880693747E-2</v>
      </c>
      <c r="M33" t="s">
        <v>4611</v>
      </c>
      <c r="N33" s="20">
        <v>0.98579513413093556</v>
      </c>
      <c r="O33">
        <v>3350.1</v>
      </c>
      <c r="P33">
        <v>0</v>
      </c>
    </row>
    <row r="34" spans="1:16">
      <c r="A34" t="s">
        <v>1183</v>
      </c>
      <c r="B34">
        <v>1161.335000027</v>
      </c>
      <c r="C34">
        <v>0.71739984700000003</v>
      </c>
      <c r="D34" s="10">
        <v>0</v>
      </c>
      <c r="E34" s="10">
        <v>0</v>
      </c>
      <c r="F34" s="10">
        <v>0</v>
      </c>
      <c r="G34" s="10">
        <v>0</v>
      </c>
      <c r="H34" s="10">
        <v>0</v>
      </c>
      <c r="I34" s="10">
        <v>0</v>
      </c>
      <c r="J34" s="10">
        <v>0</v>
      </c>
      <c r="K34" s="10">
        <v>0</v>
      </c>
      <c r="L34" s="981">
        <v>8.9610663880693747E-2</v>
      </c>
      <c r="M34" t="s">
        <v>4610</v>
      </c>
      <c r="N34" s="20">
        <v>0.98579513413093556</v>
      </c>
      <c r="O34">
        <v>3350.1</v>
      </c>
      <c r="P34">
        <v>0</v>
      </c>
    </row>
    <row r="35" spans="1:16">
      <c r="A35" t="s">
        <v>2544</v>
      </c>
      <c r="B35" s="10">
        <v>0</v>
      </c>
      <c r="C35" s="10">
        <v>0</v>
      </c>
      <c r="D35" s="10">
        <v>0</v>
      </c>
      <c r="E35" s="10">
        <v>0</v>
      </c>
      <c r="F35" s="10">
        <v>0</v>
      </c>
      <c r="G35" s="10">
        <v>0</v>
      </c>
      <c r="H35" s="10">
        <v>0</v>
      </c>
      <c r="I35" s="10">
        <v>0</v>
      </c>
      <c r="J35">
        <v>1053.0249738949999</v>
      </c>
      <c r="K35">
        <v>4010.0161733059999</v>
      </c>
      <c r="L35" s="981">
        <v>6.537073818864049E-2</v>
      </c>
      <c r="M35" t="s">
        <v>4590</v>
      </c>
      <c r="N35" s="20">
        <v>0.9846598234923809</v>
      </c>
      <c r="O35">
        <v>110</v>
      </c>
      <c r="P35">
        <v>0</v>
      </c>
    </row>
    <row r="36" spans="1:16">
      <c r="A36" t="s">
        <v>74</v>
      </c>
      <c r="B36" s="10">
        <v>0</v>
      </c>
      <c r="C36" s="10">
        <v>0</v>
      </c>
      <c r="D36" s="10">
        <v>0</v>
      </c>
      <c r="E36" s="10">
        <v>0</v>
      </c>
      <c r="F36" s="10">
        <v>0</v>
      </c>
      <c r="G36" s="10">
        <v>0</v>
      </c>
      <c r="H36">
        <v>8.7416773000000003E-2</v>
      </c>
      <c r="I36">
        <v>3.727367106</v>
      </c>
      <c r="J36">
        <v>488.19409208000002</v>
      </c>
      <c r="K36">
        <v>3103.652214921</v>
      </c>
      <c r="L36" s="981">
        <v>0.15420855763774652</v>
      </c>
      <c r="M36" t="s">
        <v>4595</v>
      </c>
      <c r="N36" s="20">
        <v>0.95974019025607282</v>
      </c>
      <c r="O36">
        <v>36.1</v>
      </c>
      <c r="P36">
        <v>0</v>
      </c>
    </row>
    <row r="37" spans="1:16">
      <c r="A37" t="s">
        <v>2468</v>
      </c>
      <c r="B37">
        <v>3220.9800634899998</v>
      </c>
      <c r="C37">
        <v>0.14804462199999999</v>
      </c>
      <c r="D37" s="10">
        <v>0</v>
      </c>
      <c r="E37" s="10">
        <v>0</v>
      </c>
      <c r="F37" s="10">
        <v>0</v>
      </c>
      <c r="G37" s="10">
        <v>0</v>
      </c>
      <c r="H37" s="10">
        <v>0</v>
      </c>
      <c r="I37" s="10">
        <v>0</v>
      </c>
      <c r="J37" s="10">
        <v>0</v>
      </c>
      <c r="K37" s="10">
        <v>0</v>
      </c>
      <c r="L37" s="981">
        <v>0.10096714189868675</v>
      </c>
      <c r="M37" t="s">
        <v>4589</v>
      </c>
      <c r="N37" s="20">
        <v>0.57579712716736775</v>
      </c>
      <c r="O37">
        <v>4.0999999999999996</v>
      </c>
      <c r="P37">
        <v>0</v>
      </c>
    </row>
    <row r="38" spans="1:16">
      <c r="A38" t="s">
        <v>1013</v>
      </c>
      <c r="B38" s="10">
        <v>0</v>
      </c>
      <c r="C38" s="10">
        <v>0</v>
      </c>
      <c r="D38" s="10">
        <v>0</v>
      </c>
      <c r="E38" s="10">
        <v>0</v>
      </c>
      <c r="F38">
        <v>1.9919101159999999</v>
      </c>
      <c r="G38">
        <v>-1.3224000000000001E-5</v>
      </c>
      <c r="H38" s="10">
        <v>0</v>
      </c>
      <c r="I38" s="10">
        <v>0</v>
      </c>
      <c r="J38" s="10">
        <v>0</v>
      </c>
      <c r="K38" s="10">
        <v>0</v>
      </c>
      <c r="L38" s="981">
        <v>4.4359041896438474E-2</v>
      </c>
      <c r="M38" t="s">
        <v>4598</v>
      </c>
      <c r="N38" s="20">
        <v>0.96319091498206999</v>
      </c>
      <c r="O38">
        <v>40000</v>
      </c>
      <c r="P38">
        <v>0</v>
      </c>
    </row>
    <row r="39" spans="1:16">
      <c r="A39" t="s">
        <v>3127</v>
      </c>
      <c r="B39">
        <v>97378.213729220006</v>
      </c>
      <c r="C39">
        <v>0.38341135900000001</v>
      </c>
      <c r="D39" s="10">
        <v>0</v>
      </c>
      <c r="E39" s="10">
        <v>0</v>
      </c>
      <c r="F39" s="10">
        <v>0</v>
      </c>
      <c r="G39" s="10">
        <v>0</v>
      </c>
      <c r="H39" s="10">
        <v>0</v>
      </c>
      <c r="I39" s="10">
        <v>0</v>
      </c>
      <c r="J39" s="10">
        <v>0</v>
      </c>
      <c r="K39" s="10">
        <v>0</v>
      </c>
      <c r="L39" s="981">
        <v>3.4740864985252792E-2</v>
      </c>
      <c r="M39" t="s">
        <v>4597</v>
      </c>
      <c r="N39" s="20">
        <v>0.99628563689537553</v>
      </c>
      <c r="O39">
        <v>100001</v>
      </c>
      <c r="P39">
        <v>0</v>
      </c>
    </row>
    <row r="40" spans="1:16">
      <c r="A40" t="s">
        <v>2650</v>
      </c>
      <c r="B40" s="10">
        <v>0</v>
      </c>
      <c r="C40" s="10">
        <v>0</v>
      </c>
      <c r="D40" s="10">
        <v>0</v>
      </c>
      <c r="E40" s="10">
        <v>0</v>
      </c>
      <c r="F40" s="10">
        <v>0</v>
      </c>
      <c r="G40" s="10">
        <v>0</v>
      </c>
      <c r="H40">
        <v>0.290528801</v>
      </c>
      <c r="I40">
        <v>-20.141018838000001</v>
      </c>
      <c r="J40">
        <v>567.62280550399998</v>
      </c>
      <c r="K40">
        <v>674.16116967899995</v>
      </c>
      <c r="L40" s="981">
        <v>8.7926571657932578E-2</v>
      </c>
      <c r="M40" t="s">
        <v>4592</v>
      </c>
      <c r="N40" s="20">
        <v>0.99588591793663983</v>
      </c>
      <c r="O40">
        <v>60.1</v>
      </c>
      <c r="P40">
        <v>0</v>
      </c>
    </row>
    <row r="41" spans="1:16">
      <c r="A41" t="s">
        <v>2296</v>
      </c>
      <c r="B41" s="10">
        <v>0</v>
      </c>
      <c r="C41" s="10">
        <v>0</v>
      </c>
      <c r="D41" s="10">
        <v>0</v>
      </c>
      <c r="E41" s="10">
        <v>0</v>
      </c>
      <c r="F41" s="10">
        <v>0</v>
      </c>
      <c r="G41" s="10">
        <v>0</v>
      </c>
      <c r="H41" s="10">
        <v>0</v>
      </c>
      <c r="I41">
        <v>1.89841E-4</v>
      </c>
      <c r="J41">
        <v>1.125069329</v>
      </c>
      <c r="K41">
        <v>710.83996240299996</v>
      </c>
      <c r="L41" s="981">
        <v>0.19181540196500685</v>
      </c>
      <c r="M41" t="s">
        <v>4556</v>
      </c>
      <c r="N41" s="20">
        <v>0.9665490920876908</v>
      </c>
      <c r="O41">
        <v>6601</v>
      </c>
      <c r="P41">
        <v>0</v>
      </c>
    </row>
    <row r="42" spans="1:16">
      <c r="A42" t="s">
        <v>1641</v>
      </c>
      <c r="B42" s="10">
        <v>0</v>
      </c>
      <c r="C42" s="10">
        <v>0</v>
      </c>
      <c r="D42" s="10">
        <v>0</v>
      </c>
      <c r="E42" s="10">
        <v>0</v>
      </c>
      <c r="F42" s="10">
        <v>0</v>
      </c>
      <c r="G42" s="10">
        <v>0</v>
      </c>
      <c r="H42" s="10">
        <v>0</v>
      </c>
      <c r="I42">
        <v>23.867181313</v>
      </c>
      <c r="J42">
        <v>53.974127154000001</v>
      </c>
      <c r="K42">
        <v>43.165150769999997</v>
      </c>
      <c r="L42" s="981">
        <v>0.1427349787694592</v>
      </c>
      <c r="M42" t="s">
        <v>4580</v>
      </c>
      <c r="N42" s="20">
        <v>0.93375154994717469</v>
      </c>
      <c r="O42">
        <v>12.1</v>
      </c>
      <c r="P42">
        <v>0</v>
      </c>
    </row>
    <row r="43" spans="1:16">
      <c r="A43" t="s">
        <v>4570</v>
      </c>
      <c r="B43" s="10">
        <v>0</v>
      </c>
      <c r="C43" s="10">
        <v>0</v>
      </c>
      <c r="D43" s="10">
        <v>0</v>
      </c>
      <c r="E43" s="10">
        <v>0</v>
      </c>
      <c r="F43" s="10">
        <v>0</v>
      </c>
      <c r="G43" s="10">
        <v>0</v>
      </c>
      <c r="H43" s="10">
        <v>0</v>
      </c>
      <c r="I43" s="10">
        <v>0</v>
      </c>
      <c r="J43">
        <v>2553.3443597519999</v>
      </c>
      <c r="K43">
        <v>-25690.347540136001</v>
      </c>
      <c r="L43" s="981">
        <v>0.1288535088310907</v>
      </c>
      <c r="M43" t="s">
        <v>4571</v>
      </c>
      <c r="N43" s="20">
        <v>0.81137657813383668</v>
      </c>
      <c r="O43">
        <v>24.1</v>
      </c>
      <c r="P43">
        <v>14</v>
      </c>
    </row>
    <row r="44" spans="1:16">
      <c r="A44" t="s">
        <v>4572</v>
      </c>
      <c r="B44" s="10">
        <v>0</v>
      </c>
      <c r="C44" s="10">
        <v>0</v>
      </c>
      <c r="D44" s="10">
        <v>0</v>
      </c>
      <c r="E44" s="10">
        <v>0</v>
      </c>
      <c r="F44" s="10">
        <v>0</v>
      </c>
      <c r="G44" s="10">
        <v>0</v>
      </c>
      <c r="H44" s="10">
        <v>0</v>
      </c>
      <c r="I44">
        <v>12.117823524</v>
      </c>
      <c r="J44">
        <v>45.057729000000002</v>
      </c>
      <c r="K44">
        <v>112.997449909</v>
      </c>
      <c r="L44" s="981">
        <v>0.25566288048231928</v>
      </c>
      <c r="M44" t="s">
        <v>4573</v>
      </c>
      <c r="N44" s="20">
        <v>0.86317684069618528</v>
      </c>
      <c r="O44">
        <v>12</v>
      </c>
      <c r="P44">
        <v>0</v>
      </c>
    </row>
    <row r="45" spans="1:16">
      <c r="A45" t="s">
        <v>4564</v>
      </c>
      <c r="B45" s="10">
        <v>0</v>
      </c>
      <c r="C45" s="10">
        <v>0</v>
      </c>
      <c r="D45" s="10">
        <v>0</v>
      </c>
      <c r="E45" s="10">
        <v>0</v>
      </c>
      <c r="F45" s="10">
        <v>0</v>
      </c>
      <c r="G45" s="10">
        <v>0</v>
      </c>
      <c r="H45" s="10">
        <v>0</v>
      </c>
      <c r="I45" s="10">
        <v>0</v>
      </c>
      <c r="J45">
        <v>2443.3800723099998</v>
      </c>
      <c r="K45">
        <v>-21582.792424030999</v>
      </c>
      <c r="L45" s="981">
        <v>0.10606175481157647</v>
      </c>
      <c r="M45" t="s">
        <v>4565</v>
      </c>
      <c r="N45" s="20">
        <v>0.84845770106442142</v>
      </c>
      <c r="O45">
        <v>24.1</v>
      </c>
      <c r="P45">
        <v>14</v>
      </c>
    </row>
    <row r="46" spans="1:16">
      <c r="A46" t="s">
        <v>4566</v>
      </c>
      <c r="B46" s="10">
        <v>0</v>
      </c>
      <c r="C46" s="10">
        <v>0</v>
      </c>
      <c r="D46" s="10">
        <v>0</v>
      </c>
      <c r="E46" s="10">
        <v>0</v>
      </c>
      <c r="F46">
        <v>599.000620282</v>
      </c>
      <c r="G46">
        <v>0.18198897</v>
      </c>
      <c r="H46" s="10">
        <v>0</v>
      </c>
      <c r="I46" s="10">
        <v>0</v>
      </c>
      <c r="J46" s="10">
        <v>0</v>
      </c>
      <c r="K46" s="10">
        <v>0</v>
      </c>
      <c r="L46" s="981">
        <v>0.1044259768556962</v>
      </c>
      <c r="M46" t="s">
        <v>4567</v>
      </c>
      <c r="N46" s="20">
        <v>0.97980463453751598</v>
      </c>
      <c r="O46">
        <v>12</v>
      </c>
      <c r="P46">
        <v>0</v>
      </c>
    </row>
    <row r="47" spans="1:16">
      <c r="A47" t="s">
        <v>68</v>
      </c>
      <c r="B47" s="10">
        <v>0</v>
      </c>
      <c r="C47" s="10">
        <v>0</v>
      </c>
      <c r="D47" s="10">
        <v>0</v>
      </c>
      <c r="E47" s="10">
        <v>0</v>
      </c>
      <c r="F47" s="10">
        <v>0</v>
      </c>
      <c r="G47" s="10">
        <v>0</v>
      </c>
      <c r="H47">
        <v>0.48667437299999999</v>
      </c>
      <c r="I47">
        <v>-19.177375645000001</v>
      </c>
      <c r="J47">
        <v>593.88035160699997</v>
      </c>
      <c r="K47">
        <v>1500.545795131</v>
      </c>
      <c r="L47" s="981">
        <v>4.521517984937741E-2</v>
      </c>
      <c r="M47" t="s">
        <v>4594</v>
      </c>
      <c r="N47" s="20">
        <v>0.99578400826432001</v>
      </c>
      <c r="O47">
        <v>36.1</v>
      </c>
      <c r="P47">
        <v>0</v>
      </c>
    </row>
    <row r="48" spans="1:16">
      <c r="A48" t="s">
        <v>2925</v>
      </c>
      <c r="B48" s="10">
        <v>0</v>
      </c>
      <c r="C48" s="10">
        <v>0</v>
      </c>
      <c r="D48" s="10">
        <v>0</v>
      </c>
      <c r="E48" s="10">
        <v>0</v>
      </c>
      <c r="F48" s="10">
        <v>0</v>
      </c>
      <c r="G48" s="10">
        <v>0</v>
      </c>
      <c r="H48" s="10">
        <v>0</v>
      </c>
      <c r="I48">
        <v>-6.7002999999999995E-4</v>
      </c>
      <c r="J48">
        <v>14.809014980000001</v>
      </c>
      <c r="K48">
        <v>4093.494684836</v>
      </c>
      <c r="L48" s="981">
        <v>0.16787720556525074</v>
      </c>
      <c r="M48" t="s">
        <v>4582</v>
      </c>
      <c r="N48" s="20">
        <v>0.95812431183124169</v>
      </c>
      <c r="O48">
        <v>10001</v>
      </c>
      <c r="P48">
        <v>0</v>
      </c>
    </row>
    <row r="49" spans="1:16">
      <c r="A49" t="s">
        <v>2321</v>
      </c>
      <c r="B49" s="10">
        <v>0</v>
      </c>
      <c r="C49" s="10">
        <v>0</v>
      </c>
      <c r="D49" s="10">
        <v>0</v>
      </c>
      <c r="E49" s="10">
        <v>0</v>
      </c>
      <c r="F49">
        <v>1147.9723958510001</v>
      </c>
      <c r="G49">
        <v>5.4740779000000003E-2</v>
      </c>
      <c r="H49" s="10">
        <v>0</v>
      </c>
      <c r="I49" s="10">
        <v>0</v>
      </c>
      <c r="J49" s="10">
        <v>0</v>
      </c>
      <c r="K49" s="10">
        <v>0</v>
      </c>
      <c r="L49" s="981">
        <v>0.39676137270947814</v>
      </c>
      <c r="M49" t="s">
        <v>4586</v>
      </c>
      <c r="N49" s="20">
        <v>0.62162919975925868</v>
      </c>
      <c r="O49">
        <v>21.01</v>
      </c>
      <c r="P49">
        <v>0</v>
      </c>
    </row>
    <row r="50" spans="1:16">
      <c r="A50" t="s">
        <v>2315</v>
      </c>
      <c r="B50" s="10">
        <v>0</v>
      </c>
      <c r="C50" s="10">
        <v>0</v>
      </c>
      <c r="D50" s="10">
        <v>0</v>
      </c>
      <c r="E50" s="10">
        <v>0</v>
      </c>
      <c r="F50" s="10">
        <v>0</v>
      </c>
      <c r="G50" s="10">
        <v>0</v>
      </c>
      <c r="H50">
        <v>5.8459699999999996E-4</v>
      </c>
      <c r="I50">
        <v>-0.31291286000000001</v>
      </c>
      <c r="J50">
        <v>58.800444323000001</v>
      </c>
      <c r="K50">
        <v>3000.5306602579999</v>
      </c>
      <c r="L50" s="981">
        <v>5.9121223134457057E-2</v>
      </c>
      <c r="M50" t="s">
        <v>4584</v>
      </c>
      <c r="N50" s="20">
        <v>0.95805697100435294</v>
      </c>
      <c r="O50">
        <v>132.01</v>
      </c>
      <c r="P50">
        <v>0</v>
      </c>
    </row>
    <row r="51" spans="1:16">
      <c r="A51" t="s">
        <v>599</v>
      </c>
      <c r="B51" s="10">
        <v>0</v>
      </c>
      <c r="C51" s="10">
        <v>0</v>
      </c>
      <c r="D51" s="10">
        <v>0</v>
      </c>
      <c r="E51" s="10">
        <v>0</v>
      </c>
      <c r="F51" s="10">
        <v>0</v>
      </c>
      <c r="G51" s="10">
        <v>0</v>
      </c>
      <c r="H51" s="10">
        <v>0</v>
      </c>
      <c r="I51">
        <v>9.7106987000000006E-2</v>
      </c>
      <c r="J51">
        <v>0.800977414</v>
      </c>
      <c r="K51">
        <v>1.427719425</v>
      </c>
      <c r="L51" s="981">
        <v>0.19469475172443332</v>
      </c>
      <c r="M51" s="996" t="s">
        <v>4561</v>
      </c>
      <c r="N51" s="20">
        <v>0.99750218963449888</v>
      </c>
      <c r="O51">
        <v>48.1</v>
      </c>
      <c r="P51">
        <v>0</v>
      </c>
    </row>
    <row r="52" spans="1:16">
      <c r="A52" t="s">
        <v>2699</v>
      </c>
      <c r="B52" s="10">
        <v>0</v>
      </c>
      <c r="C52" s="10">
        <v>0</v>
      </c>
      <c r="D52" s="10">
        <v>0</v>
      </c>
      <c r="E52" s="10">
        <v>0</v>
      </c>
      <c r="F52" s="10">
        <v>0</v>
      </c>
      <c r="G52" s="10">
        <v>0</v>
      </c>
      <c r="H52" s="10">
        <v>0</v>
      </c>
      <c r="I52">
        <v>22.470786887999999</v>
      </c>
      <c r="J52">
        <v>2229.8918400309999</v>
      </c>
      <c r="K52">
        <v>-1911.930587201</v>
      </c>
      <c r="L52" s="981">
        <v>0.10253211443061497</v>
      </c>
      <c r="M52" t="s">
        <v>4591</v>
      </c>
      <c r="N52" s="20">
        <v>0.97755716442117768</v>
      </c>
      <c r="O52">
        <v>8.1</v>
      </c>
      <c r="P52">
        <v>1.5</v>
      </c>
    </row>
    <row r="53" spans="1:16">
      <c r="A53" t="s">
        <v>2953</v>
      </c>
      <c r="B53" s="10">
        <v>0</v>
      </c>
      <c r="C53" s="10">
        <v>0</v>
      </c>
      <c r="D53" s="10">
        <v>0</v>
      </c>
      <c r="E53" s="10">
        <v>0</v>
      </c>
      <c r="F53" s="10">
        <v>0</v>
      </c>
      <c r="G53" s="10">
        <v>0</v>
      </c>
      <c r="H53" s="10">
        <v>0</v>
      </c>
      <c r="I53">
        <v>-4.1899999999999998E-7</v>
      </c>
      <c r="J53">
        <v>1.820226125</v>
      </c>
      <c r="K53">
        <v>-609.61927057299999</v>
      </c>
      <c r="L53" s="981">
        <v>0.13229078030591235</v>
      </c>
      <c r="M53" t="s">
        <v>4602</v>
      </c>
      <c r="N53" s="20">
        <v>0.99863183827826651</v>
      </c>
      <c r="O53">
        <v>100001</v>
      </c>
      <c r="P53">
        <v>750</v>
      </c>
    </row>
    <row r="54" spans="1:16">
      <c r="A54" t="s">
        <v>1643</v>
      </c>
      <c r="B54" s="10">
        <v>0</v>
      </c>
      <c r="C54" s="10">
        <v>0</v>
      </c>
      <c r="D54" s="10">
        <v>0</v>
      </c>
      <c r="E54" s="10">
        <v>0</v>
      </c>
      <c r="F54" s="10">
        <v>0</v>
      </c>
      <c r="G54" s="10">
        <v>0</v>
      </c>
      <c r="H54" s="10">
        <v>0</v>
      </c>
      <c r="I54">
        <v>43.739370735000001</v>
      </c>
      <c r="J54">
        <v>186.790998664</v>
      </c>
      <c r="K54">
        <v>114.073407746</v>
      </c>
      <c r="L54" s="981">
        <v>0.22117751729640323</v>
      </c>
      <c r="M54" t="s">
        <v>4579</v>
      </c>
      <c r="N54" s="20">
        <v>0.98072611838110124</v>
      </c>
      <c r="O54">
        <v>48.1</v>
      </c>
      <c r="P54">
        <v>0</v>
      </c>
    </row>
    <row r="55" spans="1:16">
      <c r="A55" t="s">
        <v>3222</v>
      </c>
      <c r="B55">
        <v>57.021589231</v>
      </c>
      <c r="C55">
        <v>0.72932539100000005</v>
      </c>
      <c r="D55" s="10">
        <v>0</v>
      </c>
      <c r="E55" s="10">
        <v>0</v>
      </c>
      <c r="F55" s="10">
        <v>0</v>
      </c>
      <c r="G55" s="10">
        <v>0</v>
      </c>
      <c r="H55" s="10">
        <v>0</v>
      </c>
      <c r="I55" s="10">
        <v>0</v>
      </c>
      <c r="J55" s="10">
        <v>0</v>
      </c>
      <c r="K55" s="10">
        <v>0</v>
      </c>
      <c r="L55" s="981">
        <v>6.872076181729754E-2</v>
      </c>
      <c r="M55" t="s">
        <v>4558</v>
      </c>
      <c r="N55" s="20">
        <v>0.99494997588312595</v>
      </c>
      <c r="O55">
        <v>30001</v>
      </c>
      <c r="P55">
        <v>0</v>
      </c>
    </row>
    <row r="56" spans="1:16">
      <c r="A56" t="s">
        <v>2324</v>
      </c>
      <c r="B56">
        <v>2305.9222008940001</v>
      </c>
      <c r="C56">
        <v>0.140989643</v>
      </c>
      <c r="D56" s="10">
        <v>0</v>
      </c>
      <c r="E56" s="10">
        <v>0</v>
      </c>
      <c r="F56" s="10">
        <v>0</v>
      </c>
      <c r="G56" s="10">
        <v>0</v>
      </c>
      <c r="H56" s="10">
        <v>0</v>
      </c>
      <c r="I56" s="10">
        <v>0</v>
      </c>
      <c r="J56" s="10">
        <v>0</v>
      </c>
      <c r="K56" s="10">
        <v>0</v>
      </c>
      <c r="L56" s="981">
        <v>0.19379304652600138</v>
      </c>
      <c r="M56" t="s">
        <v>4587</v>
      </c>
      <c r="N56" s="20">
        <v>0.40093386922936991</v>
      </c>
      <c r="O56">
        <v>21.01</v>
      </c>
      <c r="P56">
        <v>0</v>
      </c>
    </row>
    <row r="57" spans="1:16">
      <c r="A57" t="s">
        <v>1638</v>
      </c>
      <c r="B57">
        <v>271.98316458599999</v>
      </c>
      <c r="C57">
        <v>0.92578415199999997</v>
      </c>
      <c r="D57" s="10">
        <v>0</v>
      </c>
      <c r="E57" s="10">
        <v>0</v>
      </c>
      <c r="F57" s="10">
        <v>0</v>
      </c>
      <c r="G57" s="10">
        <v>0</v>
      </c>
      <c r="H57" s="10">
        <v>0</v>
      </c>
      <c r="I57" s="10">
        <v>0</v>
      </c>
      <c r="J57" s="10">
        <v>0</v>
      </c>
      <c r="K57" s="10">
        <v>0</v>
      </c>
      <c r="L57" s="981">
        <v>0.19376804452462798</v>
      </c>
      <c r="M57" t="s">
        <v>4574</v>
      </c>
      <c r="N57" s="20">
        <v>0.8807162518733741</v>
      </c>
      <c r="O57">
        <v>12.1</v>
      </c>
      <c r="P57">
        <v>0</v>
      </c>
    </row>
    <row r="58" spans="1:16">
      <c r="A58" t="s">
        <v>2318</v>
      </c>
      <c r="B58" s="10">
        <v>0</v>
      </c>
      <c r="C58" s="10">
        <v>0</v>
      </c>
      <c r="D58" s="10">
        <v>0</v>
      </c>
      <c r="E58" s="10">
        <v>0</v>
      </c>
      <c r="F58" s="10">
        <v>0</v>
      </c>
      <c r="G58" s="10">
        <v>0</v>
      </c>
      <c r="H58" s="10">
        <v>0</v>
      </c>
      <c r="I58">
        <v>-0.19761578099999999</v>
      </c>
      <c r="J58">
        <v>60.928056216999998</v>
      </c>
      <c r="K58">
        <v>3430.8004552430002</v>
      </c>
      <c r="L58" s="981">
        <v>5.3382527173068531E-2</v>
      </c>
      <c r="M58" t="s">
        <v>4585</v>
      </c>
      <c r="N58" s="20">
        <v>0.97321402756132269</v>
      </c>
      <c r="O58">
        <v>132.01</v>
      </c>
      <c r="P58">
        <v>0</v>
      </c>
    </row>
    <row r="59" spans="1:16">
      <c r="A59" t="s">
        <v>602</v>
      </c>
      <c r="B59" s="10">
        <v>0</v>
      </c>
      <c r="C59" s="10">
        <v>0</v>
      </c>
      <c r="D59" s="10">
        <v>0</v>
      </c>
      <c r="E59" s="10">
        <v>0</v>
      </c>
      <c r="F59" s="10">
        <v>0</v>
      </c>
      <c r="G59" s="10">
        <v>0</v>
      </c>
      <c r="H59">
        <v>1.4813451259999999</v>
      </c>
      <c r="I59">
        <v>44.575825872999999</v>
      </c>
      <c r="J59">
        <v>-42.850924452000001</v>
      </c>
      <c r="K59">
        <v>1429.5852851469999</v>
      </c>
      <c r="L59" s="981">
        <v>0.27548354444948392</v>
      </c>
      <c r="M59" t="s">
        <v>4568</v>
      </c>
      <c r="N59" s="20">
        <v>0.93859465845858792</v>
      </c>
      <c r="O59">
        <v>48.1</v>
      </c>
      <c r="P59">
        <v>0</v>
      </c>
    </row>
    <row r="60" spans="1:16">
      <c r="A60" t="s">
        <v>600</v>
      </c>
      <c r="B60" s="10">
        <v>0</v>
      </c>
      <c r="C60" s="10">
        <v>0</v>
      </c>
      <c r="D60" s="10">
        <v>0</v>
      </c>
      <c r="E60" s="10">
        <v>0</v>
      </c>
      <c r="F60" s="10">
        <v>0</v>
      </c>
      <c r="G60" s="10">
        <v>0</v>
      </c>
      <c r="H60">
        <v>4.8585111E-2</v>
      </c>
      <c r="I60">
        <v>-2.5845256220000001</v>
      </c>
      <c r="J60">
        <v>58.928328317999998</v>
      </c>
      <c r="K60">
        <v>-12.466035675000001</v>
      </c>
      <c r="L60" s="981">
        <v>0.25605913422579951</v>
      </c>
      <c r="M60" t="s">
        <v>4562</v>
      </c>
      <c r="N60" s="20">
        <v>0.93646598728443631</v>
      </c>
      <c r="O60">
        <v>48.1</v>
      </c>
      <c r="P60">
        <v>0</v>
      </c>
    </row>
    <row r="61" spans="1:16">
      <c r="A61" t="s">
        <v>594</v>
      </c>
      <c r="B61" s="10">
        <v>0</v>
      </c>
      <c r="C61" s="10">
        <v>0</v>
      </c>
      <c r="D61" s="10">
        <v>0</v>
      </c>
      <c r="E61" s="10">
        <v>0</v>
      </c>
      <c r="F61" s="10">
        <v>0</v>
      </c>
      <c r="G61" s="10">
        <v>0</v>
      </c>
      <c r="H61">
        <v>4.0000000000000001E-8</v>
      </c>
      <c r="I61">
        <v>-1.6522430000000001E-3</v>
      </c>
      <c r="J61">
        <v>26.487093706</v>
      </c>
      <c r="K61">
        <v>28673.43064482</v>
      </c>
      <c r="L61" s="981">
        <v>0.14140922623004518</v>
      </c>
      <c r="M61" t="s">
        <v>4549</v>
      </c>
      <c r="N61" s="20">
        <v>0.98549217500950392</v>
      </c>
      <c r="O61">
        <v>27101</v>
      </c>
      <c r="P61">
        <v>0</v>
      </c>
    </row>
    <row r="62" spans="1:16">
      <c r="A62" t="s">
        <v>596</v>
      </c>
      <c r="B62">
        <v>308.93713092600001</v>
      </c>
      <c r="C62">
        <v>0.50146757099999995</v>
      </c>
      <c r="D62" s="10">
        <v>0</v>
      </c>
      <c r="E62" s="10">
        <v>0</v>
      </c>
      <c r="F62" s="10">
        <v>0</v>
      </c>
      <c r="G62" s="10">
        <v>0</v>
      </c>
      <c r="H62" s="10">
        <v>0</v>
      </c>
      <c r="I62" s="10">
        <v>0</v>
      </c>
      <c r="J62" s="10">
        <v>0</v>
      </c>
      <c r="K62" s="10">
        <v>0</v>
      </c>
      <c r="L62" s="981">
        <v>0.20490922198574954</v>
      </c>
      <c r="M62" t="s">
        <v>4553</v>
      </c>
      <c r="N62" s="20">
        <v>0.95117028776390522</v>
      </c>
      <c r="O62">
        <v>289001</v>
      </c>
      <c r="P62">
        <v>0</v>
      </c>
    </row>
    <row r="63" spans="1:16">
      <c r="A63" t="s">
        <v>601</v>
      </c>
      <c r="B63">
        <v>20.769417377</v>
      </c>
      <c r="C63">
        <v>0.92382198999999998</v>
      </c>
      <c r="D63" s="10">
        <v>0</v>
      </c>
      <c r="E63" s="10">
        <v>0</v>
      </c>
      <c r="F63" s="10">
        <v>0</v>
      </c>
      <c r="G63" s="10">
        <v>0</v>
      </c>
      <c r="H63" s="10">
        <v>0</v>
      </c>
      <c r="I63" s="10">
        <v>0</v>
      </c>
      <c r="J63" s="10">
        <v>0</v>
      </c>
      <c r="K63" s="10">
        <v>0</v>
      </c>
      <c r="L63" s="981">
        <v>0.42911927902362179</v>
      </c>
      <c r="M63" t="s">
        <v>4563</v>
      </c>
      <c r="N63" s="20">
        <v>0.39930452928082849</v>
      </c>
      <c r="O63">
        <v>48.1</v>
      </c>
      <c r="P63">
        <v>0</v>
      </c>
    </row>
    <row r="64" spans="1:16">
      <c r="A64" t="s">
        <v>71</v>
      </c>
      <c r="B64" s="10">
        <v>0</v>
      </c>
      <c r="C64" s="10">
        <v>0</v>
      </c>
      <c r="D64" s="10">
        <v>0</v>
      </c>
      <c r="E64" s="10">
        <v>0</v>
      </c>
      <c r="F64" s="10">
        <v>0</v>
      </c>
      <c r="G64" s="10">
        <v>0</v>
      </c>
      <c r="H64">
        <v>-8.9659137E-2</v>
      </c>
      <c r="I64">
        <v>7.3814192910000003</v>
      </c>
      <c r="J64">
        <v>135.40877886999999</v>
      </c>
      <c r="K64">
        <v>2010.462068774</v>
      </c>
      <c r="L64" s="981">
        <v>7.9589033678493251E-2</v>
      </c>
      <c r="M64" t="s">
        <v>4593</v>
      </c>
      <c r="N64" s="20">
        <v>0.98202299755210409</v>
      </c>
      <c r="O64">
        <v>48.1</v>
      </c>
      <c r="P64">
        <v>0</v>
      </c>
    </row>
  </sheetData>
  <sortState xmlns:xlrd2="http://schemas.microsoft.com/office/spreadsheetml/2017/richdata2" ref="A6:P64">
    <sortCondition ref="A6:A64"/>
  </sortState>
  <phoneticPr fontId="83"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0C5D8-DF65-43E3-8507-9BBE0D048173}">
  <sheetPr codeName="Sheet26"/>
  <dimension ref="A1:O252"/>
  <sheetViews>
    <sheetView workbookViewId="0">
      <pane ySplit="2" topLeftCell="A3" activePane="bottomLeft" state="frozen"/>
      <selection pane="bottomLeft"/>
    </sheetView>
  </sheetViews>
  <sheetFormatPr baseColWidth="10" defaultColWidth="8.832031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5">
      <c r="A1" s="1" t="s">
        <v>4338</v>
      </c>
    </row>
    <row r="2" spans="1:5">
      <c r="A2" s="570" t="s">
        <v>4631</v>
      </c>
    </row>
    <row r="3" spans="1:5">
      <c r="A3" s="1" t="s">
        <v>4339</v>
      </c>
      <c r="B3" s="414"/>
      <c r="C3" s="414"/>
      <c r="D3" s="414"/>
      <c r="E3" s="414"/>
    </row>
    <row r="4" spans="1:5">
      <c r="A4" t="s">
        <v>4340</v>
      </c>
      <c r="B4" t="s">
        <v>4341</v>
      </c>
      <c r="C4" t="s">
        <v>4342</v>
      </c>
    </row>
    <row r="5" spans="1:5">
      <c r="A5" s="977">
        <v>0</v>
      </c>
      <c r="B5" t="s">
        <v>4343</v>
      </c>
      <c r="C5" s="978">
        <v>0.09</v>
      </c>
    </row>
    <row r="6" spans="1:5">
      <c r="A6" s="977">
        <v>250000</v>
      </c>
      <c r="B6" t="s">
        <v>4344</v>
      </c>
      <c r="C6" s="978">
        <v>0.08</v>
      </c>
    </row>
    <row r="7" spans="1:5">
      <c r="A7" s="977">
        <v>500000</v>
      </c>
      <c r="B7" t="s">
        <v>4345</v>
      </c>
      <c r="C7" s="978">
        <v>7.0000000000000007E-2</v>
      </c>
    </row>
    <row r="8" spans="1:5">
      <c r="A8" s="977">
        <v>1000000</v>
      </c>
      <c r="B8" t="s">
        <v>4346</v>
      </c>
      <c r="C8" s="978">
        <v>6.2E-2</v>
      </c>
    </row>
    <row r="9" spans="1:5">
      <c r="A9" s="977">
        <v>5000000</v>
      </c>
      <c r="B9" t="s">
        <v>4347</v>
      </c>
      <c r="C9" s="978">
        <v>5.2999999999999999E-2</v>
      </c>
    </row>
    <row r="10" spans="1:5">
      <c r="A10" s="977">
        <v>10000000</v>
      </c>
      <c r="B10" t="s">
        <v>4348</v>
      </c>
      <c r="C10" s="978">
        <v>4.9000000000000002E-2</v>
      </c>
    </row>
    <row r="11" spans="1:5">
      <c r="A11" s="977">
        <v>50000000</v>
      </c>
      <c r="B11" t="s">
        <v>4349</v>
      </c>
      <c r="C11" s="978">
        <v>4.4999999999999998E-2</v>
      </c>
    </row>
    <row r="14" spans="1:5">
      <c r="A14" s="1" t="s">
        <v>4350</v>
      </c>
    </row>
    <row r="15" spans="1:5">
      <c r="A15" s="2" t="s">
        <v>3898</v>
      </c>
      <c r="B15" s="2" t="s">
        <v>4351</v>
      </c>
      <c r="C15" s="2" t="s">
        <v>1371</v>
      </c>
    </row>
    <row r="16" spans="1:5" ht="14">
      <c r="A16" s="414" t="s">
        <v>3906</v>
      </c>
      <c r="B16" s="489">
        <v>50000</v>
      </c>
      <c r="C16" s="414" t="s">
        <v>2255</v>
      </c>
      <c r="D16" s="979" t="s">
        <v>4352</v>
      </c>
      <c r="E16" s="979"/>
    </row>
    <row r="17" spans="1:5" ht="14">
      <c r="A17" s="414" t="s">
        <v>4353</v>
      </c>
      <c r="B17" s="489">
        <v>50000</v>
      </c>
      <c r="C17" s="414" t="s">
        <v>2255</v>
      </c>
      <c r="D17" s="979" t="s">
        <v>4354</v>
      </c>
      <c r="E17" s="979"/>
    </row>
    <row r="18" spans="1:5" ht="14">
      <c r="A18" s="414" t="s">
        <v>3907</v>
      </c>
      <c r="B18" s="489">
        <v>0</v>
      </c>
      <c r="C18" s="414" t="s">
        <v>2255</v>
      </c>
      <c r="D18" s="979" t="s">
        <v>4355</v>
      </c>
    </row>
    <row r="19" spans="1:5" ht="14">
      <c r="A19" s="414" t="s">
        <v>3908</v>
      </c>
      <c r="B19" s="489">
        <v>2000</v>
      </c>
      <c r="C19" s="414" t="s">
        <v>2255</v>
      </c>
      <c r="D19" s="979" t="s">
        <v>4356</v>
      </c>
    </row>
    <row r="20" spans="1:5" ht="14">
      <c r="A20" s="414" t="s">
        <v>4357</v>
      </c>
      <c r="B20" s="489">
        <v>2000</v>
      </c>
      <c r="C20" s="414" t="s">
        <v>2255</v>
      </c>
      <c r="D20" s="979" t="s">
        <v>4354</v>
      </c>
    </row>
    <row r="21" spans="1:5" ht="14">
      <c r="A21" s="414" t="s">
        <v>3909</v>
      </c>
      <c r="B21" s="489">
        <v>0</v>
      </c>
      <c r="C21" s="414" t="s">
        <v>2255</v>
      </c>
      <c r="D21" s="979" t="s">
        <v>4358</v>
      </c>
    </row>
    <row r="22" spans="1:5" ht="14">
      <c r="A22" s="414" t="s">
        <v>3914</v>
      </c>
      <c r="B22" s="489">
        <v>2000</v>
      </c>
      <c r="C22" s="414" t="s">
        <v>2255</v>
      </c>
      <c r="D22" s="979" t="s">
        <v>4359</v>
      </c>
    </row>
    <row r="23" spans="1:5" ht="14">
      <c r="A23" s="414" t="s">
        <v>3915</v>
      </c>
      <c r="B23" s="489">
        <v>500</v>
      </c>
      <c r="C23" s="414" t="s">
        <v>2255</v>
      </c>
      <c r="D23" s="979" t="s">
        <v>4360</v>
      </c>
    </row>
    <row r="24" spans="1:5" ht="14">
      <c r="A24" s="414" t="s">
        <v>3916</v>
      </c>
      <c r="B24" s="489">
        <v>0</v>
      </c>
      <c r="C24" s="414" t="s">
        <v>2255</v>
      </c>
      <c r="D24" s="979" t="s">
        <v>4361</v>
      </c>
    </row>
    <row r="25" spans="1:5" ht="14">
      <c r="A25" s="414" t="s">
        <v>3917</v>
      </c>
      <c r="B25" s="489">
        <v>17710</v>
      </c>
      <c r="C25" s="414" t="s">
        <v>2255</v>
      </c>
      <c r="D25" s="979" t="s">
        <v>4362</v>
      </c>
    </row>
    <row r="26" spans="1:5" ht="14">
      <c r="A26" s="414" t="s">
        <v>3918</v>
      </c>
      <c r="B26" s="489">
        <v>1771</v>
      </c>
      <c r="C26" s="414" t="s">
        <v>2255</v>
      </c>
      <c r="D26" s="979" t="s">
        <v>4363</v>
      </c>
    </row>
    <row r="27" spans="1:5" ht="14">
      <c r="A27" s="414" t="s">
        <v>3919</v>
      </c>
      <c r="B27" s="489">
        <v>0</v>
      </c>
      <c r="C27" s="414" t="s">
        <v>2255</v>
      </c>
      <c r="D27" s="979" t="s">
        <v>4364</v>
      </c>
    </row>
    <row r="28" spans="1:5" ht="14">
      <c r="A28" s="414" t="s">
        <v>3920</v>
      </c>
      <c r="B28" s="489">
        <v>50000</v>
      </c>
      <c r="C28" s="414" t="s">
        <v>2255</v>
      </c>
      <c r="D28" s="979" t="s">
        <v>4365</v>
      </c>
    </row>
    <row r="29" spans="1:5" ht="14">
      <c r="A29" s="414" t="s">
        <v>4366</v>
      </c>
      <c r="B29" s="489">
        <v>50000</v>
      </c>
      <c r="C29" s="414" t="s">
        <v>2255</v>
      </c>
      <c r="D29" s="979" t="s">
        <v>4354</v>
      </c>
    </row>
    <row r="30" spans="1:5" ht="14">
      <c r="A30" s="414" t="s">
        <v>3921</v>
      </c>
      <c r="B30" s="489">
        <v>0</v>
      </c>
      <c r="C30" s="414" t="s">
        <v>2255</v>
      </c>
      <c r="D30" s="979" t="s">
        <v>4367</v>
      </c>
    </row>
    <row r="31" spans="1:5" ht="14">
      <c r="A31" s="414" t="s">
        <v>3922</v>
      </c>
      <c r="B31" s="980">
        <v>1</v>
      </c>
      <c r="C31" s="414" t="s">
        <v>3198</v>
      </c>
      <c r="D31" s="979" t="s">
        <v>4368</v>
      </c>
    </row>
    <row r="32" spans="1:5" ht="14">
      <c r="A32" s="414" t="s">
        <v>3923</v>
      </c>
      <c r="B32" s="980">
        <v>0.5</v>
      </c>
      <c r="C32" s="414" t="s">
        <v>3198</v>
      </c>
      <c r="D32" s="979" t="s">
        <v>4369</v>
      </c>
    </row>
    <row r="33" spans="1:4" ht="14">
      <c r="A33" s="414" t="s">
        <v>3924</v>
      </c>
      <c r="B33" s="489">
        <v>0</v>
      </c>
      <c r="C33" s="414" t="s">
        <v>3198</v>
      </c>
      <c r="D33" s="979" t="s">
        <v>4370</v>
      </c>
    </row>
    <row r="34" spans="1:4" ht="14">
      <c r="A34" s="414" t="s">
        <v>3927</v>
      </c>
      <c r="B34" s="489">
        <v>44000</v>
      </c>
      <c r="C34" s="414" t="s">
        <v>2255</v>
      </c>
      <c r="D34" s="979" t="s">
        <v>4371</v>
      </c>
    </row>
    <row r="35" spans="1:4" ht="14">
      <c r="A35" s="414" t="s">
        <v>3928</v>
      </c>
      <c r="B35" s="489">
        <v>3621.75</v>
      </c>
      <c r="C35" s="414" t="s">
        <v>2255</v>
      </c>
      <c r="D35" s="979" t="s">
        <v>4372</v>
      </c>
    </row>
    <row r="36" spans="1:4" ht="14">
      <c r="A36" s="414" t="s">
        <v>3929</v>
      </c>
      <c r="B36" s="489">
        <v>0</v>
      </c>
      <c r="C36" s="414" t="s">
        <v>2255</v>
      </c>
      <c r="D36" s="979"/>
    </row>
    <row r="37" spans="1:4" ht="14">
      <c r="A37" s="414" t="s">
        <v>3930</v>
      </c>
      <c r="B37" s="489">
        <v>44000</v>
      </c>
      <c r="C37" s="414" t="s">
        <v>2255</v>
      </c>
      <c r="D37" s="979" t="s">
        <v>4371</v>
      </c>
    </row>
    <row r="38" spans="1:4" ht="14">
      <c r="A38" s="414" t="s">
        <v>4373</v>
      </c>
      <c r="B38" s="489">
        <v>44000</v>
      </c>
      <c r="C38" s="414" t="s">
        <v>2255</v>
      </c>
      <c r="D38" s="979" t="s">
        <v>4354</v>
      </c>
    </row>
    <row r="39" spans="1:4" ht="14">
      <c r="A39" s="414" t="s">
        <v>3931</v>
      </c>
      <c r="B39" s="489">
        <v>0</v>
      </c>
      <c r="C39" s="414" t="s">
        <v>2255</v>
      </c>
      <c r="D39" s="979"/>
    </row>
    <row r="40" spans="1:4" ht="14">
      <c r="A40" s="414" t="s">
        <v>3932</v>
      </c>
      <c r="B40" s="489">
        <v>19800</v>
      </c>
      <c r="C40" t="s">
        <v>2255</v>
      </c>
      <c r="D40" s="979" t="s">
        <v>4374</v>
      </c>
    </row>
    <row r="41" spans="1:4" ht="14">
      <c r="A41" s="414" t="s">
        <v>4375</v>
      </c>
      <c r="B41" s="489">
        <v>5445</v>
      </c>
      <c r="C41" t="s">
        <v>2255</v>
      </c>
      <c r="D41" s="979" t="s">
        <v>4354</v>
      </c>
    </row>
    <row r="42" spans="1:4" ht="14">
      <c r="A42" s="414" t="s">
        <v>3933</v>
      </c>
      <c r="B42" s="489">
        <v>0</v>
      </c>
      <c r="C42" t="s">
        <v>2255</v>
      </c>
      <c r="D42" s="979" t="s">
        <v>4376</v>
      </c>
    </row>
    <row r="43" spans="1:4" ht="14">
      <c r="A43" t="s">
        <v>3938</v>
      </c>
      <c r="B43" s="489">
        <v>27500</v>
      </c>
      <c r="C43" t="s">
        <v>2255</v>
      </c>
      <c r="D43" s="979" t="s">
        <v>4377</v>
      </c>
    </row>
    <row r="44" spans="1:4" ht="14">
      <c r="A44" t="s">
        <v>3939</v>
      </c>
      <c r="B44" s="489">
        <v>5000</v>
      </c>
      <c r="C44" t="s">
        <v>2255</v>
      </c>
      <c r="D44" s="979" t="s">
        <v>4378</v>
      </c>
    </row>
    <row r="45" spans="1:4" ht="14">
      <c r="A45" t="s">
        <v>3940</v>
      </c>
      <c r="B45" s="489">
        <v>0</v>
      </c>
      <c r="C45" t="s">
        <v>2255</v>
      </c>
      <c r="D45" s="979" t="s">
        <v>4379</v>
      </c>
    </row>
    <row r="46" spans="1:4" ht="14">
      <c r="A46" s="414" t="s">
        <v>3944</v>
      </c>
      <c r="B46" s="489">
        <v>25436.999999999996</v>
      </c>
      <c r="C46" t="s">
        <v>2255</v>
      </c>
      <c r="D46" s="979" t="s">
        <v>4380</v>
      </c>
    </row>
    <row r="47" spans="1:4" ht="14">
      <c r="A47" s="414" t="s">
        <v>3945</v>
      </c>
      <c r="B47" s="489">
        <v>5000</v>
      </c>
      <c r="C47" t="s">
        <v>2255</v>
      </c>
      <c r="D47" s="979" t="s">
        <v>4381</v>
      </c>
    </row>
    <row r="48" spans="1:4" ht="14">
      <c r="A48" s="414" t="s">
        <v>3946</v>
      </c>
      <c r="B48" s="489">
        <v>0</v>
      </c>
      <c r="C48" t="s">
        <v>2255</v>
      </c>
      <c r="D48" s="979" t="s">
        <v>4382</v>
      </c>
    </row>
    <row r="49" spans="1:5" ht="14">
      <c r="A49" s="414" t="s">
        <v>3947</v>
      </c>
      <c r="B49" s="489">
        <v>21317.039999999997</v>
      </c>
      <c r="C49" t="s">
        <v>2255</v>
      </c>
      <c r="D49" s="979" t="s">
        <v>4383</v>
      </c>
    </row>
    <row r="50" spans="1:5" ht="14">
      <c r="A50" s="414" t="s">
        <v>3948</v>
      </c>
      <c r="B50" s="489">
        <v>4000</v>
      </c>
      <c r="C50" t="s">
        <v>2255</v>
      </c>
      <c r="D50" s="979" t="s">
        <v>4384</v>
      </c>
    </row>
    <row r="51" spans="1:5" ht="14">
      <c r="A51" s="414" t="s">
        <v>3949</v>
      </c>
      <c r="B51" s="489">
        <v>0</v>
      </c>
      <c r="C51" t="s">
        <v>2255</v>
      </c>
      <c r="D51" s="979"/>
    </row>
    <row r="52" spans="1:5" ht="14">
      <c r="A52" t="s">
        <v>3950</v>
      </c>
      <c r="B52" s="489">
        <v>2000</v>
      </c>
      <c r="C52" t="s">
        <v>2843</v>
      </c>
      <c r="D52" s="979" t="s">
        <v>4385</v>
      </c>
    </row>
    <row r="53" spans="1:5" ht="14">
      <c r="A53" t="s">
        <v>3951</v>
      </c>
      <c r="B53" s="489">
        <v>550</v>
      </c>
      <c r="C53" t="s">
        <v>2843</v>
      </c>
      <c r="D53" s="979" t="s">
        <v>4386</v>
      </c>
    </row>
    <row r="54" spans="1:5" ht="14">
      <c r="A54" t="s">
        <v>3952</v>
      </c>
      <c r="B54" s="489">
        <v>0</v>
      </c>
      <c r="C54" t="s">
        <v>2843</v>
      </c>
      <c r="D54" s="979" t="s">
        <v>4387</v>
      </c>
    </row>
    <row r="55" spans="1:5" ht="14">
      <c r="A55" s="414" t="s">
        <v>3953</v>
      </c>
      <c r="B55" s="489">
        <v>28427.723999999998</v>
      </c>
      <c r="C55" s="414" t="s">
        <v>2255</v>
      </c>
      <c r="D55" s="979" t="s">
        <v>4388</v>
      </c>
    </row>
    <row r="56" spans="1:5" ht="14">
      <c r="A56" s="414" t="s">
        <v>4389</v>
      </c>
      <c r="B56" s="489">
        <v>28427.723999999998</v>
      </c>
      <c r="C56" s="414" t="s">
        <v>2255</v>
      </c>
      <c r="D56" s="979" t="s">
        <v>4354</v>
      </c>
    </row>
    <row r="57" spans="1:5" ht="14">
      <c r="A57" s="414" t="s">
        <v>3954</v>
      </c>
      <c r="B57" s="489">
        <v>0</v>
      </c>
      <c r="C57" s="414" t="s">
        <v>2255</v>
      </c>
      <c r="D57" s="979"/>
    </row>
    <row r="58" spans="1:5" ht="14">
      <c r="A58" t="s">
        <v>3956</v>
      </c>
      <c r="B58" s="489">
        <v>2000</v>
      </c>
      <c r="C58" t="s">
        <v>2843</v>
      </c>
      <c r="D58" s="979" t="s">
        <v>4390</v>
      </c>
    </row>
    <row r="59" spans="1:5" ht="14">
      <c r="A59" t="s">
        <v>3957</v>
      </c>
      <c r="B59" s="489">
        <v>500</v>
      </c>
      <c r="C59" t="s">
        <v>2843</v>
      </c>
      <c r="D59" s="979" t="s">
        <v>4391</v>
      </c>
    </row>
    <row r="60" spans="1:5" ht="14">
      <c r="A60" t="s">
        <v>3958</v>
      </c>
      <c r="B60" s="489">
        <v>0</v>
      </c>
      <c r="C60" t="s">
        <v>2843</v>
      </c>
      <c r="D60" s="979" t="s">
        <v>4382</v>
      </c>
    </row>
    <row r="63" spans="1:5">
      <c r="A63" s="1" t="s">
        <v>4392</v>
      </c>
      <c r="B63" s="414"/>
      <c r="C63" s="414"/>
      <c r="D63" s="414"/>
      <c r="E63" s="414"/>
    </row>
    <row r="64" spans="1:5">
      <c r="A64" t="s">
        <v>4340</v>
      </c>
      <c r="B64" t="s">
        <v>4341</v>
      </c>
      <c r="C64" t="s">
        <v>494</v>
      </c>
    </row>
    <row r="65" spans="1:5">
      <c r="A65" s="977">
        <v>0</v>
      </c>
      <c r="B65" t="s">
        <v>4393</v>
      </c>
      <c r="C65" s="978">
        <v>0.1</v>
      </c>
    </row>
    <row r="66" spans="1:5">
      <c r="A66" s="977">
        <v>100000</v>
      </c>
      <c r="B66" t="s">
        <v>4394</v>
      </c>
      <c r="C66" s="978">
        <v>0.09</v>
      </c>
    </row>
    <row r="67" spans="1:5">
      <c r="A67" s="977">
        <v>250000</v>
      </c>
      <c r="B67" t="s">
        <v>4395</v>
      </c>
      <c r="C67" s="978">
        <v>0.06</v>
      </c>
    </row>
    <row r="68" spans="1:5">
      <c r="A68" s="977">
        <v>1000000</v>
      </c>
      <c r="B68" t="s">
        <v>4346</v>
      </c>
      <c r="C68" s="978">
        <v>0.05</v>
      </c>
    </row>
    <row r="69" spans="1:5">
      <c r="A69" s="977">
        <v>5000000</v>
      </c>
      <c r="B69" t="s">
        <v>4347</v>
      </c>
      <c r="C69" s="978">
        <v>0.04</v>
      </c>
    </row>
    <row r="70" spans="1:5">
      <c r="A70" s="977">
        <v>10000000</v>
      </c>
      <c r="B70" t="s">
        <v>4396</v>
      </c>
      <c r="C70" s="978">
        <v>3.2000000000000001E-2</v>
      </c>
    </row>
    <row r="73" spans="1:5">
      <c r="A73" s="1" t="s">
        <v>4397</v>
      </c>
      <c r="B73" s="414"/>
      <c r="C73" s="414"/>
      <c r="D73" s="414"/>
      <c r="E73" s="414"/>
    </row>
    <row r="74" spans="1:5">
      <c r="A74" t="s">
        <v>4398</v>
      </c>
      <c r="B74" t="s">
        <v>4341</v>
      </c>
      <c r="C74" t="s">
        <v>4399</v>
      </c>
    </row>
    <row r="75" spans="1:5">
      <c r="A75" s="977">
        <v>0</v>
      </c>
      <c r="B75" s="42" t="s">
        <v>4400</v>
      </c>
      <c r="C75" s="981">
        <v>6.7000000000000004E-2</v>
      </c>
      <c r="E75" s="981"/>
    </row>
    <row r="76" spans="1:5">
      <c r="A76" s="977">
        <v>500000</v>
      </c>
      <c r="B76" s="42" t="s">
        <v>4401</v>
      </c>
      <c r="C76" s="981">
        <v>5.8000000000000003E-2</v>
      </c>
      <c r="E76" s="981"/>
    </row>
    <row r="77" spans="1:5">
      <c r="A77" s="977">
        <v>3000000</v>
      </c>
      <c r="B77" s="42" t="s">
        <v>4402</v>
      </c>
      <c r="C77" s="981">
        <v>4.9000000000000002E-2</v>
      </c>
      <c r="E77" s="981"/>
    </row>
    <row r="78" spans="1:5">
      <c r="A78" s="977">
        <v>15000000</v>
      </c>
      <c r="B78" s="42" t="s">
        <v>4403</v>
      </c>
      <c r="C78" s="981">
        <v>4.1000000000000002E-2</v>
      </c>
      <c r="E78" s="981"/>
    </row>
    <row r="79" spans="1:5">
      <c r="A79" s="977">
        <v>50000000</v>
      </c>
      <c r="B79" s="42" t="s">
        <v>4404</v>
      </c>
      <c r="C79" s="981">
        <v>3.2000000000000001E-2</v>
      </c>
      <c r="E79" s="981"/>
    </row>
    <row r="80" spans="1:5">
      <c r="A80" s="977">
        <v>100000000</v>
      </c>
      <c r="B80" s="42" t="s">
        <v>4405</v>
      </c>
      <c r="C80" s="981">
        <v>5.8000000000000003E-2</v>
      </c>
      <c r="E80" s="981"/>
    </row>
    <row r="83" spans="1:4">
      <c r="A83" s="414" t="s">
        <v>4406</v>
      </c>
      <c r="B83" s="3" t="s">
        <v>4408</v>
      </c>
      <c r="C83" s="815">
        <v>3800</v>
      </c>
      <c r="D83" s="414" t="s">
        <v>4407</v>
      </c>
    </row>
    <row r="86" spans="1:4">
      <c r="A86" s="414" t="s">
        <v>4409</v>
      </c>
      <c r="B86" s="3" t="s">
        <v>4411</v>
      </c>
      <c r="C86" s="982">
        <v>0.1</v>
      </c>
      <c r="D86" s="414" t="s">
        <v>4410</v>
      </c>
    </row>
    <row r="89" spans="1:4">
      <c r="A89" s="1" t="s">
        <v>1078</v>
      </c>
    </row>
    <row r="90" spans="1:4">
      <c r="A90" s="1" t="s">
        <v>4412</v>
      </c>
      <c r="B90" s="1" t="s">
        <v>532</v>
      </c>
    </row>
    <row r="91" spans="1:4">
      <c r="A91">
        <v>0</v>
      </c>
      <c r="B91">
        <v>1.5</v>
      </c>
      <c r="C91" s="7" t="s">
        <v>3517</v>
      </c>
    </row>
    <row r="92" spans="1:4">
      <c r="A92" s="983">
        <v>6.95</v>
      </c>
      <c r="B92">
        <v>2</v>
      </c>
      <c r="C92" s="489"/>
    </row>
    <row r="93" spans="1:4">
      <c r="A93" s="983">
        <v>13.1</v>
      </c>
      <c r="B93">
        <v>2.5</v>
      </c>
      <c r="C93" s="489"/>
    </row>
    <row r="94" spans="1:4">
      <c r="A94" s="983">
        <v>22.2</v>
      </c>
      <c r="B94">
        <v>3</v>
      </c>
      <c r="C94" s="489"/>
    </row>
    <row r="95" spans="1:4">
      <c r="A95" s="983">
        <v>33</v>
      </c>
      <c r="B95">
        <v>4</v>
      </c>
      <c r="C95" s="489"/>
    </row>
    <row r="96" spans="1:4">
      <c r="A96" s="983">
        <v>39.200000000000003</v>
      </c>
      <c r="B96">
        <v>6</v>
      </c>
      <c r="C96" s="489"/>
    </row>
    <row r="97" spans="1:4">
      <c r="A97" s="983">
        <v>53.5</v>
      </c>
      <c r="B97">
        <v>8</v>
      </c>
      <c r="C97" s="489"/>
    </row>
    <row r="99" spans="1:4">
      <c r="A99" t="s">
        <v>4415</v>
      </c>
      <c r="B99" s="3" t="s">
        <v>4416</v>
      </c>
      <c r="C99">
        <v>50</v>
      </c>
      <c r="D99" t="s">
        <v>3198</v>
      </c>
    </row>
    <row r="102" spans="1:4">
      <c r="A102" t="s">
        <v>4417</v>
      </c>
      <c r="B102" s="3" t="s">
        <v>4418</v>
      </c>
      <c r="C102">
        <v>200</v>
      </c>
      <c r="D102" t="s">
        <v>2264</v>
      </c>
    </row>
    <row r="105" spans="1:4">
      <c r="A105" t="s">
        <v>4419</v>
      </c>
      <c r="B105" s="3" t="s">
        <v>4420</v>
      </c>
      <c r="C105">
        <v>113.32</v>
      </c>
      <c r="D105" t="s">
        <v>3198</v>
      </c>
    </row>
    <row r="108" spans="1:4">
      <c r="A108" t="s">
        <v>4421</v>
      </c>
      <c r="B108" s="3" t="s">
        <v>4422</v>
      </c>
      <c r="C108">
        <v>6148</v>
      </c>
      <c r="D108" t="s">
        <v>2264</v>
      </c>
    </row>
    <row r="111" spans="1:4">
      <c r="A111" t="s">
        <v>4423</v>
      </c>
      <c r="B111" s="3" t="s">
        <v>4424</v>
      </c>
      <c r="C111">
        <v>14</v>
      </c>
      <c r="D111" t="s">
        <v>120</v>
      </c>
    </row>
    <row r="114" spans="1:5">
      <c r="A114" t="s">
        <v>4425</v>
      </c>
      <c r="B114" s="3" t="s">
        <v>4426</v>
      </c>
      <c r="C114">
        <v>1.5</v>
      </c>
      <c r="D114" t="s">
        <v>120</v>
      </c>
    </row>
    <row r="117" spans="1:5">
      <c r="A117" s="1" t="s">
        <v>4427</v>
      </c>
      <c r="B117" s="414"/>
      <c r="C117" s="414"/>
      <c r="D117" s="414"/>
      <c r="E117" s="414"/>
    </row>
    <row r="118" spans="1:5">
      <c r="A118" t="s">
        <v>4428</v>
      </c>
      <c r="B118" t="s">
        <v>4341</v>
      </c>
      <c r="C118" t="s">
        <v>4429</v>
      </c>
      <c r="D118" t="s">
        <v>4430</v>
      </c>
      <c r="E118" t="s">
        <v>4431</v>
      </c>
    </row>
    <row r="119" spans="1:5">
      <c r="A119" s="977">
        <v>0</v>
      </c>
      <c r="B119" t="s">
        <v>4393</v>
      </c>
      <c r="C119" s="977">
        <v>0</v>
      </c>
      <c r="D119" s="984">
        <v>2.5000000000000001E-2</v>
      </c>
      <c r="E119" s="977">
        <v>0</v>
      </c>
    </row>
    <row r="120" spans="1:5">
      <c r="A120" s="977">
        <v>100000</v>
      </c>
      <c r="B120" t="s">
        <v>4432</v>
      </c>
      <c r="C120" s="977">
        <v>2500</v>
      </c>
      <c r="D120" s="984">
        <v>1.4999999999999999E-2</v>
      </c>
      <c r="E120" s="977">
        <v>100000</v>
      </c>
    </row>
    <row r="121" spans="1:5">
      <c r="A121" s="977">
        <v>500000</v>
      </c>
      <c r="B121" t="s">
        <v>4433</v>
      </c>
      <c r="C121" s="977">
        <v>8500</v>
      </c>
      <c r="D121" s="984">
        <v>0.01</v>
      </c>
      <c r="E121" s="977">
        <v>500000</v>
      </c>
    </row>
    <row r="122" spans="1:5">
      <c r="A122" s="977">
        <v>2500000</v>
      </c>
      <c r="B122" t="s">
        <v>4434</v>
      </c>
      <c r="C122" s="977">
        <v>28500</v>
      </c>
      <c r="D122" s="984">
        <v>7.4999999999999997E-3</v>
      </c>
      <c r="E122" s="977">
        <v>2500000</v>
      </c>
    </row>
    <row r="123" spans="1:5">
      <c r="A123" s="977">
        <v>5000000</v>
      </c>
      <c r="B123" t="s">
        <v>4435</v>
      </c>
      <c r="C123" s="977">
        <v>47250</v>
      </c>
      <c r="D123" s="984">
        <v>7.0000000000000001E-3</v>
      </c>
      <c r="E123" s="977">
        <v>5000000</v>
      </c>
    </row>
    <row r="124" spans="1:5">
      <c r="A124" s="977">
        <v>7500000</v>
      </c>
      <c r="B124" t="s">
        <v>4436</v>
      </c>
      <c r="C124" s="977">
        <v>64750</v>
      </c>
      <c r="D124" s="984">
        <v>6.0000000000000001E-3</v>
      </c>
      <c r="E124" s="977">
        <v>7500000</v>
      </c>
    </row>
    <row r="127" spans="1:5">
      <c r="A127" s="1" t="s">
        <v>4437</v>
      </c>
      <c r="B127" s="414"/>
      <c r="C127" s="414"/>
      <c r="D127" s="414"/>
      <c r="E127" s="414"/>
    </row>
    <row r="128" spans="1:5">
      <c r="A128" s="1" t="s">
        <v>4438</v>
      </c>
      <c r="B128" s="414"/>
      <c r="C128" s="414"/>
      <c r="D128" s="414"/>
      <c r="E128" s="414"/>
    </row>
    <row r="129" spans="1:3">
      <c r="A129" t="s">
        <v>4439</v>
      </c>
      <c r="B129" t="s">
        <v>532</v>
      </c>
      <c r="C129" s="414"/>
    </row>
    <row r="130" spans="1:3">
      <c r="A130">
        <v>0</v>
      </c>
      <c r="B130">
        <v>0.5</v>
      </c>
    </row>
    <row r="131" spans="1:3">
      <c r="A131">
        <v>2.1</v>
      </c>
      <c r="B131">
        <v>0.75</v>
      </c>
    </row>
    <row r="132" spans="1:3">
      <c r="A132">
        <v>4.0999999999999996</v>
      </c>
      <c r="B132">
        <v>1</v>
      </c>
    </row>
    <row r="133" spans="1:3">
      <c r="A133">
        <v>7.1</v>
      </c>
      <c r="B133">
        <v>1.5</v>
      </c>
    </row>
    <row r="134" spans="1:3">
      <c r="A134">
        <v>21.1</v>
      </c>
      <c r="B134">
        <v>2</v>
      </c>
    </row>
    <row r="135" spans="1:3">
      <c r="A135">
        <v>41.1</v>
      </c>
      <c r="B135">
        <v>2.5</v>
      </c>
    </row>
    <row r="136" spans="1:3">
      <c r="A136">
        <v>66.099999999999994</v>
      </c>
      <c r="B136">
        <v>3</v>
      </c>
    </row>
    <row r="137" spans="1:3">
      <c r="A137">
        <v>116.1</v>
      </c>
      <c r="B137">
        <v>4</v>
      </c>
    </row>
    <row r="138" spans="1:3">
      <c r="A138">
        <v>238.1</v>
      </c>
      <c r="B138">
        <v>6</v>
      </c>
    </row>
    <row r="139" spans="1:3">
      <c r="A139">
        <v>697.1</v>
      </c>
      <c r="B139">
        <v>8</v>
      </c>
    </row>
    <row r="140" spans="1:3">
      <c r="A140">
        <v>1435.1</v>
      </c>
      <c r="B140">
        <v>10</v>
      </c>
    </row>
    <row r="141" spans="1:3">
      <c r="A141">
        <v>2608.1</v>
      </c>
      <c r="B141">
        <v>12</v>
      </c>
    </row>
    <row r="142" spans="1:3">
      <c r="A142">
        <v>4132.1000000000004</v>
      </c>
      <c r="B142">
        <v>14</v>
      </c>
    </row>
    <row r="143" spans="1:3">
      <c r="A143">
        <v>5299.1</v>
      </c>
      <c r="B143">
        <v>16</v>
      </c>
    </row>
    <row r="144" spans="1:3">
      <c r="A144">
        <v>7528.1</v>
      </c>
      <c r="B144">
        <v>18</v>
      </c>
    </row>
    <row r="145" spans="1:15">
      <c r="A145">
        <v>10265.1</v>
      </c>
      <c r="B145">
        <v>20</v>
      </c>
    </row>
    <row r="146" spans="1:15">
      <c r="A146">
        <v>13643.1</v>
      </c>
      <c r="B146">
        <v>24</v>
      </c>
    </row>
    <row r="147" spans="1:15">
      <c r="A147">
        <v>22174.1</v>
      </c>
      <c r="B147">
        <v>30</v>
      </c>
    </row>
    <row r="148" spans="1:15">
      <c r="A148">
        <v>50561.1</v>
      </c>
      <c r="B148">
        <v>36</v>
      </c>
    </row>
    <row r="149" spans="1:15">
      <c r="A149">
        <v>81777.100000000006</v>
      </c>
      <c r="B149">
        <v>42</v>
      </c>
    </row>
    <row r="150" spans="1:15">
      <c r="A150">
        <v>122025.1</v>
      </c>
      <c r="B150">
        <v>48</v>
      </c>
    </row>
    <row r="153" spans="1:15">
      <c r="A153" s="1" t="s">
        <v>4440</v>
      </c>
      <c r="O153" s="414"/>
    </row>
    <row r="154" spans="1:15">
      <c r="A154" t="s">
        <v>4441</v>
      </c>
      <c r="B154" t="s">
        <v>4442</v>
      </c>
      <c r="C154" t="s">
        <v>4443</v>
      </c>
      <c r="D154" t="s">
        <v>4444</v>
      </c>
      <c r="O154" s="414"/>
    </row>
    <row r="155" spans="1:15">
      <c r="A155">
        <v>0</v>
      </c>
      <c r="B155">
        <v>350</v>
      </c>
      <c r="C155">
        <v>2.5</v>
      </c>
      <c r="D155">
        <v>2.5</v>
      </c>
      <c r="O155" s="414"/>
    </row>
    <row r="156" spans="1:15">
      <c r="A156">
        <v>351</v>
      </c>
      <c r="B156">
        <v>1740</v>
      </c>
      <c r="C156">
        <v>3.75</v>
      </c>
      <c r="D156">
        <v>3.75</v>
      </c>
      <c r="O156" s="414"/>
    </row>
    <row r="157" spans="1:15">
      <c r="A157">
        <v>1741</v>
      </c>
      <c r="B157">
        <v>7000</v>
      </c>
      <c r="C157">
        <v>5</v>
      </c>
      <c r="D157">
        <v>5</v>
      </c>
      <c r="O157" s="414"/>
    </row>
    <row r="158" spans="1:15">
      <c r="A158">
        <v>7001</v>
      </c>
      <c r="B158">
        <v>35000</v>
      </c>
      <c r="C158" s="10">
        <v>7.083333333333333</v>
      </c>
      <c r="D158" s="10">
        <v>7.083333333333333</v>
      </c>
      <c r="O158" s="414"/>
    </row>
    <row r="161" spans="1:3">
      <c r="A161" s="2" t="s">
        <v>4445</v>
      </c>
      <c r="B161" s="2" t="s">
        <v>4446</v>
      </c>
      <c r="C161" s="2" t="s">
        <v>4447</v>
      </c>
    </row>
    <row r="162" spans="1:3">
      <c r="A162" s="414" t="s">
        <v>4448</v>
      </c>
      <c r="B162" s="985" t="s">
        <v>4449</v>
      </c>
      <c r="C162" s="414" t="s">
        <v>4450</v>
      </c>
    </row>
    <row r="163" spans="1:3">
      <c r="A163" s="414" t="s">
        <v>4292</v>
      </c>
      <c r="B163" s="985" t="s">
        <v>4451</v>
      </c>
      <c r="C163" s="414" t="s">
        <v>4452</v>
      </c>
    </row>
    <row r="164" spans="1:3">
      <c r="A164" s="414" t="s">
        <v>4291</v>
      </c>
      <c r="B164" s="985" t="s">
        <v>4451</v>
      </c>
      <c r="C164" s="414" t="s">
        <v>4452</v>
      </c>
    </row>
    <row r="165" spans="1:3">
      <c r="A165" s="414" t="s">
        <v>4294</v>
      </c>
      <c r="B165" s="985" t="s">
        <v>4451</v>
      </c>
      <c r="C165" s="414" t="s">
        <v>4452</v>
      </c>
    </row>
    <row r="166" spans="1:3">
      <c r="A166" s="414" t="s">
        <v>4293</v>
      </c>
      <c r="B166" s="985" t="s">
        <v>4451</v>
      </c>
      <c r="C166" s="414" t="s">
        <v>4452</v>
      </c>
    </row>
    <row r="167" spans="1:3">
      <c r="A167" t="s">
        <v>4453</v>
      </c>
      <c r="B167" s="985" t="s">
        <v>4451</v>
      </c>
      <c r="C167" s="414" t="s">
        <v>4452</v>
      </c>
    </row>
    <row r="168" spans="1:3">
      <c r="A168" s="414" t="s">
        <v>4299</v>
      </c>
      <c r="B168" s="985" t="s">
        <v>4454</v>
      </c>
      <c r="C168" s="414" t="s">
        <v>4455</v>
      </c>
    </row>
    <row r="169" spans="1:3">
      <c r="A169" s="414" t="s">
        <v>4298</v>
      </c>
      <c r="B169" s="985" t="s">
        <v>4456</v>
      </c>
      <c r="C169" s="414" t="s">
        <v>4457</v>
      </c>
    </row>
    <row r="170" spans="1:3">
      <c r="A170" s="414" t="s">
        <v>4458</v>
      </c>
      <c r="B170" s="985" t="s">
        <v>4459</v>
      </c>
      <c r="C170" s="414" t="s">
        <v>4460</v>
      </c>
    </row>
    <row r="171" spans="1:3">
      <c r="A171" s="414" t="s">
        <v>4461</v>
      </c>
      <c r="B171" s="985" t="s">
        <v>4462</v>
      </c>
      <c r="C171" s="414" t="s">
        <v>4463</v>
      </c>
    </row>
    <row r="172" spans="1:3">
      <c r="A172" s="414" t="s">
        <v>4464</v>
      </c>
      <c r="B172" s="985" t="s">
        <v>4465</v>
      </c>
      <c r="C172" s="414" t="s">
        <v>4413</v>
      </c>
    </row>
    <row r="173" spans="1:3">
      <c r="A173" s="414" t="s">
        <v>4466</v>
      </c>
      <c r="B173" s="985" t="s">
        <v>4465</v>
      </c>
      <c r="C173" s="414" t="s">
        <v>4413</v>
      </c>
    </row>
    <row r="174" spans="1:3">
      <c r="A174" s="414" t="s">
        <v>4467</v>
      </c>
      <c r="B174" t="s">
        <v>4468</v>
      </c>
      <c r="C174" s="414" t="s">
        <v>4467</v>
      </c>
    </row>
    <row r="175" spans="1:3">
      <c r="A175" s="414" t="s">
        <v>4469</v>
      </c>
      <c r="B175" s="985" t="s">
        <v>4470</v>
      </c>
      <c r="C175" s="414" t="s">
        <v>4471</v>
      </c>
    </row>
    <row r="176" spans="1:3">
      <c r="A176" s="414" t="s">
        <v>4297</v>
      </c>
      <c r="B176" s="985" t="s">
        <v>4470</v>
      </c>
      <c r="C176" s="414" t="s">
        <v>4471</v>
      </c>
    </row>
    <row r="177" spans="1:3">
      <c r="A177" s="414" t="s">
        <v>4458</v>
      </c>
      <c r="B177" s="985" t="s">
        <v>4472</v>
      </c>
      <c r="C177" s="414" t="s">
        <v>4473</v>
      </c>
    </row>
    <row r="178" spans="1:3">
      <c r="A178" s="414" t="s">
        <v>4474</v>
      </c>
      <c r="B178" s="985" t="s">
        <v>4475</v>
      </c>
      <c r="C178" s="414" t="s">
        <v>4476</v>
      </c>
    </row>
    <row r="179" spans="1:3">
      <c r="A179" s="414" t="s">
        <v>4477</v>
      </c>
      <c r="B179" t="s">
        <v>4478</v>
      </c>
      <c r="C179" s="414" t="s">
        <v>4477</v>
      </c>
    </row>
    <row r="180" spans="1:3">
      <c r="A180" s="414" t="s">
        <v>1772</v>
      </c>
      <c r="B180" t="s">
        <v>4479</v>
      </c>
      <c r="C180" s="414" t="s">
        <v>4480</v>
      </c>
    </row>
    <row r="181" spans="1:3">
      <c r="A181" s="414" t="s">
        <v>4458</v>
      </c>
      <c r="B181" s="985" t="s">
        <v>4481</v>
      </c>
      <c r="C181" s="414" t="s">
        <v>4414</v>
      </c>
    </row>
    <row r="182" spans="1:3">
      <c r="A182" s="414" t="s">
        <v>4279</v>
      </c>
      <c r="B182" s="985" t="s">
        <v>4482</v>
      </c>
      <c r="C182" s="414" t="s">
        <v>4483</v>
      </c>
    </row>
    <row r="183" spans="1:3">
      <c r="A183" s="414" t="s">
        <v>4280</v>
      </c>
      <c r="B183" s="985" t="s">
        <v>4482</v>
      </c>
      <c r="C183" s="414" t="s">
        <v>4483</v>
      </c>
    </row>
    <row r="184" spans="1:3">
      <c r="A184" s="414" t="s">
        <v>4278</v>
      </c>
      <c r="B184" s="985" t="s">
        <v>4482</v>
      </c>
      <c r="C184" s="414" t="s">
        <v>4483</v>
      </c>
    </row>
    <row r="185" spans="1:3">
      <c r="A185" s="414" t="s">
        <v>4484</v>
      </c>
      <c r="B185" s="985" t="s">
        <v>4482</v>
      </c>
      <c r="C185" s="414" t="s">
        <v>4483</v>
      </c>
    </row>
    <row r="186" spans="1:3">
      <c r="A186" s="414" t="s">
        <v>4485</v>
      </c>
      <c r="B186" s="985" t="s">
        <v>4482</v>
      </c>
      <c r="C186" s="414" t="s">
        <v>4483</v>
      </c>
    </row>
    <row r="187" spans="1:3">
      <c r="A187" s="414" t="s">
        <v>4486</v>
      </c>
      <c r="B187" s="985" t="s">
        <v>4487</v>
      </c>
      <c r="C187" s="414" t="s">
        <v>4488</v>
      </c>
    </row>
    <row r="188" spans="1:3">
      <c r="A188" s="414" t="s">
        <v>4489</v>
      </c>
      <c r="B188" s="985" t="s">
        <v>4490</v>
      </c>
      <c r="C188" s="414" t="s">
        <v>4491</v>
      </c>
    </row>
    <row r="189" spans="1:3">
      <c r="A189" s="414" t="s">
        <v>4284</v>
      </c>
      <c r="B189" s="985" t="s">
        <v>4490</v>
      </c>
      <c r="C189" s="414" t="s">
        <v>4491</v>
      </c>
    </row>
    <row r="190" spans="1:3">
      <c r="A190" s="414" t="s">
        <v>4458</v>
      </c>
      <c r="B190" s="985" t="s">
        <v>4492</v>
      </c>
      <c r="C190" s="414" t="s">
        <v>4493</v>
      </c>
    </row>
    <row r="191" spans="1:3">
      <c r="A191" s="414" t="s">
        <v>4494</v>
      </c>
      <c r="B191" s="985" t="s">
        <v>4495</v>
      </c>
      <c r="C191" s="414" t="s">
        <v>4496</v>
      </c>
    </row>
    <row r="192" spans="1:3">
      <c r="A192" s="414" t="s">
        <v>4458</v>
      </c>
      <c r="B192" s="985" t="s">
        <v>4497</v>
      </c>
      <c r="C192" s="414" t="s">
        <v>4498</v>
      </c>
    </row>
    <row r="193" spans="1:5">
      <c r="A193" s="414" t="s">
        <v>4499</v>
      </c>
      <c r="B193" s="985" t="s">
        <v>4500</v>
      </c>
      <c r="C193" s="414" t="s">
        <v>4499</v>
      </c>
    </row>
    <row r="194" spans="1:5">
      <c r="A194" s="414" t="s">
        <v>4501</v>
      </c>
      <c r="B194" s="985" t="s">
        <v>4502</v>
      </c>
      <c r="C194" s="414" t="s">
        <v>4503</v>
      </c>
    </row>
    <row r="195" spans="1:5">
      <c r="A195" s="414" t="s">
        <v>4281</v>
      </c>
      <c r="B195" s="985" t="s">
        <v>4504</v>
      </c>
      <c r="C195" s="414" t="s">
        <v>4505</v>
      </c>
    </row>
    <row r="196" spans="1:5">
      <c r="A196" s="414" t="s">
        <v>4458</v>
      </c>
      <c r="B196" s="985" t="s">
        <v>4506</v>
      </c>
      <c r="C196" s="414" t="s">
        <v>4507</v>
      </c>
    </row>
    <row r="197" spans="1:5">
      <c r="A197" s="414" t="s">
        <v>4458</v>
      </c>
      <c r="B197" s="985" t="s">
        <v>4508</v>
      </c>
      <c r="C197" s="414" t="s">
        <v>4509</v>
      </c>
    </row>
    <row r="198" spans="1:5">
      <c r="A198" s="414" t="s">
        <v>4289</v>
      </c>
      <c r="B198" s="985" t="s">
        <v>4510</v>
      </c>
      <c r="C198" s="414" t="s">
        <v>4511</v>
      </c>
    </row>
    <row r="199" spans="1:5">
      <c r="A199" s="414" t="s">
        <v>4512</v>
      </c>
      <c r="B199" s="985" t="s">
        <v>4513</v>
      </c>
      <c r="C199" s="414" t="s">
        <v>4514</v>
      </c>
    </row>
    <row r="200" spans="1:5">
      <c r="A200" s="414" t="s">
        <v>4458</v>
      </c>
      <c r="B200" s="985" t="s">
        <v>4515</v>
      </c>
      <c r="C200" s="414" t="s">
        <v>4516</v>
      </c>
    </row>
    <row r="203" spans="1:5">
      <c r="A203" s="1" t="s">
        <v>4517</v>
      </c>
      <c r="B203" s="414"/>
      <c r="C203" s="414"/>
      <c r="D203" s="414"/>
      <c r="E203" s="414"/>
    </row>
    <row r="204" spans="1:5" ht="14">
      <c r="A204" t="s">
        <v>4518</v>
      </c>
      <c r="B204" s="986" t="s">
        <v>4519</v>
      </c>
      <c r="C204" s="7" t="s">
        <v>4520</v>
      </c>
    </row>
    <row r="205" spans="1:5">
      <c r="A205" s="987" t="s">
        <v>4521</v>
      </c>
      <c r="B205" s="987" t="s">
        <v>3818</v>
      </c>
      <c r="C205" s="987" t="s">
        <v>4522</v>
      </c>
    </row>
    <row r="206" spans="1:5">
      <c r="A206" s="988">
        <v>0</v>
      </c>
      <c r="B206" s="989">
        <v>347.63563037472028</v>
      </c>
      <c r="C206" s="988">
        <v>2</v>
      </c>
    </row>
    <row r="207" spans="1:5">
      <c r="A207" s="988">
        <v>2.1</v>
      </c>
      <c r="B207" s="989">
        <v>681.91181843044774</v>
      </c>
      <c r="C207" s="988">
        <v>3</v>
      </c>
    </row>
    <row r="208" spans="1:5">
      <c r="A208" s="988">
        <v>3.1</v>
      </c>
      <c r="B208" s="989">
        <v>1260.0087440508869</v>
      </c>
      <c r="C208" s="988">
        <v>4</v>
      </c>
    </row>
    <row r="209" spans="1:3">
      <c r="A209" s="988">
        <v>4.0999999999999996</v>
      </c>
      <c r="B209" s="989">
        <v>2835.0196741144964</v>
      </c>
      <c r="C209" s="988">
        <v>6</v>
      </c>
    </row>
    <row r="210" spans="1:3">
      <c r="A210" s="988">
        <v>6.1</v>
      </c>
      <c r="B210" s="989">
        <v>4990.7439767005962</v>
      </c>
      <c r="C210" s="988">
        <v>8</v>
      </c>
    </row>
    <row r="211" spans="1:3">
      <c r="A211" s="988">
        <v>8.1</v>
      </c>
      <c r="B211" s="989">
        <v>7813.4106239126322</v>
      </c>
      <c r="C211" s="988">
        <v>10</v>
      </c>
    </row>
    <row r="212" spans="1:3">
      <c r="A212" s="988">
        <v>10.1</v>
      </c>
      <c r="B212" s="989">
        <v>11192.326806056015</v>
      </c>
      <c r="C212" s="988">
        <v>12</v>
      </c>
    </row>
    <row r="213" spans="1:3">
      <c r="A213" s="988">
        <v>12.1</v>
      </c>
      <c r="B213" s="989">
        <v>15314.284822868764</v>
      </c>
      <c r="C213" s="988">
        <v>14</v>
      </c>
    </row>
    <row r="214" spans="1:3">
      <c r="A214" s="988">
        <v>14.1</v>
      </c>
      <c r="B214" s="989">
        <v>20002.331197216343</v>
      </c>
      <c r="C214" s="988">
        <v>16</v>
      </c>
    </row>
    <row r="215" spans="1:3">
      <c r="A215" s="988">
        <v>16.100000000000001</v>
      </c>
      <c r="B215" s="989">
        <v>25315.450421476933</v>
      </c>
      <c r="C215" s="988">
        <v>18</v>
      </c>
    </row>
    <row r="216" spans="1:3">
      <c r="A216" s="988">
        <v>18.100000000000001</v>
      </c>
      <c r="B216" s="989">
        <v>31130.717767160371</v>
      </c>
      <c r="C216" s="988">
        <v>20</v>
      </c>
    </row>
    <row r="217" spans="1:3">
      <c r="A217" s="988">
        <v>20.100000000000001</v>
      </c>
      <c r="B217" s="989">
        <v>45064.326572600447</v>
      </c>
      <c r="C217" s="988">
        <v>24</v>
      </c>
    </row>
    <row r="218" spans="1:3">
      <c r="A218" s="988">
        <v>24.1</v>
      </c>
      <c r="B218" s="989">
        <v>61050.596681665913</v>
      </c>
      <c r="C218" s="988">
        <v>28</v>
      </c>
    </row>
    <row r="219" spans="1:3">
      <c r="A219" s="988">
        <v>28.1</v>
      </c>
      <c r="B219" s="989">
        <v>70505.385478216151</v>
      </c>
      <c r="C219" s="988">
        <v>30</v>
      </c>
    </row>
    <row r="220" spans="1:3">
      <c r="A220" s="988">
        <v>30.1</v>
      </c>
      <c r="B220" s="989">
        <v>124768.59941751491</v>
      </c>
      <c r="C220" s="988">
        <v>40</v>
      </c>
    </row>
    <row r="221" spans="1:3">
      <c r="A221" s="988">
        <v>40.1</v>
      </c>
      <c r="B221" s="989">
        <v>137828.56340581886</v>
      </c>
      <c r="C221" s="988">
        <v>42</v>
      </c>
    </row>
    <row r="222" spans="1:3">
      <c r="A222" s="988">
        <v>42.1</v>
      </c>
      <c r="B222" s="989">
        <v>180257.30629040179</v>
      </c>
      <c r="C222" s="988">
        <v>48</v>
      </c>
    </row>
    <row r="225" spans="1:5">
      <c r="A225" s="1" t="s">
        <v>4523</v>
      </c>
      <c r="B225" s="414"/>
      <c r="C225" s="414"/>
      <c r="D225" s="414"/>
      <c r="E225" s="414"/>
    </row>
    <row r="226" spans="1:5">
      <c r="A226" s="414" t="s">
        <v>4524</v>
      </c>
    </row>
    <row r="227" spans="1:5">
      <c r="A227" t="s">
        <v>4525</v>
      </c>
    </row>
    <row r="228" spans="1:5">
      <c r="A228" s="42" t="s">
        <v>4526</v>
      </c>
      <c r="B228" s="42" t="s">
        <v>4527</v>
      </c>
      <c r="C228" s="42" t="s">
        <v>4528</v>
      </c>
    </row>
    <row r="229" spans="1:5">
      <c r="A229" s="42" t="s">
        <v>120</v>
      </c>
      <c r="B229" s="42" t="s">
        <v>120</v>
      </c>
      <c r="C229" s="42" t="s">
        <v>120</v>
      </c>
    </row>
    <row r="230" spans="1:5">
      <c r="A230">
        <v>1.5</v>
      </c>
      <c r="B230">
        <v>3</v>
      </c>
      <c r="C230">
        <v>6</v>
      </c>
    </row>
    <row r="231" spans="1:5">
      <c r="A231">
        <v>2</v>
      </c>
      <c r="B231">
        <v>3.5</v>
      </c>
      <c r="C231">
        <v>7.5</v>
      </c>
    </row>
    <row r="232" spans="1:5">
      <c r="A232">
        <v>2.5</v>
      </c>
      <c r="B232">
        <v>4</v>
      </c>
      <c r="C232">
        <v>9</v>
      </c>
    </row>
    <row r="233" spans="1:5">
      <c r="A233">
        <v>3</v>
      </c>
      <c r="B233">
        <v>4</v>
      </c>
      <c r="C233">
        <v>10</v>
      </c>
    </row>
    <row r="234" spans="1:5">
      <c r="A234">
        <v>3.5</v>
      </c>
      <c r="B234">
        <v>4.5</v>
      </c>
      <c r="C234">
        <v>10</v>
      </c>
    </row>
    <row r="235" spans="1:5">
      <c r="A235">
        <v>4</v>
      </c>
      <c r="B235">
        <v>4.5</v>
      </c>
      <c r="C235">
        <v>12</v>
      </c>
    </row>
    <row r="236" spans="1:5">
      <c r="A236">
        <v>4.5</v>
      </c>
      <c r="B236">
        <v>4.5</v>
      </c>
      <c r="C236">
        <v>15</v>
      </c>
    </row>
    <row r="237" spans="1:5">
      <c r="A237">
        <v>5</v>
      </c>
      <c r="B237">
        <v>4.5</v>
      </c>
      <c r="C237">
        <v>15</v>
      </c>
    </row>
    <row r="238" spans="1:5">
      <c r="A238">
        <v>5.5</v>
      </c>
      <c r="B238">
        <v>4.5</v>
      </c>
      <c r="C238">
        <v>15</v>
      </c>
    </row>
    <row r="239" spans="1:5">
      <c r="A239">
        <v>6</v>
      </c>
      <c r="B239">
        <v>4.5</v>
      </c>
      <c r="C239">
        <v>18</v>
      </c>
    </row>
    <row r="240" spans="1:5">
      <c r="A240">
        <v>6.5</v>
      </c>
      <c r="B240">
        <v>5.5</v>
      </c>
      <c r="C240">
        <v>18</v>
      </c>
    </row>
    <row r="241" spans="1:3">
      <c r="A241">
        <v>7</v>
      </c>
      <c r="B241">
        <v>5.5</v>
      </c>
      <c r="C241">
        <v>18</v>
      </c>
    </row>
    <row r="242" spans="1:3">
      <c r="A242">
        <v>7.5</v>
      </c>
      <c r="B242">
        <v>6</v>
      </c>
      <c r="C242">
        <v>18</v>
      </c>
    </row>
    <row r="243" spans="1:3">
      <c r="A243">
        <v>8</v>
      </c>
      <c r="B243">
        <v>6</v>
      </c>
      <c r="C243">
        <v>20</v>
      </c>
    </row>
    <row r="244" spans="1:3">
      <c r="A244">
        <v>8.5</v>
      </c>
      <c r="B244">
        <v>6</v>
      </c>
      <c r="C244">
        <v>20</v>
      </c>
    </row>
    <row r="245" spans="1:3">
      <c r="A245">
        <v>9</v>
      </c>
      <c r="B245">
        <v>6</v>
      </c>
      <c r="C245">
        <v>20</v>
      </c>
    </row>
    <row r="246" spans="1:3">
      <c r="A246">
        <v>9.5</v>
      </c>
      <c r="B246">
        <v>6</v>
      </c>
      <c r="C246">
        <v>20</v>
      </c>
    </row>
    <row r="247" spans="1:3">
      <c r="A247">
        <v>10</v>
      </c>
      <c r="B247">
        <v>6</v>
      </c>
      <c r="C247">
        <v>24</v>
      </c>
    </row>
    <row r="248" spans="1:3">
      <c r="A248">
        <v>10.5</v>
      </c>
      <c r="B248">
        <v>6</v>
      </c>
      <c r="C248">
        <v>24</v>
      </c>
    </row>
    <row r="249" spans="1:3">
      <c r="A249">
        <v>11</v>
      </c>
      <c r="B249">
        <v>6</v>
      </c>
      <c r="C249">
        <v>24</v>
      </c>
    </row>
    <row r="250" spans="1:3">
      <c r="A250">
        <v>11.5</v>
      </c>
      <c r="B250">
        <v>6</v>
      </c>
      <c r="C250">
        <v>24</v>
      </c>
    </row>
    <row r="251" spans="1:3">
      <c r="A251">
        <v>12</v>
      </c>
      <c r="B251">
        <v>6</v>
      </c>
      <c r="C251">
        <v>24</v>
      </c>
    </row>
    <row r="252" spans="1:3">
      <c r="A252">
        <v>14</v>
      </c>
      <c r="B252">
        <v>6</v>
      </c>
      <c r="C252">
        <v>24</v>
      </c>
    </row>
  </sheetData>
  <phoneticPr fontId="83" type="noConversion"/>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80"/>
  <sheetViews>
    <sheetView workbookViewId="0">
      <pane ySplit="2" topLeftCell="A3" activePane="bottomLeft" state="frozen"/>
      <selection pane="bottomLeft"/>
    </sheetView>
  </sheetViews>
  <sheetFormatPr baseColWidth="10" defaultColWidth="8.83203125" defaultRowHeight="13"/>
  <cols>
    <col min="1" max="1" width="27" customWidth="1"/>
    <col min="2" max="2" width="28.1640625" customWidth="1"/>
    <col min="3" max="3" width="17.5" customWidth="1"/>
    <col min="4" max="4" width="21.33203125" customWidth="1"/>
    <col min="5" max="5" width="13.5" bestFit="1" customWidth="1"/>
    <col min="6" max="6" width="14.5" customWidth="1"/>
  </cols>
  <sheetData>
    <row r="1" spans="1:3">
      <c r="A1" s="1" t="s">
        <v>3270</v>
      </c>
    </row>
    <row r="2" spans="1:3">
      <c r="A2" s="570" t="s">
        <v>3271</v>
      </c>
    </row>
    <row r="4" spans="1:3">
      <c r="A4" s="2" t="s">
        <v>1078</v>
      </c>
    </row>
    <row r="5" spans="1:3">
      <c r="A5" t="s">
        <v>1079</v>
      </c>
      <c r="B5" t="s">
        <v>532</v>
      </c>
    </row>
    <row r="6" spans="1:3">
      <c r="A6" s="799">
        <v>0</v>
      </c>
      <c r="B6" s="799">
        <v>1.5</v>
      </c>
      <c r="C6" s="7" t="s">
        <v>3517</v>
      </c>
    </row>
    <row r="7" spans="1:3">
      <c r="A7" s="800">
        <f>6.95*GAC_density/7.48*60+1</f>
        <v>1673.4598930481282</v>
      </c>
      <c r="B7" s="799">
        <v>2</v>
      </c>
      <c r="C7" s="38"/>
    </row>
    <row r="8" spans="1:3">
      <c r="A8" s="800">
        <f>13.1*GAC_density/7.48*60+1</f>
        <v>3153.4064171122996</v>
      </c>
      <c r="B8" s="799">
        <v>2.5</v>
      </c>
      <c r="C8" s="38"/>
    </row>
    <row r="9" spans="1:3">
      <c r="A9" s="800">
        <f>22.2*GAC_density/7.48*60+1</f>
        <v>5343.2459893048126</v>
      </c>
      <c r="B9" s="799">
        <v>3</v>
      </c>
      <c r="C9" s="38"/>
    </row>
    <row r="10" spans="1:3">
      <c r="A10" s="800">
        <f>33*GAC_density/7.48*60+1</f>
        <v>7942.1764705882351</v>
      </c>
      <c r="B10" s="799">
        <v>4</v>
      </c>
      <c r="C10" s="38"/>
    </row>
    <row r="11" spans="1:3">
      <c r="A11" s="800">
        <f>39.2*GAC_density/7.48*60+1</f>
        <v>9434.1550802139045</v>
      </c>
      <c r="B11" s="799">
        <v>6</v>
      </c>
      <c r="C11" s="38"/>
    </row>
    <row r="12" spans="1:3">
      <c r="A12" s="800">
        <f>53.5*GAC_density/7.48*60+1</f>
        <v>12875.331550802139</v>
      </c>
      <c r="B12" s="799">
        <v>8</v>
      </c>
      <c r="C12" s="38"/>
    </row>
    <row r="14" spans="1:3">
      <c r="A14" s="2" t="s">
        <v>541</v>
      </c>
    </row>
    <row r="15" spans="1:3">
      <c r="A15" s="3" t="s">
        <v>542</v>
      </c>
      <c r="B15" s="5"/>
    </row>
    <row r="16" spans="1:3">
      <c r="A16">
        <v>1</v>
      </c>
      <c r="B16" t="s">
        <v>1771</v>
      </c>
    </row>
    <row r="17" spans="1:2">
      <c r="A17">
        <v>2</v>
      </c>
      <c r="B17" t="s">
        <v>543</v>
      </c>
    </row>
    <row r="18" spans="1:2">
      <c r="A18" s="3" t="s">
        <v>3259</v>
      </c>
    </row>
    <row r="19" spans="1:2">
      <c r="A19" s="799">
        <v>1</v>
      </c>
      <c r="B19" s="821" t="s">
        <v>3474</v>
      </c>
    </row>
    <row r="20" spans="1:2">
      <c r="A20" s="799">
        <v>2</v>
      </c>
      <c r="B20" s="821" t="s">
        <v>3473</v>
      </c>
    </row>
    <row r="21" spans="1:2">
      <c r="A21" s="799">
        <v>3</v>
      </c>
      <c r="B21" s="821" t="s">
        <v>3806</v>
      </c>
    </row>
    <row r="22" spans="1:2">
      <c r="A22" s="799">
        <v>4</v>
      </c>
      <c r="B22" s="821" t="s">
        <v>3807</v>
      </c>
    </row>
    <row r="23" spans="1:2">
      <c r="A23" s="799">
        <v>5</v>
      </c>
      <c r="B23" s="821" t="s">
        <v>3808</v>
      </c>
    </row>
    <row r="24" spans="1:2">
      <c r="A24" s="799">
        <v>6</v>
      </c>
      <c r="B24" s="821" t="s">
        <v>3809</v>
      </c>
    </row>
    <row r="25" spans="1:2">
      <c r="A25" s="799">
        <v>7</v>
      </c>
      <c r="B25" s="821" t="s">
        <v>3514</v>
      </c>
    </row>
    <row r="26" spans="1:2">
      <c r="A26" s="799">
        <v>8</v>
      </c>
      <c r="B26" s="799" t="s">
        <v>346</v>
      </c>
    </row>
    <row r="27" spans="1:2">
      <c r="A27" s="799">
        <v>9</v>
      </c>
      <c r="B27" s="799" t="s">
        <v>347</v>
      </c>
    </row>
    <row r="28" spans="1:2">
      <c r="A28" s="799">
        <v>10</v>
      </c>
      <c r="B28" s="801" t="s">
        <v>160</v>
      </c>
    </row>
    <row r="29" spans="1:2">
      <c r="A29" s="799">
        <v>11</v>
      </c>
      <c r="B29" s="801" t="s">
        <v>161</v>
      </c>
    </row>
    <row r="30" spans="1:2">
      <c r="A30" s="799">
        <v>12</v>
      </c>
      <c r="B30" s="801" t="s">
        <v>162</v>
      </c>
    </row>
    <row r="31" spans="1:2">
      <c r="A31" s="799">
        <v>13</v>
      </c>
      <c r="B31" s="801" t="s">
        <v>163</v>
      </c>
    </row>
    <row r="32" spans="1:2">
      <c r="A32" s="799">
        <v>14</v>
      </c>
      <c r="B32" s="801" t="s">
        <v>164</v>
      </c>
    </row>
    <row r="33" spans="1:2">
      <c r="A33" s="799">
        <v>15</v>
      </c>
      <c r="B33" s="801" t="s">
        <v>165</v>
      </c>
    </row>
    <row r="34" spans="1:2">
      <c r="A34" s="799">
        <v>16</v>
      </c>
      <c r="B34" s="801" t="s">
        <v>166</v>
      </c>
    </row>
    <row r="35" spans="1:2">
      <c r="A35" s="799">
        <v>17</v>
      </c>
      <c r="B35" s="801" t="s">
        <v>167</v>
      </c>
    </row>
    <row r="36" spans="1:2">
      <c r="A36" s="799">
        <v>18</v>
      </c>
      <c r="B36" s="801" t="s">
        <v>168</v>
      </c>
    </row>
    <row r="37" spans="1:2">
      <c r="A37" s="799">
        <v>19</v>
      </c>
      <c r="B37" s="799" t="s">
        <v>1429</v>
      </c>
    </row>
    <row r="38" spans="1:2">
      <c r="A38" s="799">
        <v>20</v>
      </c>
      <c r="B38" s="799" t="s">
        <v>3143</v>
      </c>
    </row>
    <row r="39" spans="1:2">
      <c r="A39" s="799">
        <v>21</v>
      </c>
      <c r="B39" s="821" t="s">
        <v>1803</v>
      </c>
    </row>
    <row r="40" spans="1:2">
      <c r="A40" s="799">
        <v>22</v>
      </c>
      <c r="B40" s="799" t="s">
        <v>544</v>
      </c>
    </row>
    <row r="41" spans="1:2">
      <c r="A41" s="3" t="s">
        <v>3223</v>
      </c>
    </row>
    <row r="42" spans="1:2">
      <c r="A42" s="799" t="s">
        <v>1799</v>
      </c>
    </row>
    <row r="43" spans="1:2">
      <c r="A43" s="799" t="s">
        <v>3224</v>
      </c>
    </row>
    <row r="44" spans="1:2">
      <c r="A44" s="799"/>
    </row>
    <row r="45" spans="1:2">
      <c r="A45" s="3" t="s">
        <v>3225</v>
      </c>
    </row>
    <row r="46" spans="1:2">
      <c r="A46" s="799" t="s">
        <v>1800</v>
      </c>
    </row>
    <row r="47" spans="1:2">
      <c r="A47" s="799" t="s">
        <v>3226</v>
      </c>
    </row>
    <row r="48" spans="1:2">
      <c r="A48" s="799"/>
    </row>
    <row r="49" spans="1:1">
      <c r="A49" s="3" t="s">
        <v>3227</v>
      </c>
    </row>
    <row r="50" spans="1:1">
      <c r="A50" s="799" t="s">
        <v>2759</v>
      </c>
    </row>
    <row r="51" spans="1:1">
      <c r="A51" s="799" t="s">
        <v>2761</v>
      </c>
    </row>
    <row r="52" spans="1:1">
      <c r="A52" s="799" t="s">
        <v>2762</v>
      </c>
    </row>
    <row r="53" spans="1:1">
      <c r="A53" s="799"/>
    </row>
    <row r="54" spans="1:1">
      <c r="A54" s="3" t="s">
        <v>3228</v>
      </c>
    </row>
    <row r="55" spans="1:1">
      <c r="A55" s="799" t="s">
        <v>144</v>
      </c>
    </row>
    <row r="56" spans="1:1">
      <c r="A56" s="799" t="s">
        <v>3229</v>
      </c>
    </row>
    <row r="57" spans="1:1">
      <c r="A57" s="799" t="s">
        <v>1932</v>
      </c>
    </row>
    <row r="58" spans="1:1">
      <c r="A58" s="799"/>
    </row>
    <row r="59" spans="1:1">
      <c r="A59" s="3" t="s">
        <v>3231</v>
      </c>
    </row>
    <row r="60" spans="1:1">
      <c r="A60" s="799" t="s">
        <v>2174</v>
      </c>
    </row>
    <row r="61" spans="1:1">
      <c r="A61" s="799"/>
    </row>
    <row r="62" spans="1:1">
      <c r="A62" s="3" t="s">
        <v>3230</v>
      </c>
    </row>
    <row r="63" spans="1:1">
      <c r="A63" s="799" t="s">
        <v>1021</v>
      </c>
    </row>
    <row r="64" spans="1:1">
      <c r="A64" s="799"/>
    </row>
    <row r="65" spans="1:1">
      <c r="A65" s="3" t="s">
        <v>3257</v>
      </c>
    </row>
    <row r="66" spans="1:1">
      <c r="A66" s="799" t="str">
        <f>IF(res_s2_opt&gt;2,"","holding tank")</f>
        <v/>
      </c>
    </row>
    <row r="67" spans="1:1">
      <c r="A67" s="799" t="str">
        <f>IF(res_s2_opt&gt;2,"","none")</f>
        <v/>
      </c>
    </row>
    <row r="68" spans="1:1">
      <c r="A68" s="3" t="s">
        <v>3258</v>
      </c>
    </row>
    <row r="69" spans="1:1">
      <c r="A69" s="799" t="str">
        <f>IF(OR(res_s1_opt=1,res_s2_opt&gt;2),"non-hazardous","")</f>
        <v>non-hazardous</v>
      </c>
    </row>
    <row r="70" spans="1:1">
      <c r="A70" s="799" t="str">
        <f>IF(OR(res_s1_opt=1,res_s2_opt&gt;2),"hazardous","")</f>
        <v>hazardous</v>
      </c>
    </row>
    <row r="71" spans="1:1">
      <c r="A71" s="802" t="str">
        <f>IF(OR(res_s1_opt=1,res_s2_opt&gt;2),"radioactive")</f>
        <v>radioactive</v>
      </c>
    </row>
    <row r="72" spans="1:1">
      <c r="A72" s="802" t="str">
        <f>IF(OR(res_s1_opt=1,res_s2_opt&gt;2),"radioactive hazardous")</f>
        <v>radioactive hazardous</v>
      </c>
    </row>
    <row r="73" spans="1:1">
      <c r="A73" s="3" t="s">
        <v>3469</v>
      </c>
    </row>
    <row r="74" spans="1:1">
      <c r="A74" s="819" t="str">
        <f>VLOOKUP(tech_name,TDB_link_table_cl,2,FALSE)</f>
        <v>https://tdb.epa.gov/tdb/treatmentprocess?treatmentProcessId=2074826383</v>
      </c>
    </row>
    <row r="75" spans="1:1">
      <c r="A75" s="3" t="s">
        <v>3470</v>
      </c>
    </row>
    <row r="76" spans="1:1">
      <c r="A76" s="819" t="str">
        <f>VLOOKUP("GAC Isotherm",TDB_link_table_cl,2,FALSE)</f>
        <v>https://tdb.epa.gov/tdb/treatmentprocess?treatmentProcessId=-979193564</v>
      </c>
    </row>
    <row r="77" spans="1:1">
      <c r="A77" s="3" t="s">
        <v>3490</v>
      </c>
    </row>
    <row r="78" spans="1:1">
      <c r="A78" s="799" t="s">
        <v>3491</v>
      </c>
    </row>
    <row r="79" spans="1:1">
      <c r="A79" s="799" t="s">
        <v>3492</v>
      </c>
    </row>
    <row r="80" spans="1:1">
      <c r="A80" s="799"/>
    </row>
  </sheetData>
  <phoneticPr fontId="0" type="noConversion"/>
  <pageMargins left="0.75" right="0.75" top="1" bottom="1" header="0.5" footer="0.5"/>
  <pageSetup orientation="portrait" horizontalDpi="200" verticalDpi="200"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25</vt:i4>
      </vt:variant>
      <vt:variant>
        <vt:lpstr>命名范围</vt:lpstr>
      </vt:variant>
      <vt:variant>
        <vt:i4>1444</vt:i4>
      </vt:variant>
    </vt:vector>
  </HeadingPairs>
  <TitlesOfParts>
    <vt:vector size="1469" baseType="lpstr">
      <vt:lpstr>Title Page</vt:lpstr>
      <vt:lpstr>Index</vt:lpstr>
      <vt:lpstr>INPUT</vt:lpstr>
      <vt:lpstr>OUTPUT</vt:lpstr>
      <vt:lpstr>Critical Design Assumptions</vt:lpstr>
      <vt:lpstr>O&amp;M Assumptions</vt:lpstr>
      <vt:lpstr>Residuals Management</vt:lpstr>
      <vt:lpstr>Cost Data</vt:lpstr>
      <vt:lpstr>Indirect Assumptions</vt:lpstr>
      <vt:lpstr>Retrofit</vt:lpstr>
      <vt:lpstr>Contactor Constraints</vt:lpstr>
      <vt:lpstr>Backwash and Regeneration</vt:lpstr>
      <vt:lpstr>Pumps Pipe Structure</vt:lpstr>
      <vt:lpstr>Instrumentation and Control</vt:lpstr>
      <vt:lpstr>O&amp;M</vt:lpstr>
      <vt:lpstr>HVAC</vt:lpstr>
      <vt:lpstr>Indirect</vt:lpstr>
      <vt:lpstr>PFAS Reference</vt:lpstr>
      <vt:lpstr>Freundlich Reference</vt:lpstr>
      <vt:lpstr>Standard Inputs</vt:lpstr>
      <vt:lpstr>AutoSize</vt:lpstr>
      <vt:lpstr>Cost Equations</vt:lpstr>
      <vt:lpstr>Cost Coefficients</vt:lpstr>
      <vt:lpstr>Engineering Data</vt:lpstr>
      <vt:lpstr>Lookup Tables</vt:lpstr>
      <vt:lpstr>add_2nd_building</vt:lpstr>
      <vt:lpstr>add_on</vt:lpstr>
      <vt:lpstr>add_on_valid</vt:lpstr>
      <vt:lpstr>add_pH_controls</vt:lpstr>
      <vt:lpstr>add_pH_controls_small</vt:lpstr>
      <vt:lpstr>add_ports</vt:lpstr>
      <vt:lpstr>add_res_pipe_length</vt:lpstr>
      <vt:lpstr>add_turb</vt:lpstr>
      <vt:lpstr>add_turb_p</vt:lpstr>
      <vt:lpstr>add_turb_small</vt:lpstr>
      <vt:lpstr>add_turb_small_p</vt:lpstr>
      <vt:lpstr>addon_cost</vt:lpstr>
      <vt:lpstr>addon_I</vt:lpstr>
      <vt:lpstr>af_units</vt:lpstr>
      <vt:lpstr>air_changes_build1</vt:lpstr>
      <vt:lpstr>air_changes_build2</vt:lpstr>
      <vt:lpstr>Air_changes_chem_storage</vt:lpstr>
      <vt:lpstr>Air_changes_contactor</vt:lpstr>
      <vt:lpstr>Air_changes_office</vt:lpstr>
      <vt:lpstr>Air_changes_pump</vt:lpstr>
      <vt:lpstr>alarm_back</vt:lpstr>
      <vt:lpstr>alarm_cost_cl</vt:lpstr>
      <vt:lpstr>alarm_res</vt:lpstr>
      <vt:lpstr>analog_inputs</vt:lpstr>
      <vt:lpstr>analog_outputs</vt:lpstr>
      <vt:lpstr>Annualized_Capital_Cost</vt:lpstr>
      <vt:lpstr>Annualized_Cost</vt:lpstr>
      <vt:lpstr>architectural_table_cl</vt:lpstr>
      <vt:lpstr>average_flow</vt:lpstr>
      <vt:lpstr>average_flow_I</vt:lpstr>
      <vt:lpstr>average_flow_rate</vt:lpstr>
      <vt:lpstr>back_backfill_vol</vt:lpstr>
      <vt:lpstr>back_basin_depth</vt:lpstr>
      <vt:lpstr>back_basin_length</vt:lpstr>
      <vt:lpstr>back_basin_op_depth</vt:lpstr>
      <vt:lpstr>back_basin_vol</vt:lpstr>
      <vt:lpstr>back_basin_width</vt:lpstr>
      <vt:lpstr>back_basins</vt:lpstr>
      <vt:lpstr>back_basins_default</vt:lpstr>
      <vt:lpstr>back_chv_no_back</vt:lpstr>
      <vt:lpstr>back_chv_pump</vt:lpstr>
      <vt:lpstr>back_conc_vol</vt:lpstr>
      <vt:lpstr>back_excavation_vol</vt:lpstr>
      <vt:lpstr>back_freeboard</vt:lpstr>
      <vt:lpstr>back_hrs_yr</vt:lpstr>
      <vt:lpstr>back_interval</vt:lpstr>
      <vt:lpstr>back_interval_I</vt:lpstr>
      <vt:lpstr>back_meter_size</vt:lpstr>
      <vt:lpstr>back_multiplier</vt:lpstr>
      <vt:lpstr>back_pipe_diam</vt:lpstr>
      <vt:lpstr>back_pipe_flow</vt:lpstr>
      <vt:lpstr>back_pipe_length</vt:lpstr>
      <vt:lpstr>back_pipe_mult</vt:lpstr>
      <vt:lpstr>back_pump_cost_cl</vt:lpstr>
      <vt:lpstr>back_pump_energy</vt:lpstr>
      <vt:lpstr>back_pump_flow_total</vt:lpstr>
      <vt:lpstr>back_pump_head</vt:lpstr>
      <vt:lpstr>back_pump_hp</vt:lpstr>
      <vt:lpstr>back_pump_mtl</vt:lpstr>
      <vt:lpstr>back_pump_psi</vt:lpstr>
      <vt:lpstr>back_pump_rating</vt:lpstr>
      <vt:lpstr>back_railing</vt:lpstr>
      <vt:lpstr>back_ratio</vt:lpstr>
      <vt:lpstr>back_tank_fp</vt:lpstr>
      <vt:lpstr>back_tank_vol</vt:lpstr>
      <vt:lpstr>back_valve_size</vt:lpstr>
      <vt:lpstr>back_vol_ft</vt:lpstr>
      <vt:lpstr>backfill_cost_cl</vt:lpstr>
      <vt:lpstr>backfill_vol</vt:lpstr>
      <vt:lpstr>backwash_pump_valid</vt:lpstr>
      <vt:lpstr>backwash_pumps</vt:lpstr>
      <vt:lpstr>backwash_storage_valid</vt:lpstr>
      <vt:lpstr>backwash_time</vt:lpstr>
      <vt:lpstr>backwash_yr</vt:lpstr>
      <vt:lpstr>basin_area</vt:lpstr>
      <vt:lpstr>basin_conc_vol</vt:lpstr>
      <vt:lpstr>basin_depth</vt:lpstr>
      <vt:lpstr>basin_freeboard</vt:lpstr>
      <vt:lpstr>basin_length</vt:lpstr>
      <vt:lpstr>basin_op_depth</vt:lpstr>
      <vt:lpstr>basin_vol</vt:lpstr>
      <vt:lpstr>basin_width</vt:lpstr>
      <vt:lpstr>bearing_area</vt:lpstr>
      <vt:lpstr>bed_depth</vt:lpstr>
      <vt:lpstr>bed_expansion</vt:lpstr>
      <vt:lpstr>bed_life</vt:lpstr>
      <vt:lpstr>bedding_cost_cl</vt:lpstr>
      <vt:lpstr>bedding_depth</vt:lpstr>
      <vt:lpstr>bedding_pct</vt:lpstr>
      <vt:lpstr>bedding_vol</vt:lpstr>
      <vt:lpstr>bldg_hi_cost_cl</vt:lpstr>
      <vt:lpstr>bldg_hi_eq_1</vt:lpstr>
      <vt:lpstr>bldg_hi_eq_1_r</vt:lpstr>
      <vt:lpstr>bldg_hi_eq_2</vt:lpstr>
      <vt:lpstr>bldg_hi_eq_2_r</vt:lpstr>
      <vt:lpstr>bldg_lo_cost_cl</vt:lpstr>
      <vt:lpstr>bldg_lo_eq_1</vt:lpstr>
      <vt:lpstr>bldg_lo_eq_1_r</vt:lpstr>
      <vt:lpstr>bldg_lo_eq_2</vt:lpstr>
      <vt:lpstr>bldg_lo_eq_2_r</vt:lpstr>
      <vt:lpstr>bldg_maint_cost</vt:lpstr>
      <vt:lpstr>bldg_mid_cost_cl</vt:lpstr>
      <vt:lpstr>bldg_mid_eq_1</vt:lpstr>
      <vt:lpstr>bldg_mid_eq_1_r</vt:lpstr>
      <vt:lpstr>bldg_mid_eq_2</vt:lpstr>
      <vt:lpstr>bldg_mid_eq_2_r</vt:lpstr>
      <vt:lpstr>bldg_shed_cost_cl</vt:lpstr>
      <vt:lpstr>block_vol</vt:lpstr>
      <vt:lpstr>booster_pump_maintenance</vt:lpstr>
      <vt:lpstr>booster_pumps</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Building_height_g</vt:lpstr>
      <vt:lpstr>building_matl_rate_cl</vt:lpstr>
      <vt:lpstr>buried_res_pipe_length</vt:lpstr>
      <vt:lpstr>BV_definition</vt:lpstr>
      <vt:lpstr>bypass_valve_size</vt:lpstr>
      <vt:lpstr>C_0</vt:lpstr>
      <vt:lpstr>C_b</vt:lpstr>
      <vt:lpstr>ceiling_clearance</vt:lpstr>
      <vt:lpstr>chem_break_table_cl</vt:lpstr>
      <vt:lpstr>chem_cost_cl</vt:lpstr>
      <vt:lpstr>chem_pipe_mult</vt:lpstr>
      <vt:lpstr>ci_bfv_cost_cl</vt:lpstr>
      <vt:lpstr>ci_bfv_eq</vt:lpstr>
      <vt:lpstr>ci_bfv_eq_proc</vt:lpstr>
      <vt:lpstr>ci_chv_cost_cl</vt:lpstr>
      <vt:lpstr>ci_chv_eq_back</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coag_pct</vt:lpstr>
      <vt:lpstr>coag_pipe_diam</vt:lpstr>
      <vt:lpstr>coag_pipe_flow</vt:lpstr>
      <vt:lpstr>coag_pipe_length</vt:lpstr>
      <vt:lpstr>coag_purchase</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comp_bed_depth_a</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comp_in_nlines_a</vt:lpstr>
      <vt:lpstr>comp_length_width_a</vt:lpstr>
      <vt:lpstr>comp_level_valid</vt:lpstr>
      <vt:lpstr>comp_long_bed_depth</vt:lpstr>
      <vt:lpstr>comp_long_diam</vt:lpstr>
      <vt:lpstr>comp_long_length</vt:lpstr>
      <vt:lpstr>comp_max_bed_depth</vt:lpstr>
      <vt:lpstr>comp_max_bed_depth_a</vt:lpstr>
      <vt:lpstr>comp_max_horiz_bed_depth</vt:lpstr>
      <vt:lpstr>comp_max_horiz_diam</vt:lpstr>
      <vt:lpstr>comp_max_horiz_length</vt:lpstr>
      <vt:lpstr>comp_max_horiz_sa</vt:lpstr>
      <vt:lpstr>comp_max_length</vt:lpstr>
      <vt:lpstr>comp_max_length_a</vt:lpstr>
      <vt:lpstr>comp_max_sa_a</vt:lpstr>
      <vt:lpstr>comp_max_sa_vessel</vt:lpstr>
      <vt:lpstr>comp_max_vert_bed_depth</vt:lpstr>
      <vt:lpstr>comp_max_vert_diam</vt:lpstr>
      <vt:lpstr>comp_max_vert_height</vt:lpstr>
      <vt:lpstr>comp_max_vol</vt:lpstr>
      <vt:lpstr>comp_max_vol_length</vt:lpstr>
      <vt:lpstr>comp_max_width</vt:lpstr>
      <vt:lpstr>comp_max_width_a</vt:lpstr>
      <vt:lpstr>comp_min_bed_depth_a</vt:lpstr>
      <vt:lpstr>comp_min_horiz_bed_depth</vt:lpstr>
      <vt:lpstr>comp_min_horiz_diam</vt:lpstr>
      <vt:lpstr>comp_min_horiz_length</vt:lpstr>
      <vt:lpstr>comp_min_length_a</vt:lpstr>
      <vt:lpstr>comp_min_sa_a</vt:lpstr>
      <vt:lpstr>comp_min_sa_vessel</vt:lpstr>
      <vt:lpstr>comp_min_vert_bed_depth</vt:lpstr>
      <vt:lpstr>comp_min_vert_diam</vt:lpstr>
      <vt:lpstr>comp_min_vert_height</vt:lpstr>
      <vt:lpstr>comp_min_width_a</vt:lpstr>
      <vt:lpstr>comp_nlines_extra_search</vt:lpstr>
      <vt:lpstr>comp_nlines_extra_search_a</vt:lpstr>
      <vt:lpstr>comp_out_success</vt:lpstr>
      <vt:lpstr>comp_out_success_a</vt:lpstr>
      <vt:lpstr>comp_pv_max_sizes</vt:lpstr>
      <vt:lpstr>comp_round_sa</vt:lpstr>
      <vt:lpstr>comp_round_sa_a</vt:lpstr>
      <vt:lpstr>comp_sa_max</vt:lpstr>
      <vt:lpstr>comp_sa_max_a</vt:lpstr>
      <vt:lpstr>comp_sa_min</vt:lpstr>
      <vt:lpstr>comp_sa_min_a</vt:lpstr>
      <vt:lpstr>comp_sa_required_horiz</vt:lpstr>
      <vt:lpstr>comp_sa_required_vert</vt:lpstr>
      <vt:lpstr>comp_sa_required_vert_a</vt:lpstr>
      <vt:lpstr>comp_tank_geom</vt:lpstr>
      <vt:lpstr>comp_target_bed_depth_horiz</vt:lpstr>
      <vt:lpstr>comp_target_bed_depth_vert</vt:lpstr>
      <vt:lpstr>comp_target_bed_depth_vert_a</vt:lpstr>
      <vt:lpstr>comp_vert_bed_depth</vt:lpstr>
      <vt:lpstr>comp_vert_diam</vt:lpstr>
      <vt:lpstr>comp_vert_height</vt:lpstr>
      <vt:lpstr>comp_vert_max_media</vt:lpstr>
      <vt:lpstr>comp_vert_max_media_a</vt:lpstr>
      <vt:lpstr>comp_vert_max_sa</vt:lpstr>
      <vt:lpstr>comp_vert_min_number</vt:lpstr>
      <vt:lpstr>comp_vert_min_number_a</vt:lpstr>
      <vt:lpstr>comp_vol_required</vt:lpstr>
      <vt:lpstr>comp_vol_required_a</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construction_mgt_table_cl</vt:lpstr>
      <vt:lpstr>cont_int_eq</vt:lpstr>
      <vt:lpstr>cont_top_cost_cl</vt:lpstr>
      <vt:lpstr>contact_mat_per_vessel</vt:lpstr>
      <vt:lpstr>contact_material</vt:lpstr>
      <vt:lpstr>contam_I</vt:lpstr>
      <vt:lpstr>contam_list</vt:lpstr>
      <vt:lpstr>contam_lookup</vt:lpstr>
      <vt:lpstr>contam_type</vt:lpstr>
      <vt:lpstr>contingency_table_cl</vt:lpstr>
      <vt:lpstr>convert_concrete_cy_to_lbs_cl</vt:lpstr>
      <vt:lpstr>convert_concrete_to_cement_cl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cstore_days</vt:lpstr>
      <vt:lpstr>cstore_fp</vt:lpstr>
      <vt:lpstr>cul_indir_add_table</vt:lpstr>
      <vt:lpstr>cul_indir_mult_table</vt:lpstr>
      <vt:lpstr>cul_om_table</vt:lpstr>
      <vt:lpstr>cul_overall_mult</vt:lpstr>
      <vt:lpstr>current_year_cl</vt:lpstr>
      <vt:lpstr>curve</vt:lpstr>
      <vt:lpstr>D</vt:lpstr>
      <vt:lpstr>deep_bore_need</vt:lpstr>
      <vt:lpstr>design_flow</vt:lpstr>
      <vt:lpstr>design_flow_I</vt:lpstr>
      <vt:lpstr>design_flow_rate</vt:lpstr>
      <vt:lpstr>design_type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direct_cost</vt:lpstr>
      <vt:lpstr>direct_for_UL</vt:lpstr>
      <vt:lpstr>Discount_rate</vt:lpstr>
      <vt:lpstr>discrete_inputs</vt:lpstr>
      <vt:lpstr>discrete_outputs</vt:lpstr>
      <vt:lpstr>disp_freq</vt:lpstr>
      <vt:lpstr>disposal_fee</vt:lpstr>
      <vt:lpstr>disposal_miles</vt:lpstr>
      <vt:lpstr>disposal_shipments</vt:lpstr>
      <vt:lpstr>distance_above</vt:lpstr>
      <vt:lpstr>dredging_freq</vt:lpstr>
      <vt:lpstr>EBCT</vt:lpstr>
      <vt:lpstr>EBCT_I</vt:lpstr>
      <vt:lpstr>EBCT_O</vt:lpstr>
      <vt:lpstr>EBCT_tank</vt:lpstr>
      <vt:lpstr>EBCT_type</vt:lpstr>
      <vt:lpstr>EBCT_type_I</vt:lpstr>
      <vt:lpstr>eductor_size</vt:lpstr>
      <vt:lpstr>eductor_size_table</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evap_ratio</vt:lpstr>
      <vt:lpstr>ex_TSS_total</vt:lpstr>
      <vt:lpstr>excavate_cost_cl</vt:lpstr>
      <vt:lpstr>excavation_vol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fg_bwt_cost_cl</vt:lpstr>
      <vt:lpstr>fg_bwt_eq</vt:lpstr>
      <vt:lpstr>fg_coag_st_eq</vt:lpstr>
      <vt:lpstr>fg_cst_cost_cl</vt:lpstr>
      <vt:lpstr>fg_ht_eq</vt:lpstr>
      <vt:lpstr>fg_polymer_st_eq</vt:lpstr>
      <vt:lpstr>fg_pv_cost_cl</vt:lpstr>
      <vt:lpstr>fg_pv_eq</vt:lpstr>
      <vt:lpstr>filter_labor</vt:lpstr>
      <vt:lpstr>filter_materials</vt:lpstr>
      <vt:lpstr>final_num_tanks</vt:lpstr>
      <vt:lpstr>finance_pct</vt:lpstr>
      <vt:lpstr>finance_pct_small</vt:lpstr>
      <vt:lpstr>fire_buffer</vt:lpstr>
      <vt:lpstr>flow_per_vessel</vt:lpstr>
      <vt:lpstr>fm_in</vt:lpstr>
      <vt:lpstr>fm_in_addon</vt:lpstr>
      <vt:lpstr>fm_lkp_back</vt:lpstr>
      <vt:lpstr>fm_lkp_io</vt:lpstr>
      <vt:lpstr>fm_lkp_proc</vt:lpstr>
      <vt:lpstr>fm_lkp_res</vt:lpstr>
      <vt:lpstr>fm_proc</vt:lpstr>
      <vt:lpstr>fp_required</vt:lpstr>
      <vt:lpstr>free_board</vt:lpstr>
      <vt:lpstr>freeboard_horiz_void</vt:lpstr>
      <vt:lpstr>freund_1</vt:lpstr>
      <vt:lpstr>freund_2</vt:lpstr>
      <vt:lpstr>freund_type</vt:lpstr>
      <vt:lpstr>freund_type_I</vt:lpstr>
      <vt:lpstr>frost</vt:lpstr>
      <vt:lpstr>furnace_size</vt:lpstr>
      <vt:lpstr>GAC</vt:lpstr>
      <vt:lpstr>gac_cost_cl</vt:lpstr>
      <vt:lpstr>GAC_density</vt:lpstr>
      <vt:lpstr>GAC_each</vt:lpstr>
      <vt:lpstr>gac_eq</vt:lpstr>
      <vt:lpstr>GAC_makeup</vt:lpstr>
      <vt:lpstr>gac_slurry_cost_cl</vt:lpstr>
      <vt:lpstr>GAC_yr</vt:lpstr>
      <vt:lpstr>gas_cost_cl</vt:lpstr>
      <vt:lpstr>gas_eff</vt:lpstr>
      <vt:lpstr>gas_non_eff</vt:lpstr>
      <vt:lpstr>General_Oper_Labor</vt:lpstr>
      <vt:lpstr>geotech_cost</vt:lpstr>
      <vt:lpstr>GSOutput</vt:lpstr>
      <vt:lpstr>h2oflush_backwash_rate</vt:lpstr>
      <vt:lpstr>haz_disposal_cost_cl</vt:lpstr>
      <vt:lpstr>haz_miles</vt:lpstr>
      <vt:lpstr>haz_regen_transp</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holding_ratio</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ht_diam</vt:lpstr>
      <vt:lpstr>ht_solids</vt:lpstr>
      <vt:lpstr>ht_solids_density</vt:lpstr>
      <vt:lpstr>htank_clean_pc</vt:lpstr>
      <vt:lpstr>htank_clean_pct</vt:lpstr>
      <vt:lpstr>htank_fp</vt:lpstr>
      <vt:lpstr>htank_TSSrem</vt:lpstr>
      <vt:lpstr>htank_vol</vt:lpstr>
      <vt:lpstr>htanks</vt:lpstr>
      <vt:lpstr>htransfer_time</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imp_mix_cost_cl</vt:lpstr>
      <vt:lpstr>in_chv</vt:lpstr>
      <vt:lpstr>in_chv_addon</vt:lpstr>
      <vt:lpstr>in_man</vt:lpstr>
      <vt:lpstr>in_man_addon</vt:lpstr>
      <vt:lpstr>in_meter_size</vt:lpstr>
      <vt:lpstr>in_out_pipe_diam</vt:lpstr>
      <vt:lpstr>in_out_pipe_flow</vt:lpstr>
      <vt:lpstr>in_out_pipe_length</vt:lpstr>
      <vt:lpstr>in_out_pipe_mult</vt:lpstr>
      <vt:lpstr>in_valve_size</vt:lpstr>
      <vt:lpstr>include_add_res_pipe_addon</vt:lpstr>
      <vt:lpstr>include_arch</vt:lpstr>
      <vt:lpstr>include_arch_small</vt:lpstr>
      <vt:lpstr>include_bond</vt:lpstr>
      <vt:lpstr>include_buildings</vt:lpstr>
      <vt:lpstr>include_buildings_I</vt:lpstr>
      <vt:lpstr>include_cm</vt:lpstr>
      <vt:lpstr>include_cm_pre</vt:lpstr>
      <vt:lpstr>include_cmix</vt:lpstr>
      <vt:lpstr>include_conting_high</vt:lpstr>
      <vt:lpstr>include_conting_low</vt:lpstr>
      <vt:lpstr>include_conting_medium</vt:lpstr>
      <vt:lpstr>include_geo_high</vt:lpstr>
      <vt:lpstr>include_geo_high_g</vt:lpstr>
      <vt:lpstr>include_geo_low</vt:lpstr>
      <vt:lpstr>include_geo_low_g</vt:lpstr>
      <vt:lpstr>include_geo_medium</vt:lpstr>
      <vt:lpstr>include_geo_medium_g</vt:lpstr>
      <vt:lpstr>include_HVAC</vt:lpstr>
      <vt:lpstr>include_HVAC_I</vt:lpstr>
      <vt:lpstr>include_land</vt:lpstr>
      <vt:lpstr>include_land_I</vt:lpstr>
      <vt:lpstr>include_NEPA</vt:lpstr>
      <vt:lpstr>include_pad</vt:lpstr>
      <vt:lpstr>include_permits</vt:lpstr>
      <vt:lpstr>include_pilot</vt:lpstr>
      <vt:lpstr>include_pilot_addon</vt:lpstr>
      <vt:lpstr>include_sec_cont</vt:lpstr>
      <vt:lpstr>include_sitework</vt:lpstr>
      <vt:lpstr>include_standby</vt:lpstr>
      <vt:lpstr>include_standby_addon</vt:lpstr>
      <vt:lpstr>include_standby_small</vt:lpstr>
      <vt:lpstr>include_yardpipe</vt:lpstr>
      <vt:lpstr>include_yardpipe_addon</vt:lpstr>
      <vt:lpstr>indirect_cost</vt:lpstr>
      <vt:lpstr>indirect_cost_add</vt:lpstr>
      <vt:lpstr>indirect_cost_mult</vt:lpstr>
      <vt:lpstr>influent_TSS</vt:lpstr>
      <vt:lpstr>inp_autosize_gravity</vt:lpstr>
      <vt:lpstr>inp_autosize_pressure</vt:lpstr>
      <vt:lpstr>inp_sel</vt:lpstr>
      <vt:lpstr>inp_used</vt:lpstr>
      <vt:lpstr>inp_used_gravity</vt:lpstr>
      <vt:lpstr>inp_used_minimal</vt:lpstr>
      <vt:lpstr>inp_used_nonvessel1</vt:lpstr>
      <vt:lpstr>inp_used_nonvessel2</vt:lpstr>
      <vt:lpstr>inp_used_pressure</vt:lpstr>
      <vt:lpstr>inp_used_usersel</vt:lpstr>
      <vt:lpstr>Input_Checks</vt:lpstr>
      <vt:lpstr>input_complete</vt:lpstr>
      <vt:lpstr>input_status</vt:lpstr>
      <vt:lpstr>input_vol_vess</vt:lpstr>
      <vt:lpstr>inst_pct</vt:lpstr>
      <vt:lpstr>Kss</vt:lpstr>
      <vt:lpstr>labor_table_cl</vt:lpstr>
      <vt:lpstr>land_cost</vt:lpstr>
      <vt:lpstr>land_cost_cl</vt:lpstr>
      <vt:lpstr>land_required</vt:lpstr>
      <vt:lpstr>laser_printer_cost_cl</vt:lpstr>
      <vt:lpstr>legal_pct</vt:lpstr>
      <vt:lpstr>length_diam_ratio</vt:lpstr>
      <vt:lpstr>level_switch</vt:lpstr>
      <vt:lpstr>level_switch_g</vt:lpstr>
      <vt:lpstr>level_switch_small</vt:lpstr>
      <vt:lpstr>level_switch_small_g</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link_bed_depth</vt:lpstr>
      <vt:lpstr>link_dcc</vt:lpstr>
      <vt:lpstr>link_dim_constraints</vt:lpstr>
      <vt:lpstr>link_icc</vt:lpstr>
      <vt:lpstr>link_length</vt:lpstr>
      <vt:lpstr>link_load</vt:lpstr>
      <vt:lpstr>link_omc</vt:lpstr>
      <vt:lpstr>link_output</vt:lpstr>
      <vt:lpstr>link_tcc</vt:lpstr>
      <vt:lpstr>link_width</vt:lpstr>
      <vt:lpstr>load_max</vt:lpstr>
      <vt:lpstr>load_min</vt:lpstr>
      <vt:lpstr>low_sa</vt:lpstr>
      <vt:lpstr>M</vt:lpstr>
      <vt:lpstr>mag_fm_cost_cl</vt:lpstr>
      <vt:lpstr>mag_fm_eq_back</vt:lpstr>
      <vt:lpstr>mag_fm_eq_in</vt:lpstr>
      <vt:lpstr>mag_fm_eq_proc</vt:lpstr>
      <vt:lpstr>mag_fm_eq_res</vt:lpstr>
      <vt:lpstr>makeup_rate</vt:lpstr>
      <vt:lpstr>makeup_rate_off</vt:lpstr>
      <vt:lpstr>Manager_LOE</vt:lpstr>
      <vt:lpstr>Manager_percent</vt:lpstr>
      <vt:lpstr>manual</vt:lpstr>
      <vt:lpstr>manual_I</vt:lpstr>
      <vt:lpstr>Materials_pct</vt:lpstr>
      <vt:lpstr>max_back_tank_size</vt:lpstr>
      <vt:lpstr>max_bed_depth</vt:lpstr>
      <vt:lpstr>max_chem_tank_size</vt:lpstr>
      <vt:lpstr>max_chem_tank_size_noSS</vt:lpstr>
      <vt:lpstr>max_cm_pump_size</vt:lpstr>
      <vt:lpstr>max_cm_pump_size_noSS</vt:lpstr>
      <vt:lpstr>max_comm_height</vt:lpstr>
      <vt:lpstr>max_cool_cl</vt:lpstr>
      <vt:lpstr>max_depth</vt:lpstr>
      <vt:lpstr>max_diam</vt:lpstr>
      <vt:lpstr>max_diam_override</vt:lpstr>
      <vt:lpstr>max_diam_std_size</vt:lpstr>
      <vt:lpstr>max_eductor_size</vt:lpstr>
      <vt:lpstr>max_ep_cell_area</vt:lpstr>
      <vt:lpstr>max_excav_depth</vt:lpstr>
      <vt:lpstr>max_furnace_size</vt:lpstr>
      <vt:lpstr>max_heat_cl</vt:lpstr>
      <vt:lpstr>max_height</vt:lpstr>
      <vt:lpstr>max_htank_size</vt:lpstr>
      <vt:lpstr>max_length</vt:lpstr>
      <vt:lpstr>max_length_g</vt:lpstr>
      <vt:lpstr>max_pump_size</vt:lpstr>
      <vt:lpstr>max_sa</vt:lpstr>
      <vt:lpstr>max_sept_tank_vol</vt:lpstr>
      <vt:lpstr>max_space_vessels</vt:lpstr>
      <vt:lpstr>max_space_vessels_cust</vt:lpstr>
      <vt:lpstr>max_space_vessels_pre</vt:lpstr>
      <vt:lpstr>max_vessel_diam_cl</vt:lpstr>
      <vt:lpstr>max_waste_ship</vt:lpstr>
      <vt:lpstr>max_width</vt:lpstr>
      <vt:lpstr>media_changes</vt:lpstr>
      <vt:lpstr>media_changes_cf</vt:lpstr>
      <vt:lpstr>media_volume</vt:lpstr>
      <vt:lpstr>media_volume_expanded</vt:lpstr>
      <vt:lpstr>metal_cost_cl</vt:lpstr>
      <vt:lpstr>min_avg_flow</vt:lpstr>
      <vt:lpstr>min_basin_vol</vt:lpstr>
      <vt:lpstr>min_bed_depth</vt:lpstr>
      <vt:lpstr>min_chem_flow</vt:lpstr>
      <vt:lpstr>min_cmix_hp</vt:lpstr>
      <vt:lpstr>min_comm_height</vt:lpstr>
      <vt:lpstr>min_depth</vt:lpstr>
      <vt:lpstr>min_diam</vt:lpstr>
      <vt:lpstr>min_ep_cells</vt:lpstr>
      <vt:lpstr>min_hmix_hp</vt:lpstr>
      <vt:lpstr>min_holes</vt:lpstr>
      <vt:lpstr>min_length_g</vt:lpstr>
      <vt:lpstr>min_res_pipe_size</vt:lpstr>
      <vt:lpstr>min_sept_disch_time</vt:lpstr>
      <vt:lpstr>min_sept_tank_vol</vt:lpstr>
      <vt:lpstr>min_standby</vt:lpstr>
      <vt:lpstr>min_trench_depth</vt:lpstr>
      <vt:lpstr>min_vessel_diam_cl</vt:lpstr>
      <vt:lpstr>min_width</vt:lpstr>
      <vt:lpstr>misc_pct</vt:lpstr>
      <vt:lpstr>Missing_Cost</vt:lpstr>
      <vt:lpstr>mob_pct_large</vt:lpstr>
      <vt:lpstr>mob_pct_medium</vt:lpstr>
      <vt:lpstr>mob_pct_pre</vt:lpstr>
      <vt:lpstr>mob_pct_small</vt:lpstr>
      <vt:lpstr>mount_mix_cost_cl</vt:lpstr>
      <vt:lpstr>N_0_e</vt:lpstr>
      <vt:lpstr>need_cool</vt:lpstr>
      <vt:lpstr>need_heat</vt:lpstr>
      <vt:lpstr>NEPA_cost_cl</vt:lpstr>
      <vt:lpstr>NEPA_SW_cost_cl</vt:lpstr>
      <vt:lpstr>next_loc_marker</vt:lpstr>
      <vt:lpstr>no_back_tank</vt:lpstr>
      <vt:lpstr>no_back_tank_I</vt:lpstr>
      <vt:lpstr>no_backwash</vt:lpstr>
      <vt:lpstr>no_backwash_I</vt:lpstr>
      <vt:lpstr>non_fire_buffer</vt:lpstr>
      <vt:lpstr>non_haz_miles</vt:lpstr>
      <vt:lpstr>nonhaz_disposal_cost_cl</vt:lpstr>
      <vt:lpstr>nonhaz_transportation_cost_cl</vt:lpstr>
      <vt:lpstr>NPDES_permit_cost_cl</vt:lpstr>
      <vt:lpstr>NRD</vt:lpstr>
      <vt:lpstr>NRD_back_pumps</vt:lpstr>
      <vt:lpstr>NRD_basins_large</vt:lpstr>
      <vt:lpstr>NRD_basins_medium</vt:lpstr>
      <vt:lpstr>NRD_cm_pump</vt:lpstr>
      <vt:lpstr>NRD_eductors</vt:lpstr>
      <vt:lpstr>NRD_g</vt:lpstr>
      <vt:lpstr>NRD_I</vt:lpstr>
      <vt:lpstr>NRD_pumps</vt:lpstr>
      <vt:lpstr>NRD_res_pump</vt:lpstr>
      <vt:lpstr>NRD_small</vt:lpstr>
      <vt:lpstr>NRD_small_1</vt:lpstr>
      <vt:lpstr>num_back_tanks</vt:lpstr>
      <vt:lpstr>num_furnaces</vt:lpstr>
      <vt:lpstr>num_holes</vt:lpstr>
      <vt:lpstr>num_pits</vt:lpstr>
      <vt:lpstr>num_sept_tanks</vt:lpstr>
      <vt:lpstr>Num_tanks</vt:lpstr>
      <vt:lpstr>Num_tanks_I</vt:lpstr>
      <vt:lpstr>num_treat_lines</vt:lpstr>
      <vt:lpstr>off_regen_cost_cl</vt:lpstr>
      <vt:lpstr>off_regen_eq</vt:lpstr>
      <vt:lpstr>office_fp</vt:lpstr>
      <vt:lpstr>OM_City_Index</vt:lpstr>
      <vt:lpstr>OM_cost</vt:lpstr>
      <vt:lpstr>on_regen_cost_cl</vt:lpstr>
      <vt:lpstr>on_regen_eq</vt:lpstr>
      <vt:lpstr>Onsite_regeneration_fp</vt:lpstr>
      <vt:lpstr>op_fm_cost_cl</vt:lpstr>
      <vt:lpstr>op_fm_eq_back</vt:lpstr>
      <vt:lpstr>op_fm_eq_in</vt:lpstr>
      <vt:lpstr>op_fm_eq_proc</vt:lpstr>
      <vt:lpstr>op_fm_eq_res</vt:lpstr>
      <vt:lpstr>op_interface_software_cost_cl</vt:lpstr>
      <vt:lpstr>op_num_basins</vt:lpstr>
      <vt:lpstr>op_num_tanks</vt:lpstr>
      <vt:lpstr>Operator_LOE</vt:lpstr>
      <vt:lpstr>output_db</vt:lpstr>
      <vt:lpstr>output_page</vt:lpstr>
      <vt:lpstr>overexcavate</vt:lpstr>
      <vt:lpstr>pad_thick</vt:lpstr>
      <vt:lpstr>pad_thick_small</vt:lpstr>
      <vt:lpstr>pan_evap</vt:lpstr>
      <vt:lpstr>pc_workstation_cost_cl</vt:lpstr>
      <vt:lpstr>performance_bond_table_cl</vt:lpstr>
      <vt:lpstr>permit_cost</vt:lpstr>
      <vt:lpstr>pH_controls</vt:lpstr>
      <vt:lpstr>pH_controls_g</vt:lpstr>
      <vt:lpstr>pH_controls_small_g</vt:lpstr>
      <vt:lpstr>pH_meter_cost_cl</vt:lpstr>
      <vt:lpstr>pilot_cost_large_cl</vt:lpstr>
      <vt:lpstr>pilot_cost_medium_cl</vt:lpstr>
      <vt:lpstr>pilot_cost_small_cl</vt:lpstr>
      <vt:lpstr>pipe_size_table_cl</vt:lpstr>
      <vt:lpstr>pit_cost_cl</vt:lpstr>
      <vt:lpstr>pit_depth</vt:lpstr>
      <vt:lpstr>pit_length</vt:lpstr>
      <vt:lpstr>pit_width</vt:lpstr>
      <vt:lpstr>pl_coag_st_eq</vt:lpstr>
      <vt:lpstr>pl_cst_cost_cl</vt:lpstr>
      <vt:lpstr>pl_polymer_st_eq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plc_cpu_addon</vt:lpstr>
      <vt:lpstr>plc_cpu_cost_cl</vt:lpstr>
      <vt:lpstr>plc_cpu_standalone</vt:lpstr>
      <vt:lpstr>plc_data_software_cost_cl</vt:lpstr>
      <vt:lpstr>plc_discrete_input</vt:lpstr>
      <vt:lpstr>plc_discrete_input_cost_cl</vt:lpstr>
      <vt:lpstr>plc_discrete_output</vt:lpstr>
      <vt:lpstr>plc_discrete_output_cost_cl</vt:lpstr>
      <vt:lpstr>plc_ethernet</vt:lpstr>
      <vt:lpstr>plc_ethernet_addon</vt:lpstr>
      <vt:lpstr>plc_ethernet_cost_cl</vt:lpstr>
      <vt:lpstr>plc_ethernet_standalone</vt:lpstr>
      <vt:lpstr>plc_expansions</vt:lpstr>
      <vt:lpstr>plc_interface</vt:lpstr>
      <vt:lpstr>plc_interface_addon</vt:lpstr>
      <vt:lpstr>plc_interface_standalone</vt:lpstr>
      <vt:lpstr>plc_op_interface_cost_cl</vt:lpstr>
      <vt:lpstr>plc_rack</vt:lpstr>
      <vt:lpstr>plc_rack_addon</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pp_chv_eq_back</vt:lpstr>
      <vt:lpstr>pp_chv_eq_bp</vt:lpstr>
      <vt:lpstr>pp_chv_eq_coag</vt:lpstr>
      <vt:lpstr>pp_chv_eq_in</vt:lpstr>
      <vt:lpstr>pp_chv_eq_polymer</vt:lpstr>
      <vt:lpstr>pp_chv_eq_res</vt:lpstr>
      <vt:lpstr>pp_man_cost_cl</vt:lpstr>
      <vt:lpstr>pp_man_eq</vt:lpstr>
      <vt:lpstr>pp_man_eq_back</vt:lpstr>
      <vt:lpstr>pp_man_eq_bp</vt:lpstr>
      <vt:lpstr>pp_man_eq_coag</vt:lpstr>
      <vt:lpstr>pp_man_eq_polymer</vt:lpstr>
      <vt:lpstr>pp_man_eq_proc</vt:lpstr>
      <vt:lpstr>pp_man_eq_res</vt:lpstr>
      <vt:lpstr>pp_mov_cost_cl</vt:lpstr>
      <vt:lpstr>pp_mov_eq_back</vt:lpstr>
      <vt:lpstr>pp_mov_eq_bp</vt:lpstr>
      <vt:lpstr>pp_mov_eq_coag</vt:lpstr>
      <vt:lpstr>pp_mov_eq_polymer</vt:lpstr>
      <vt:lpstr>pp_mov_eq_res</vt:lpstr>
      <vt:lpstr>pp_mov_eq_tank</vt:lpstr>
      <vt:lpstr>precip</vt:lpstr>
      <vt:lpstr>pretreat_permit_cost_cl</vt:lpstr>
      <vt:lpstr>'Critical Design Assumptions'!Print_Area</vt:lpstr>
      <vt:lpstr>OUTPUT!Print_Area</vt:lpstr>
      <vt:lpstr>printer_addon</vt:lpstr>
      <vt:lpstr>printer_ratio</vt:lpstr>
      <vt:lpstr>printers</vt:lpstr>
      <vt:lpstr>proc_man_vessel</vt:lpstr>
      <vt:lpstr>proc_man_vessel_cont</vt:lpstr>
      <vt:lpstr>proc_meter_size</vt:lpstr>
      <vt:lpstr>proc_MOV_vessel</vt:lpstr>
      <vt:lpstr>proc_pipe_diam</vt:lpstr>
      <vt:lpstr>proc_pipe_flow</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pump_efficiency</vt:lpstr>
      <vt:lpstr>pump_energy</vt:lpstr>
      <vt:lpstr>pump_eq</vt:lpstr>
      <vt:lpstr>pump_eq_back</vt:lpstr>
      <vt:lpstr>pump_fp</vt:lpstr>
      <vt:lpstr>pump_head</vt:lpstr>
      <vt:lpstr>pump_hp</vt:lpstr>
      <vt:lpstr>pump_mtl</vt:lpstr>
      <vt:lpstr>pump_rating</vt:lpstr>
      <vt:lpstr>pump_safety_factor</vt:lpstr>
      <vt:lpstr>pvc_coag_empump_eq</vt:lpstr>
      <vt:lpstr>pvc_coag_mmpump_eq</vt:lpstr>
      <vt:lpstr>pvc_empump_cost_cl</vt:lpstr>
      <vt:lpstr>pvc_mmpump_cost_cl</vt:lpstr>
      <vt:lpstr>pvc_pipe_cost_cl</vt:lpstr>
      <vt:lpstr>pvc_pipe_eq_back</vt:lpstr>
      <vt:lpstr>pvc_pipe_eq_bp</vt:lpstr>
      <vt:lpstr>pvc_pipe_eq_coag</vt:lpstr>
      <vt:lpstr>pvc_pipe_eq_in_out</vt:lpstr>
      <vt:lpstr>pvc_pipe_eq_polymer</vt:lpstr>
      <vt:lpstr>pvc_pipe_eq_proc</vt:lpstr>
      <vt:lpstr>pvc_pipe_eq_res</vt:lpstr>
      <vt:lpstr>pvc_polymer_empump_eq</vt:lpstr>
      <vt:lpstr>pvc_polymer_mmpump_eq</vt:lpstr>
      <vt:lpstr>QL</vt:lpstr>
      <vt:lpstr>r_air_changes_build1</vt:lpstr>
      <vt:lpstr>r_air_changes_build2</vt:lpstr>
      <vt:lpstr>r_bed_life</vt:lpstr>
      <vt:lpstr>r_bldg_maint_cost</vt:lpstr>
      <vt:lpstr>r_build1_fp</vt:lpstr>
      <vt:lpstr>r_build2_fp</vt:lpstr>
      <vt:lpstr>r_C_0</vt:lpstr>
      <vt:lpstr>r_C_b</vt:lpstr>
      <vt:lpstr>R_ceiling</vt:lpstr>
      <vt:lpstr>r_concrete</vt:lpstr>
      <vt:lpstr>r_disp_freq</vt:lpstr>
      <vt:lpstr>r_disposal_fee</vt:lpstr>
      <vt:lpstr>r_freund_1</vt:lpstr>
      <vt:lpstr>r_freund_2</vt:lpstr>
      <vt:lpstr>r_freund_type</vt:lpstr>
      <vt:lpstr>r_freund_type_I</vt:lpstr>
      <vt:lpstr>r_furnace_lighting</vt:lpstr>
      <vt:lpstr>r_GAC_makeup</vt:lpstr>
      <vt:lpstr>r_GAC_yr</vt:lpstr>
      <vt:lpstr>r_haz_regen_transp</vt:lpstr>
      <vt:lpstr>r_inc_build1_fp</vt:lpstr>
      <vt:lpstr>r_inc_build2_fp</vt:lpstr>
      <vt:lpstr>r_inc_fp_required</vt:lpstr>
      <vt:lpstr>r_inc_Operator_LOE</vt:lpstr>
      <vt:lpstr>r_inc_regen_capacity</vt:lpstr>
      <vt:lpstr>r_inc_std_power</vt:lpstr>
      <vt:lpstr>r_inc_total_fp</vt:lpstr>
      <vt:lpstr>r_land_required</vt:lpstr>
      <vt:lpstr>r_lighting</vt:lpstr>
      <vt:lpstr>r_media_changes</vt:lpstr>
      <vt:lpstr>r_media_changes_cf</vt:lpstr>
      <vt:lpstr>r_N_0_e</vt:lpstr>
      <vt:lpstr>r_new_furnace</vt:lpstr>
      <vt:lpstr>r_off_regen_eq</vt:lpstr>
      <vt:lpstr>r_on_regen_eq</vt:lpstr>
      <vt:lpstr>r_onsite_regeneration_fp</vt:lpstr>
      <vt:lpstr>r_permit_cost</vt:lpstr>
      <vt:lpstr>r_regen_capacity</vt:lpstr>
      <vt:lpstr>r_regen_day</vt:lpstr>
      <vt:lpstr>r_regen_energy</vt:lpstr>
      <vt:lpstr>r_regen_labor</vt:lpstr>
      <vt:lpstr>r_regen_materials</vt:lpstr>
      <vt:lpstr>r_regen_ng</vt:lpstr>
      <vt:lpstr>r_regen_yr</vt:lpstr>
      <vt:lpstr>r_replace_gac_eq</vt:lpstr>
      <vt:lpstr>r_sitework_cost</vt:lpstr>
      <vt:lpstr>r_spent_media_yr</vt:lpstr>
      <vt:lpstr>r_std_lighting</vt:lpstr>
      <vt:lpstr>r_std_power</vt:lpstr>
      <vt:lpstr>r_std_power_cost</vt:lpstr>
      <vt:lpstr>r_std_vent</vt:lpstr>
      <vt:lpstr>r_total_fp</vt:lpstr>
      <vt:lpstr>r_ventilation</vt:lpstr>
      <vt:lpstr>R_wall</vt:lpstr>
      <vt:lpstr>rad_annual_fee_cl</vt:lpstr>
      <vt:lpstr>rad_disposal_cost_cl</vt:lpstr>
      <vt:lpstr>rad_miles</vt:lpstr>
      <vt:lpstr>rad_trans_min_cost_cl</vt:lpstr>
      <vt:lpstr>rad_transportation_cost_cl</vt:lpstr>
      <vt:lpstr>railing</vt:lpstr>
      <vt:lpstr>Reduction</vt:lpstr>
      <vt:lpstr>redund_freq</vt:lpstr>
      <vt:lpstr>regen_backfill_vol</vt:lpstr>
      <vt:lpstr>regen_basin_depth</vt:lpstr>
      <vt:lpstr>regen_basin_length</vt:lpstr>
      <vt:lpstr>regen_basin_op_depth</vt:lpstr>
      <vt:lpstr>regen_basin_vol</vt:lpstr>
      <vt:lpstr>regen_basin_width</vt:lpstr>
      <vt:lpstr>regen_capacity</vt:lpstr>
      <vt:lpstr>regen_conc_vol</vt:lpstr>
      <vt:lpstr>regen_day</vt:lpstr>
      <vt:lpstr>regen_energy</vt:lpstr>
      <vt:lpstr>regen_excavation_vol</vt:lpstr>
      <vt:lpstr>regen_labor</vt:lpstr>
      <vt:lpstr>regen_materials</vt:lpstr>
      <vt:lpstr>regen_ng</vt:lpstr>
      <vt:lpstr>regen_railing</vt:lpstr>
      <vt:lpstr>regen_redund</vt:lpstr>
      <vt:lpstr>regen_runtime</vt:lpstr>
      <vt:lpstr>regen_storage</vt:lpstr>
      <vt:lpstr>regen_storage_bv</vt:lpstr>
      <vt:lpstr>regen_tank_vol</vt:lpstr>
      <vt:lpstr>regen_tanks</vt:lpstr>
      <vt:lpstr>regen_type</vt:lpstr>
      <vt:lpstr>regen_type_I</vt:lpstr>
      <vt:lpstr>regen_yr</vt:lpstr>
      <vt:lpstr>Regenerated_GAC_storage_fp</vt:lpstr>
      <vt:lpstr>replace_gac_eq</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res_MOV_pump</vt:lpstr>
      <vt:lpstr>res_MOV_tank</vt:lpstr>
      <vt:lpstr>res_pipe_bedding_vol</vt:lpstr>
      <vt:lpstr>res_pipe_diam</vt:lpstr>
      <vt:lpstr>res_pipe_length</vt:lpstr>
      <vt:lpstr>res_pipe_mult</vt:lpstr>
      <vt:lpstr>res_pump_addon</vt:lpstr>
      <vt:lpstr>res_pump_energy</vt:lpstr>
      <vt:lpstr>res_pump_eq</vt:lpstr>
      <vt:lpstr>res_pump_mtl</vt:lpstr>
      <vt:lpstr>res_pump_psi</vt:lpstr>
      <vt:lpstr>res_pump_rating</vt:lpstr>
      <vt:lpstr>res_pumps</vt:lpstr>
      <vt:lpstr>res_s1_opt</vt:lpstr>
      <vt:lpstr>res_s1_opt_I</vt:lpstr>
      <vt:lpstr>res_s1_valid</vt:lpstr>
      <vt:lpstr>res_s2_opt</vt:lpstr>
      <vt:lpstr>res_s2_opt_I</vt:lpstr>
      <vt:lpstr>res_seductor_eq</vt:lpstr>
      <vt:lpstr>res_slurry_eq</vt:lpstr>
      <vt:lpstr>res_slurry_pumps</vt:lpstr>
      <vt:lpstr>res_sol_validation</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resist_eff</vt:lpstr>
      <vt:lpstr>retrofit</vt:lpstr>
      <vt:lpstr>retrofit_I</vt:lpstr>
      <vt:lpstr>retrofit_valid</vt:lpstr>
      <vt:lpstr>risers</vt:lpstr>
      <vt:lpstr>rt_diam</vt:lpstr>
      <vt:lpstr>S_back_pump</vt:lpstr>
      <vt:lpstr>S_booster_pump</vt:lpstr>
      <vt:lpstr>S_eductor</vt:lpstr>
      <vt:lpstr>S_mixer</vt:lpstr>
      <vt:lpstr>S_res_pump</vt:lpstr>
      <vt:lpstr>S_slurry</vt:lpstr>
      <vt:lpstr>SA</vt:lpstr>
      <vt:lpstr>sec_cont_coating_cvg</vt:lpstr>
      <vt:lpstr>sec_cont_freeboard</vt:lpstr>
      <vt:lpstr>sec_cont_max_thick</vt:lpstr>
      <vt:lpstr>sec_cont_pct_of_largest</vt:lpstr>
      <vt:lpstr>sec_cont_pct_of_total</vt:lpstr>
      <vt:lpstr>seductor_cost_cl</vt:lpstr>
      <vt:lpstr>seductor_eq</vt:lpstr>
      <vt:lpstr>sept_buffer</vt:lpstr>
      <vt:lpstr>sept_design_flow</vt:lpstr>
      <vt:lpstr>sept_dist_boxes</vt:lpstr>
      <vt:lpstr>sept_dist_connections</vt:lpstr>
      <vt:lpstr>sept_distbox_cost_cl</vt:lpstr>
      <vt:lpstr>sept_distpipe_cost_cl</vt:lpstr>
      <vt:lpstr>sept_fp</vt:lpstr>
      <vt:lpstr>sept_gravel_cost_cl</vt:lpstr>
      <vt:lpstr>sept_gravel_d</vt:lpstr>
      <vt:lpstr>sept_gravel_d_below</vt:lpstr>
      <vt:lpstr>sept_gravel_vol</vt:lpstr>
      <vt:lpstr>sept_infil_area</vt:lpstr>
      <vt:lpstr>sept_LTAR</vt:lpstr>
      <vt:lpstr>sept_max_trench_l</vt:lpstr>
      <vt:lpstr>sept_min_trenches</vt:lpstr>
      <vt:lpstr>sept_overexcav</vt:lpstr>
      <vt:lpstr>sept_pipe_diam</vt:lpstr>
      <vt:lpstr>sept_pipe_length</vt:lpstr>
      <vt:lpstr>sept_tank_exav_vol</vt:lpstr>
      <vt:lpstr>sept_tank_excav_cost_cl</vt:lpstr>
      <vt:lpstr>sept_tank_sf</vt:lpstr>
      <vt:lpstr>sept_tank_side</vt:lpstr>
      <vt:lpstr>sept_tank_vol</vt:lpstr>
      <vt:lpstr>sept_trench_bot_area</vt:lpstr>
      <vt:lpstr>sept_trench_d</vt:lpstr>
      <vt:lpstr>sept_trench_dist</vt:lpstr>
      <vt:lpstr>sept_trench_excav_cost_cl</vt:lpstr>
      <vt:lpstr>sept_trench_excav_vol</vt:lpstr>
      <vt:lpstr>sept_trench_l</vt:lpstr>
      <vt:lpstr>sept_trench_w</vt:lpstr>
      <vt:lpstr>sept_trenches</vt:lpstr>
      <vt:lpstr>septic_disp_freq</vt:lpstr>
      <vt:lpstr>septic_disposal_cost_cl</vt:lpstr>
      <vt:lpstr>septic_disposal_fee</vt:lpstr>
      <vt:lpstr>septic_tank_cost_cl</vt:lpstr>
      <vt:lpstr>septic_tank_eq</vt:lpstr>
      <vt:lpstr>shifts_day</vt:lpstr>
      <vt:lpstr>sitework_cost</vt:lpstr>
      <vt:lpstr>sitework_sf_cl</vt:lpstr>
      <vt:lpstr>slurry_eq</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space_office</vt:lpstr>
      <vt:lpstr>space_office_small</vt:lpstr>
      <vt:lpstr>space_polymer_st</vt:lpstr>
      <vt:lpstr>space_pumps</vt:lpstr>
      <vt:lpstr>space_pumps_cust</vt:lpstr>
      <vt:lpstr>space_pumps_pre</vt:lpstr>
      <vt:lpstr>space_rt</vt:lpstr>
      <vt:lpstr>space_st</vt:lpstr>
      <vt:lpstr>space_vessels</vt:lpstr>
      <vt:lpstr>space_vt</vt:lpstr>
      <vt:lpstr>spent_backfill_vol</vt:lpstr>
      <vt:lpstr>spent_basin_depth</vt:lpstr>
      <vt:lpstr>spent_basin_length</vt:lpstr>
      <vt:lpstr>spent_basin_op_depth</vt:lpstr>
      <vt:lpstr>spent_basin_vol</vt:lpstr>
      <vt:lpstr>spent_basin_width</vt:lpstr>
      <vt:lpstr>spent_conc_vol</vt:lpstr>
      <vt:lpstr>spent_excavation_vol</vt:lpstr>
      <vt:lpstr>Spent_GAC_storage_fp</vt:lpstr>
      <vt:lpstr>spent_media</vt:lpstr>
      <vt:lpstr>spent_media_yr</vt:lpstr>
      <vt:lpstr>spent_railing</vt:lpstr>
      <vt:lpstr>spent_storage</vt:lpstr>
      <vt:lpstr>spent_storage_bv</vt:lpstr>
      <vt:lpstr>spent_tank_vol</vt:lpstr>
      <vt:lpstr>spent_tanks</vt:lpstr>
      <vt:lpstr>ss_cat</vt:lpstr>
      <vt:lpstr>ss_cat2</vt:lpstr>
      <vt:lpstr>ss_chv_cost_cl</vt:lpstr>
      <vt:lpstr>ss_chv_eq_back</vt:lpstr>
      <vt:lpstr>ss_chv_eq_bp</vt:lpstr>
      <vt:lpstr>ss_chv_eq_in</vt:lpstr>
      <vt:lpstr>ss_chv_eq_polymer</vt:lpstr>
      <vt:lpstr>ss_chv_eq_res</vt:lpstr>
      <vt:lpstr>ss_cst_cost_cl</vt:lpstr>
      <vt:lpstr>ss_empump_cost_cl</vt:lpstr>
      <vt:lpstr>ss_man_cost_cl</vt:lpstr>
      <vt:lpstr>ss_man_eq</vt:lpstr>
      <vt:lpstr>ss_man_eq_back</vt:lpstr>
      <vt:lpstr>ss_man_eq_bp</vt:lpstr>
      <vt:lpstr>ss_man_eq_polymer</vt:lpstr>
      <vt:lpstr>ss_man_eq_proc</vt:lpstr>
      <vt:lpstr>ss_man_eq_res</vt:lpstr>
      <vt:lpstr>ss_mmpump_cost_cl</vt:lpstr>
      <vt:lpstr>ss_mov_cost_cl</vt:lpstr>
      <vt:lpstr>ss_mov_eq_back</vt:lpstr>
      <vt:lpstr>ss_mov_eq_bp</vt:lpstr>
      <vt:lpstr>ss_mov_eq_polymer</vt:lpstr>
      <vt:lpstr>ss_mov_eq_res</vt:lpstr>
      <vt:lpstr>ss_mov_eq_tank</vt:lpstr>
      <vt:lpstr>ss_pipe_cost_cl</vt:lpstr>
      <vt:lpstr>ss_pipe_eq_back</vt:lpstr>
      <vt:lpstr>ss_pipe_eq_bp</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st_diam</vt:lpstr>
      <vt:lpstr>st_ht_eq</vt:lpstr>
      <vt:lpstr>st_pipe_cost_cl</vt:lpstr>
      <vt:lpstr>st_pipe_eq_back</vt:lpstr>
      <vt:lpstr>st_pipe_eq_bp</vt:lpstr>
      <vt:lpstr>st_pipe_eq_in_out</vt:lpstr>
      <vt:lpstr>st_pipe_eq_polymer</vt:lpstr>
      <vt:lpstr>st_pipe_eq_proc</vt:lpstr>
      <vt:lpstr>st_pipe_eq_res</vt:lpstr>
      <vt:lpstr>st_rt_eq</vt:lpstr>
      <vt:lpstr>st_st_eq</vt:lpstr>
      <vt:lpstr>st_vt_eq</vt:lpstr>
      <vt:lpstr>stake_out_cost_cl</vt:lpstr>
      <vt:lpstr>std_base</vt:lpstr>
      <vt:lpstr>std_cool</vt:lpstr>
      <vt:lpstr>std_design_params</vt:lpstr>
      <vt:lpstr>std_gen_cost_cl</vt:lpstr>
      <vt:lpstr>std_heat</vt:lpstr>
      <vt:lpstr>std_power</vt:lpstr>
      <vt:lpstr>std_power_cost</vt:lpstr>
      <vt:lpstr>std_safety_factor</vt:lpstr>
      <vt:lpstr>storage_basins</vt:lpstr>
      <vt:lpstr>storage_freeboard</vt:lpstr>
      <vt:lpstr>storage_ratio</vt:lpstr>
      <vt:lpstr>surface_loading_rate_g</vt:lpstr>
      <vt:lpstr>SW_permit_cost_cl</vt:lpstr>
      <vt:lpstr>switch_cost_cl</vt:lpstr>
      <vt:lpstr>system_automation_valid</vt:lpstr>
      <vt:lpstr>system_cost</vt:lpstr>
      <vt:lpstr>TAC_pct_cap</vt:lpstr>
      <vt:lpstr>TAC_pct_OM</vt:lpstr>
      <vt:lpstr>tank_geom</vt:lpstr>
      <vt:lpstr>tank_geom_I</vt:lpstr>
      <vt:lpstr>tank_solids_valid</vt:lpstr>
      <vt:lpstr>tank_valid</vt:lpstr>
      <vt:lpstr>tank_valve_size</vt:lpstr>
      <vt:lpstr>target_bed_depth_horiz</vt:lpstr>
      <vt:lpstr>target_bed_depth_over</vt:lpstr>
      <vt:lpstr>target_bed_depth_over_g</vt:lpstr>
      <vt:lpstr>target_bed_depth_over_g_UVAOP</vt:lpstr>
      <vt:lpstr>target_bed_depth_under</vt:lpstr>
      <vt:lpstr>target_bed_depth_under_g</vt:lpstr>
      <vt:lpstr>target_bed_depth_under_g_UVAOP</vt:lpstr>
      <vt:lpstr>tax_pct</vt:lpstr>
      <vt:lpstr>TDB_link</vt:lpstr>
      <vt:lpstr>TDB_link_isotherm</vt:lpstr>
      <vt:lpstr>TDB_link_table_cl</vt:lpstr>
      <vt:lpstr>tech_fp</vt:lpstr>
      <vt:lpstr>tech_name</vt:lpstr>
      <vt:lpstr>temp_meter_cost_cl</vt:lpstr>
      <vt:lpstr>temp_meters</vt:lpstr>
      <vt:lpstr>temp_meters_small</vt:lpstr>
      <vt:lpstr>thrust_block_table_cl</vt:lpstr>
      <vt:lpstr>thrust_force</vt:lpstr>
      <vt:lpstr>Top_bottom_Vessel_space</vt:lpstr>
      <vt:lpstr>tot_back_alarm</vt:lpstr>
      <vt:lpstr>tot_back_chv</vt:lpstr>
      <vt:lpstr>tot_back_man</vt:lpstr>
      <vt:lpstr>tot_back_MOVs</vt:lpstr>
      <vt:lpstr>tot_bp_chv</vt:lpstr>
      <vt:lpstr>tot_bp_man</vt:lpstr>
      <vt:lpstr>tot_bp_MOVs</vt:lpstr>
      <vt:lpstr>tot_chem</vt:lpstr>
      <vt:lpstr>tot_coag_chv</vt:lpstr>
      <vt:lpstr>tot_coag_man</vt:lpstr>
      <vt:lpstr>tot_coag_MOVs</vt:lpstr>
      <vt:lpstr>tot_fm_back</vt:lpstr>
      <vt:lpstr>tot_fm_in</vt:lpstr>
      <vt:lpstr>tot_fm_proc</vt:lpstr>
      <vt:lpstr>tot_fm_res</vt:lpstr>
      <vt:lpstr>tot_head_sens</vt:lpstr>
      <vt:lpstr>tot_in_chv</vt:lpstr>
      <vt:lpstr>tot_in_man</vt:lpstr>
      <vt:lpstr>tot_inst</vt:lpstr>
      <vt:lpstr>tot_inst_maint</vt:lpstr>
      <vt:lpstr>tot_level_switch</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tot_temp_meters</vt:lpstr>
      <vt:lpstr>tot_turb_meters</vt:lpstr>
      <vt:lpstr>tot_valves</vt:lpstr>
      <vt:lpstr>total_backwash</vt:lpstr>
      <vt:lpstr>total_booster_pumps</vt:lpstr>
      <vt:lpstr>total_direct_depreciation</vt:lpstr>
      <vt:lpstr>total_fp</vt:lpstr>
      <vt:lpstr>total_hvol_ft</vt:lpstr>
      <vt:lpstr>total_num_basins</vt:lpstr>
      <vt:lpstr>total_res_man</vt:lpstr>
      <vt:lpstr>total_res_MOVs</vt:lpstr>
      <vt:lpstr>transfer_method</vt:lpstr>
      <vt:lpstr>transfer_method_I</vt:lpstr>
      <vt:lpstr>'Backwash and Regeneration'!transfer_rate</vt:lpstr>
      <vt:lpstr>transfer_rate</vt:lpstr>
      <vt:lpstr>transfer_time</vt:lpstr>
      <vt:lpstr>trench_angle</vt:lpstr>
      <vt:lpstr>trench_area</vt:lpstr>
      <vt:lpstr>trench_depth</vt:lpstr>
      <vt:lpstr>trench_vol</vt:lpstr>
      <vt:lpstr>TSS_residuals</vt:lpstr>
      <vt:lpstr>TSS_residuals_dis</vt:lpstr>
      <vt:lpstr>turb_tank</vt:lpstr>
      <vt:lpstr>turb_tank_g</vt:lpstr>
      <vt:lpstr>turbidimeter_cost_cl</vt:lpstr>
      <vt:lpstr>UBC_mult_table_cl</vt:lpstr>
      <vt:lpstr>uloe_autoback</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ups_addon</vt:lpstr>
      <vt:lpstr>ups_cost_cl</vt:lpstr>
      <vt:lpstr>ups_standalone</vt:lpstr>
      <vt:lpstr>use_autosize</vt:lpstr>
      <vt:lpstr>use_autosizeA</vt:lpstr>
      <vt:lpstr>use_column</vt:lpstr>
      <vt:lpstr>useful_life</vt:lpstr>
      <vt:lpstr>v</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virgin_backfill_vol</vt:lpstr>
      <vt:lpstr>virgin_basin_depth</vt:lpstr>
      <vt:lpstr>virgin_basin_length</vt:lpstr>
      <vt:lpstr>virgin_basin_op_depth</vt:lpstr>
      <vt:lpstr>virgin_basin_vol</vt:lpstr>
      <vt:lpstr>virgin_basin_width</vt:lpstr>
      <vt:lpstr>virgin_conc_vol</vt:lpstr>
      <vt:lpstr>virgin_excavation_vol</vt:lpstr>
      <vt:lpstr>Virgin_GAC_storage_fp</vt:lpstr>
      <vt:lpstr>virgin_railing</vt:lpstr>
      <vt:lpstr>virgin_storage</vt:lpstr>
      <vt:lpstr>virgin_storage_bv</vt:lpstr>
      <vt:lpstr>virgin_tank_vol</vt:lpstr>
      <vt:lpstr>virgin_tanks</vt:lpstr>
      <vt:lpstr>void_above</vt:lpstr>
      <vt:lpstr>vt_diam</vt:lpstr>
      <vt:lpstr>waste_heat_bw_pumps</vt:lpstr>
      <vt:lpstr>waste_heat_pumps</vt:lpstr>
      <vt:lpstr>water_flush</vt:lpstr>
      <vt:lpstr>Weekly_labor</vt:lpstr>
      <vt:lpstr>winter_days</vt:lpstr>
      <vt:lpstr>workstation_addon</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GAC</dc:title>
  <dc:creator>U.S. EPA Office of Ground Water and Drinking Water</dc:creator>
  <cp:lastModifiedBy>Bingzheng Wang</cp:lastModifiedBy>
  <cp:lastPrinted>2010-11-30T16:56:11Z</cp:lastPrinted>
  <dcterms:created xsi:type="dcterms:W3CDTF">2001-05-01T17:41:48Z</dcterms:created>
  <dcterms:modified xsi:type="dcterms:W3CDTF">2025-03-19T20:04:23Z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5273.413845683</vt:r8>
  </property>
  <property fmtid="{D5CDD505-2E9C-101B-9397-08002B2CF9AE}" pid="3" name="fm_eq_in" linkTarget="prop_fm_eq_in">
    <vt:r8>6008.286119701</vt:r8>
  </property>
  <property fmtid="{D5CDD505-2E9C-101B-9397-08002B2CF9AE}" pid="4" name="fm_eq_proc" linkTarget="prop_fm_eq_proc">
    <vt:r8>5273.413845683</vt:r8>
  </property>
  <property fmtid="{D5CDD505-2E9C-101B-9397-08002B2CF9AE}" pid="5" name="fm_eq_res" linkTarget="prop_fm_eq_res">
    <vt:r8>2349.85975334912</vt:r8>
  </property>
  <property fmtid="{D5CDD505-2E9C-101B-9397-08002B2CF9AE}" pid="6" name="fm_cost_cl" linkTarget="prop_fm_cost_cl">
    <vt:r8>0</vt:r8>
  </property>
</Properties>
</file>