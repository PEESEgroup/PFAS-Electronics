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84" documentId="13_ncr:1_{C42178CD-9C17-4EDF-9C60-C1D589C5B786}" xr6:coauthVersionLast="47" xr6:coauthVersionMax="47" xr10:uidLastSave="{1C0F3122-D1FC-444A-99BB-D26ED7349064}"/>
  <bookViews>
    <workbookView xWindow="0" yWindow="760" windowWidth="30240" windowHeight="17680" tabRatio="921" firstSheet="3" activeTab="7"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Residuals Management" sheetId="60" r:id="rId7"/>
    <sheet name="Cost Data" sheetId="70" r:id="rId8"/>
    <sheet name="Indirect Assumptions" sheetId="55" r:id="rId9"/>
    <sheet name="Retrofit" sheetId="62" r:id="rId10"/>
    <sheet name="Contactor Constraints" sheetId="3" r:id="rId11"/>
    <sheet name="Backwash and Regeneration" sheetId="6" r:id="rId12"/>
    <sheet name="Pumps Pipe Structure" sheetId="4" r:id="rId13"/>
    <sheet name="Instrumentation and Control" sheetId="49"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1">'Pumps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1" i="3" l="1"/>
  <c r="I248" i="8" l="1"/>
  <c r="E376"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6" i="4"/>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C14" i="8" l="1"/>
  <c r="C27" i="60"/>
  <c r="E82" i="8"/>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K248" i="8" l="1"/>
  <c r="AG248" i="8" s="1"/>
  <c r="AH248" i="8" s="1"/>
  <c r="C248" i="8"/>
  <c r="C28" i="60"/>
  <c r="C207" i="60" s="1"/>
  <c r="C202" i="60"/>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C31" i="6"/>
  <c r="C113" i="8"/>
  <c r="C18" i="60"/>
  <c r="C115" i="8"/>
  <c r="C61" i="4"/>
  <c r="J199"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12" i="60" s="1"/>
  <c r="C214" i="60" s="1"/>
  <c r="G400" i="8" s="1"/>
  <c r="E400" i="8" s="1"/>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G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C318" i="8" l="1"/>
  <c r="F303" i="8"/>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I23" i="1"/>
  <c r="C24" i="8"/>
  <c r="C44" i="62" l="1"/>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rgb="FF000000"/>
            <rFont val="Tahoma"/>
            <family val="2"/>
          </rPr>
          <t>Internal use</t>
        </r>
      </text>
    </comment>
    <comment ref="C3" authorId="1" shapeId="0" xr:uid="{00000000-0006-0000-0F00-000002000000}">
      <text>
        <r>
          <rPr>
            <b/>
            <sz val="9"/>
            <color rgb="FF000000"/>
            <rFont val="Tahoma"/>
            <family val="2"/>
          </rPr>
          <t>The cells in this column contain formulae with the function of calculating the item identified in column A</t>
        </r>
        <r>
          <rPr>
            <sz val="9"/>
            <color rgb="FF000000"/>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<sst xmlns="http://schemas.openxmlformats.org/spreadsheetml/2006/main" count="13253" uniqueCount="4652">
  <si>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</si>
  <si>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</si>
  <si>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</si>
  <si>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</si>
  <si>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</si>
  <si>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</si>
  <si>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</si>
  <si>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</si>
  <si>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</si>
  <si>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</si>
  <si>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</si>
  <si>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</si>
  <si>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</si>
  <si>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</si>
  <si>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</si>
  <si>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</si>
  <si>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</si>
  <si>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</si>
  <si>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</si>
  <si>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</si>
  <si>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</si>
  <si>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</si>
  <si>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</si>
  <si>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</si>
  <si>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</si>
  <si>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</si>
  <si>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</si>
  <si>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</si>
  <si>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</si>
  <si>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</si>
  <si>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</si>
  <si>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</si>
  <si>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</si>
  <si>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</si>
  <si>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</si>
  <si>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</si>
  <si>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</si>
  <si>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</si>
  <si>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</si>
  <si>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</si>
  <si>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</si>
  <si>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</si>
  <si>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</si>
  <si>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</si>
  <si>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</si>
  <si>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</si>
  <si>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</si>
  <si>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</si>
  <si>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</si>
  <si>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</si>
  <si>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</si>
  <si>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</si>
  <si>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</si>
  <si>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</si>
  <si>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</si>
  <si>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</si>
  <si>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</si>
  <si>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</si>
  <si>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</si>
  <si>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</si>
  <si>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</si>
  <si>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</si>
  <si>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</si>
  <si>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</si>
  <si>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</si>
  <si>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</si>
  <si>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</si>
  <si>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</si>
  <si>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</si>
  <si>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</si>
  <si>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</si>
  <si>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</si>
  <si>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</si>
  <si>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</si>
  <si>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</si>
  <si>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</si>
  <si>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</si>
  <si>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</si>
  <si>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</si>
  <si>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</si>
  <si>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</si>
  <si>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</si>
  <si>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</si>
  <si>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</si>
  <si>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</si>
  <si>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</si>
  <si>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</si>
  <si>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</si>
  <si>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</si>
  <si>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</si>
  <si>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</si>
  <si>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</si>
  <si>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</si>
  <si>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</si>
  <si>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</si>
  <si>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</si>
  <si>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</si>
  <si>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</si>
  <si>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</si>
  <si>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</si>
  <si>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</si>
  <si>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</si>
  <si>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</si>
  <si>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</si>
  <si>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</si>
  <si>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</si>
  <si>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</si>
  <si>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</si>
  <si>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</si>
  <si>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</si>
  <si>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</si>
  <si>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</si>
  <si>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</si>
  <si>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</si>
  <si>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</si>
  <si>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</si>
  <si>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</si>
  <si>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</si>
  <si>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</si>
  <si>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</si>
  <si>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</si>
  <si>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</si>
  <si>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</si>
  <si>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</si>
  <si>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</si>
  <si>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</si>
  <si>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</si>
  <si>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</si>
  <si>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</si>
  <si>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</si>
  <si>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</si>
  <si>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</si>
  <si>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</si>
  <si>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</si>
  <si>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</si>
  <si>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</si>
  <si>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</si>
  <si>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</si>
  <si>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</si>
  <si>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</si>
  <si>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</si>
  <si>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</si>
  <si>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</si>
  <si>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</si>
  <si>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</si>
  <si>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</si>
  <si>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</si>
  <si>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</si>
  <si>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</si>
  <si>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</si>
  <si>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</si>
  <si>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</si>
  <si>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</si>
  <si>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</si>
  <si>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</si>
  <si>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</si>
  <si>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</si>
  <si>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</si>
  <si>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</si>
  <si>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</si>
  <si>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</si>
  <si>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</si>
  <si>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</si>
  <si>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</si>
  <si>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</si>
  <si>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</si>
  <si>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</si>
  <si>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</si>
  <si>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</si>
  <si>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</si>
  <si>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</si>
  <si>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</si>
  <si>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</si>
  <si>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</si>
  <si>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</si>
  <si>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</si>
  <si>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</si>
  <si>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</si>
  <si>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</si>
  <si>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</si>
  <si>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</si>
  <si>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</si>
  <si>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</si>
  <si>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</si>
  <si>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</si>
  <si>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</si>
  <si>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</si>
  <si>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</si>
  <si>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</si>
  <si>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</si>
  <si>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</si>
  <si>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</si>
  <si>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</si>
  <si>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</si>
  <si>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</si>
  <si>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</si>
  <si>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</si>
  <si>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</si>
  <si>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</si>
  <si>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</si>
  <si>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</si>
  <si>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</si>
  <si>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</si>
  <si>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</si>
  <si>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</si>
  <si>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</si>
  <si>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</si>
  <si>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</si>
  <si>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</si>
  <si>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</si>
  <si>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</si>
  <si>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</si>
  <si>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</si>
  <si>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</si>
  <si>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</si>
  <si>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</si>
  <si>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</si>
  <si>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</si>
  <si>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</si>
  <si>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</si>
  <si>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</si>
  <si>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</si>
  <si>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</si>
  <si>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</si>
  <si>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</si>
  <si>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</si>
  <si>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</si>
  <si>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</si>
  <si>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</si>
  <si>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</si>
  <si>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</si>
  <si>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</si>
  <si>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</si>
  <si>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</si>
  <si>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</si>
  <si>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</si>
  <si>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</si>
  <si>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</si>
  <si>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</si>
  <si>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</si>
  <si>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</si>
  <si>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</si>
  <si>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</si>
  <si>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</si>
  <si>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</si>
  <si>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</si>
  <si>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</si>
  <si>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</si>
  <si>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</si>
  <si>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</si>
  <si>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</si>
  <si>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</si>
  <si>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</si>
  <si>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</si>
  <si>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</si>
  <si>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</si>
  <si>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</si>
  <si>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</si>
  <si>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</si>
  <si>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</si>
  <si>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</si>
  <si>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</si>
  <si>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</si>
  <si>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</si>
  <si>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</si>
  <si>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</si>
  <si>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</si>
  <si>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</si>
  <si>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</si>
  <si>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</si>
  <si>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</si>
  <si>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</si>
  <si>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</si>
  <si>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</si>
  <si>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</si>
  <si>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</si>
  <si>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</si>
  <si>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</si>
  <si>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</si>
  <si>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</si>
  <si>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</si>
  <si>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</si>
  <si>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</si>
  <si>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</si>
  <si>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</si>
  <si>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</si>
  <si>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</si>
  <si>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</si>
  <si>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</si>
  <si>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</si>
  <si>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</si>
  <si>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</si>
  <si>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</si>
  <si>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</si>
  <si>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</si>
  <si>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</si>
  <si>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</si>
  <si>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</si>
  <si>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</si>
  <si>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</si>
  <si>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</si>
  <si>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</si>
  <si>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</si>
  <si>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</si>
  <si>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</si>
  <si>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</si>
  <si>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</si>
  <si>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</si>
  <si>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</si>
  <si>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</si>
  <si>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</si>
  <si>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</si>
  <si>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</si>
  <si>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</si>
  <si>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</si>
  <si>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</si>
  <si>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</si>
  <si>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</si>
  <si>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</si>
  <si>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</si>
  <si>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</si>
  <si>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</si>
  <si>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</si>
  <si>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</si>
  <si>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</si>
  <si>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</si>
  <si>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</si>
  <si>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</si>
  <si>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</si>
  <si>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</si>
  <si>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</si>
  <si>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</si>
  <si>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</si>
  <si>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</si>
  <si>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</si>
  <si>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</si>
  <si>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</si>
  <si>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</si>
  <si>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</si>
  <si>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</si>
  <si>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</si>
  <si>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</si>
  <si>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</si>
  <si>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</si>
  <si>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</si>
  <si>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</si>
  <si>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</si>
  <si>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</si>
  <si>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</si>
  <si>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</si>
  <si>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</si>
  <si>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</si>
  <si>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</si>
  <si>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</si>
  <si>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</si>
  <si>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</si>
  <si>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</si>
  <si>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</si>
  <si>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</si>
  <si>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</si>
  <si>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</si>
  <si>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</si>
  <si>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</si>
  <si>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</si>
  <si>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</si>
  <si>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</si>
  <si>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</si>
  <si>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</si>
  <si>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</si>
  <si>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</si>
  <si>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</si>
  <si>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</si>
  <si>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</si>
  <si>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</si>
  <si>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</si>
  <si>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</si>
  <si>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</si>
  <si>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</si>
  <si>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</si>
  <si>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</si>
  <si>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</si>
  <si>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</si>
  <si>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</si>
  <si>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</si>
  <si>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</si>
  <si>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</si>
  <si>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</si>
  <si>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</si>
  <si>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</si>
  <si>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</si>
  <si>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</si>
  <si>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</si>
  <si>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</si>
  <si>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</si>
  <si>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</si>
  <si>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</si>
  <si>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</si>
  <si>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</si>
  <si>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</si>
  <si>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</si>
  <si>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</si>
  <si>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</si>
  <si>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</si>
  <si>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</si>
  <si>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</si>
  <si>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</si>
  <si>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</si>
  <si>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</si>
  <si>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</si>
  <si>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</si>
  <si>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</si>
  <si>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</si>
  <si>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</si>
  <si>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</si>
  <si>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</si>
  <si>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</si>
  <si>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</si>
  <si>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</si>
  <si>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</si>
  <si>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</si>
  <si>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</si>
  <si>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</si>
  <si>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</si>
  <si>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</si>
  <si>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</si>
  <si>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</si>
  <si>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</si>
  <si>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</si>
  <si>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</si>
  <si>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</si>
  <si>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</si>
  <si>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</si>
  <si>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</si>
  <si>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</si>
  <si>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</si>
  <si>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</si>
  <si>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</si>
  <si>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</si>
  <si>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</si>
  <si>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</si>
  <si>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</si>
  <si>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</si>
  <si>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</si>
  <si>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</si>
  <si>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</si>
  <si>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</si>
  <si>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</si>
  <si>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</si>
  <si>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</si>
  <si>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</si>
  <si>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</si>
  <si>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</si>
  <si>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</si>
  <si>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</si>
  <si>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</si>
  <si>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</si>
  <si>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</si>
  <si>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</si>
  <si>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</si>
  <si>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</si>
  <si>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</si>
  <si>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</si>
  <si>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</si>
  <si>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</si>
  <si>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</si>
  <si>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</si>
  <si>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</si>
  <si>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</si>
  <si>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</si>
  <si>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</si>
  <si>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</si>
  <si>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</si>
  <si>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</si>
  <si>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</si>
  <si>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</si>
  <si>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</si>
  <si>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</si>
  <si>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</si>
  <si>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</si>
  <si>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</si>
  <si>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</si>
  <si>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</si>
  <si>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</si>
  <si>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</si>
  <si>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</si>
  <si>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</si>
  <si>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</si>
  <si>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</si>
  <si>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</si>
  <si>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</si>
  <si>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</si>
  <si>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</si>
  <si>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</si>
  <si>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</si>
  <si>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</si>
  <si>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</si>
  <si>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</si>
  <si>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</si>
  <si>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</si>
  <si>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</si>
  <si>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</si>
  <si>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</si>
  <si>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</si>
  <si>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</si>
  <si>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</si>
  <si>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</si>
  <si>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</si>
  <si>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</si>
  <si>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</si>
  <si>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</si>
  <si>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</si>
  <si>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</si>
  <si>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</si>
  <si>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</si>
  <si>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</si>
  <si>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</si>
  <si>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</si>
  <si>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</si>
  <si>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</si>
  <si>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</si>
  <si>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</si>
  <si>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</si>
  <si>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</si>
  <si>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</si>
  <si>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</si>
  <si>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</si>
  <si>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</si>
  <si>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</si>
  <si>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</si>
  <si>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</si>
  <si>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</si>
  <si>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</si>
  <si>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</si>
  <si>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</si>
  <si>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</si>
  <si>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</si>
  <si>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</si>
  <si>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</si>
  <si>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</si>
  <si>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</si>
  <si>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</si>
  <si>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</si>
  <si>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</si>
  <si>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</si>
  <si>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</si>
  <si>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</si>
  <si>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</si>
  <si>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</si>
  <si>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</si>
  <si>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</si>
  <si>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</si>
  <si>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</si>
  <si>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</si>
  <si>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</si>
  <si>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</si>
  <si>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</si>
  <si>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</si>
  <si>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</si>
  <si>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</si>
  <si>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</si>
  <si>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</si>
  <si>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</si>
  <si>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</si>
  <si>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</si>
  <si>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</si>
  <si>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</si>
  <si>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</si>
  <si>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</si>
  <si>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</si>
  <si>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</si>
  <si>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</si>
  <si>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</si>
  <si>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</si>
  <si>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</si>
  <si>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</si>
  <si>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</si>
  <si>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</si>
  <si>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</si>
  <si>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</si>
  <si>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</si>
  <si>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</si>
  <si>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</si>
  <si>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</si>
  <si>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</si>
  <si>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</si>
  <si>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</si>
  <si>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</si>
  <si>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</si>
  <si>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</si>
  <si>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</si>
  <si>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</si>
  <si>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</si>
  <si>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</si>
  <si>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</si>
  <si>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</si>
  <si>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</si>
  <si>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</si>
  <si>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</si>
  <si>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</si>
  <si>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</si>
  <si>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</si>
  <si>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</si>
  <si>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</si>
  <si>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</si>
  <si>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</si>
  <si>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</si>
  <si>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</si>
  <si>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</si>
  <si>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</si>
  <si>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</si>
  <si>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</si>
  <si>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</si>
  <si>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</si>
  <si>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</si>
  <si>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</si>
  <si>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</si>
  <si>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</si>
  <si>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</si>
  <si>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</si>
  <si>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</si>
  <si>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</si>
  <si>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</si>
  <si>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</si>
  <si>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</si>
  <si>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</si>
  <si>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</si>
  <si>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</si>
  <si>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</si>
  <si>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</si>
  <si>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</si>
  <si>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</si>
  <si>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</si>
  <si>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</si>
  <si>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</si>
  <si>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</si>
  <si>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</si>
  <si>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</si>
  <si>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</si>
  <si>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</si>
  <si>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</si>
  <si>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</si>
  <si>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</si>
  <si>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</si>
  <si>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</si>
  <si>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</si>
  <si>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</si>
  <si>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</si>
  <si>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</si>
  <si>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</si>
  <si>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</si>
  <si>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</si>
  <si>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</si>
  <si>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</si>
  <si>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</si>
  <si>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</si>
  <si>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</si>
  <si>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</si>
  <si>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</si>
  <si>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</si>
  <si>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</si>
  <si>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</si>
  <si>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</si>
  <si>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</si>
  <si>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</si>
  <si>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</si>
  <si>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</si>
  <si>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</si>
  <si>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</si>
  <si>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</si>
  <si>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</si>
  <si>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</si>
  <si>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</si>
  <si>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</si>
  <si>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</si>
  <si>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</si>
  <si>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</si>
  <si>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</si>
  <si>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</si>
  <si>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</si>
  <si>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</si>
  <si>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</si>
  <si>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</si>
  <si>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</si>
  <si>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</si>
  <si>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</si>
  <si>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</si>
  <si>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</si>
  <si>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</si>
  <si>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</si>
  <si>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</si>
  <si>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</si>
  <si>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</si>
  <si>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</si>
  <si>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</si>
  <si>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</si>
  <si>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</si>
  <si>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</si>
  <si>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</si>
  <si>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</si>
  <si>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</si>
  <si>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</si>
  <si>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</si>
  <si>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</si>
  <si>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</si>
  <si>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</si>
  <si>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</si>
  <si>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</si>
  <si>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</si>
  <si>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</si>
  <si>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</si>
  <si>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</si>
  <si>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</si>
  <si>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</si>
  <si>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</si>
  <si>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</si>
  <si>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</si>
  <si>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</si>
  <si>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</si>
  <si>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</si>
  <si>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</si>
  <si>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</si>
  <si>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</si>
  <si>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</si>
  <si>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</si>
  <si>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</si>
  <si>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</si>
  <si>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</si>
  <si>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</si>
  <si>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</si>
  <si>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</si>
  <si>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</si>
  <si>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</si>
  <si>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</si>
  <si>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</si>
  <si>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</si>
  <si>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</si>
  <si>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</si>
  <si>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</si>
  <si>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</si>
  <si>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</si>
  <si>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</si>
  <si>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</si>
  <si>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</si>
  <si>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</si>
  <si>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</si>
  <si>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</si>
  <si>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</si>
  <si>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</si>
  <si>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</si>
  <si>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</si>
  <si>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</si>
  <si>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</si>
  <si>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</si>
  <si>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</si>
  <si>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</si>
  <si>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</si>
  <si>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</si>
  <si>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</si>
  <si>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</si>
  <si>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</si>
  <si>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</si>
  <si>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</si>
  <si>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</si>
  <si>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</si>
  <si>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</si>
  <si>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</si>
  <si>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</si>
  <si>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</si>
  <si>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</si>
  <si>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</si>
  <si>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</si>
  <si>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</si>
  <si>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</si>
  <si>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</si>
  <si>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</si>
  <si>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</si>
  <si>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</si>
  <si>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</si>
  <si>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</si>
  <si>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</si>
  <si>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</si>
  <si>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</si>
  <si>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</si>
  <si>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</si>
  <si>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</si>
  <si>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</si>
  <si>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</si>
  <si>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</si>
  <si>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</si>
  <si>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</si>
  <si>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</si>
  <si>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</si>
  <si>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</si>
  <si>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</si>
  <si>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</si>
  <si>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</si>
  <si>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</si>
  <si>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</si>
  <si>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</si>
  <si>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</si>
  <si>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</si>
  <si>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</si>
  <si>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</si>
  <si>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</si>
  <si>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</si>
  <si>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</si>
  <si>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</si>
  <si>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</si>
  <si>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</si>
  <si>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</si>
  <si>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</si>
  <si>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</si>
  <si>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</si>
  <si>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</si>
  <si>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</si>
  <si>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</si>
  <si>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</si>
  <si>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</si>
  <si>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</si>
  <si>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</si>
  <si>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</si>
  <si>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</si>
  <si>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</si>
  <si>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</si>
  <si>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</si>
  <si>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</si>
  <si>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</si>
  <si>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</si>
  <si>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</si>
  <si>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</si>
  <si>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</si>
  <si>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</si>
  <si>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</si>
  <si>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</si>
  <si>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</si>
  <si>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</si>
  <si>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</si>
  <si>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</si>
  <si>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</si>
  <si>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</si>
  <si>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</si>
  <si>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</si>
  <si>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</si>
  <si>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</si>
  <si>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</si>
  <si>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</si>
  <si>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</si>
  <si>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</si>
  <si>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</si>
  <si>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</si>
  <si>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</si>
  <si>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</si>
  <si>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</si>
  <si>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</si>
  <si>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</si>
  <si>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</si>
  <si>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</si>
  <si>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</si>
  <si>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</si>
  <si>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</si>
  <si>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</si>
  <si>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</si>
  <si>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</si>
  <si>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</si>
  <si>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</si>
  <si>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</si>
  <si>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</si>
  <si>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</si>
  <si>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</si>
  <si>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</si>
  <si>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</si>
  <si>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</si>
  <si>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</si>
  <si>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</si>
  <si>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</si>
  <si>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</si>
  <si>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</si>
  <si>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</si>
  <si>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</si>
  <si>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</si>
  <si>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</si>
  <si>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</si>
  <si>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</si>
  <si>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</si>
  <si>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</si>
  <si>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</si>
  <si>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</si>
  <si>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</si>
  <si>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</si>
  <si>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</si>
  <si>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</si>
  <si>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</si>
  <si>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</si>
  <si>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</si>
  <si>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</si>
  <si>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</si>
  <si>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</si>
  <si>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</si>
  <si>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</si>
  <si>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</si>
  <si>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</si>
  <si>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</si>
  <si>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</si>
  <si>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</si>
  <si>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</si>
  <si>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</si>
  <si>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</si>
  <si>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</si>
  <si>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</si>
  <si>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</si>
  <si>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</si>
  <si>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</si>
  <si>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</si>
  <si>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</si>
  <si>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</si>
  <si>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</si>
  <si>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</si>
  <si>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</si>
  <si>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</si>
  <si>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</si>
  <si>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</si>
  <si>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</si>
  <si>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</si>
  <si>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</si>
  <si>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</si>
  <si>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</si>
  <si>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</si>
  <si>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</si>
  <si>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</si>
  <si>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</si>
  <si>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</si>
  <si>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</si>
  <si>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</si>
  <si>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</si>
  <si>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</si>
  <si>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</si>
  <si>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</si>
  <si>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</si>
  <si>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</si>
  <si>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</si>
  <si>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</si>
  <si>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</si>
  <si>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</si>
  <si>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</si>
  <si>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</si>
  <si>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</si>
  <si>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</si>
  <si>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</si>
  <si>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</si>
  <si>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</si>
  <si>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</si>
  <si>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</si>
  <si>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</si>
  <si>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</si>
  <si>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</si>
  <si>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</si>
  <si>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</si>
  <si>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</si>
  <si>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</si>
  <si>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</si>
  <si>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</si>
  <si>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</si>
  <si>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</si>
  <si>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</si>
  <si>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</si>
  <si>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</si>
  <si>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</si>
  <si>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</si>
  <si>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</si>
  <si>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</si>
  <si>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</si>
  <si>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</si>
  <si>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</si>
  <si>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</si>
  <si>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</si>
  <si>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</si>
  <si>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</si>
  <si>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</si>
  <si>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</si>
  <si>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</si>
  <si>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</si>
  <si>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</si>
  <si>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</si>
  <si>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</si>
  <si>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</si>
  <si>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</si>
  <si>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</si>
  <si>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</si>
  <si>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</si>
  <si>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</si>
  <si>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</si>
  <si>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</si>
  <si>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</si>
  <si>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</si>
  <si>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</si>
  <si>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</si>
  <si>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</si>
  <si>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</si>
  <si>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</si>
  <si>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</si>
  <si>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</si>
  <si>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</si>
  <si>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</si>
  <si>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</si>
  <si>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</si>
  <si>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</si>
  <si>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</si>
  <si>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</si>
  <si>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</si>
  <si>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</si>
  <si>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</si>
  <si>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</si>
  <si>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</si>
  <si>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</si>
  <si>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</si>
  <si>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</si>
  <si>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</si>
  <si>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</si>
  <si>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</si>
  <si>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</si>
  <si>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</si>
  <si>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</si>
  <si>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</si>
  <si>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</si>
  <si>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</si>
  <si>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</si>
  <si>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</si>
  <si>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</si>
  <si>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</si>
  <si>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</si>
  <si>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</si>
  <si>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</si>
  <si>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</si>
  <si>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</si>
  <si>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</si>
  <si>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</si>
  <si>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</si>
  <si>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</si>
  <si>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</si>
  <si>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</si>
  <si>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</si>
  <si>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</si>
  <si>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</si>
  <si>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</si>
  <si>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</si>
  <si>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</si>
  <si>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</si>
  <si>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</si>
  <si>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</si>
  <si>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</si>
  <si>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</si>
  <si>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</si>
  <si>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</si>
  <si>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</si>
  <si>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</si>
  <si>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</si>
  <si>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</si>
  <si>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</si>
  <si>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</si>
  <si>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</si>
  <si>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</si>
  <si>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</si>
  <si>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</si>
  <si>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</si>
  <si>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</si>
  <si>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</si>
  <si>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</si>
  <si>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</si>
  <si>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</si>
  <si>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</si>
  <si>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</si>
  <si>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</si>
  <si>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</si>
  <si>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</si>
  <si>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</si>
  <si>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</si>
  <si>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</si>
  <si>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</si>
  <si>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</si>
  <si>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</si>
  <si>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</si>
  <si>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</si>
  <si>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</si>
  <si>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</si>
  <si>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</si>
  <si>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</si>
  <si>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</si>
  <si>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</si>
  <si>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</si>
  <si>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</si>
  <si>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</si>
  <si>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</si>
  <si>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</si>
  <si>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</si>
  <si>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</si>
  <si>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</si>
  <si>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</si>
  <si>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</si>
  <si>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</si>
  <si>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</si>
  <si>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</si>
  <si>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</si>
  <si>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</si>
  <si>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</si>
  <si>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</si>
  <si>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</si>
  <si>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</si>
  <si>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</si>
  <si>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</si>
  <si>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</si>
  <si>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</si>
  <si>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</si>
  <si>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</si>
  <si>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</si>
  <si>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</si>
  <si>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</si>
  <si>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</si>
  <si>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</si>
  <si>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</si>
  <si>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</si>
  <si>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</si>
  <si>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</si>
  <si>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</si>
  <si>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</si>
  <si>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</si>
  <si>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</si>
  <si>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</si>
  <si>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</si>
  <si>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</si>
  <si>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</si>
  <si>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</si>
  <si>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</si>
  <si>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</si>
  <si>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</si>
  <si>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</si>
  <si>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</si>
  <si>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</si>
  <si>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</si>
  <si>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</si>
  <si>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</si>
  <si>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</si>
  <si>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</si>
  <si>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</si>
  <si>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</si>
  <si>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</si>
  <si>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</si>
  <si>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</si>
  <si>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</si>
  <si>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</si>
  <si>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</si>
  <si>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</si>
  <si>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</si>
  <si>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</si>
  <si>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</si>
  <si>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</si>
  <si>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</si>
  <si>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</si>
  <si>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</si>
  <si>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</si>
  <si>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</si>
  <si>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</si>
  <si>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</si>
  <si>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</si>
  <si>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</si>
  <si>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</si>
  <si>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</si>
  <si>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</si>
  <si>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</si>
  <si>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</si>
  <si>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</si>
  <si>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</si>
  <si>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</si>
  <si>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</si>
  <si>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</si>
  <si>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</si>
  <si>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</si>
  <si>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</si>
  <si>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</si>
  <si>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</si>
  <si>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</si>
  <si>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</si>
  <si>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</si>
  <si>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</si>
  <si>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</si>
  <si>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</si>
  <si>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</si>
  <si>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</si>
  <si>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</si>
  <si>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</si>
  <si>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</si>
  <si>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</si>
  <si>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</si>
  <si>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</si>
  <si>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</si>
  <si>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</si>
  <si>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</si>
  <si>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</si>
  <si>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</si>
  <si>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</si>
  <si>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</si>
  <si>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</si>
  <si>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</si>
  <si>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</si>
  <si>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</si>
  <si>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</si>
  <si>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</si>
  <si>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</si>
  <si>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</si>
  <si>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</si>
  <si>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</si>
  <si>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</si>
  <si>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</si>
  <si>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</si>
  <si>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</si>
  <si>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</si>
  <si>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</si>
  <si>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</si>
  <si>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</si>
  <si>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</si>
  <si>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</si>
  <si>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</si>
  <si>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</si>
  <si>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</si>
  <si>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</si>
  <si>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</si>
  <si>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</si>
  <si>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</si>
  <si>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</si>
  <si>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</si>
  <si>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</si>
  <si>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</si>
  <si>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</si>
  <si>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</si>
  <si>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</si>
  <si>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</si>
  <si>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</si>
  <si>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</si>
  <si>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</si>
  <si>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</si>
  <si>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</si>
  <si>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</si>
  <si>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</si>
  <si>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</si>
  <si>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</si>
  <si>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</si>
  <si>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</si>
  <si>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</si>
  <si>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</si>
  <si>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</si>
  <si>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</si>
  <si>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</si>
  <si>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</si>
  <si>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</si>
  <si>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</si>
  <si>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</si>
  <si>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</si>
  <si>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</si>
  <si>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</si>
  <si>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</si>
  <si>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</si>
  <si>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</si>
  <si>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</si>
  <si>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</si>
  <si>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</si>
  <si>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</si>
  <si>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</si>
  <si>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</si>
  <si>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</si>
  <si>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</si>
  <si>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</si>
  <si>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</si>
  <si>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</si>
  <si>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</si>
  <si>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</si>
  <si>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</si>
  <si>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</si>
  <si>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</si>
  <si>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</si>
  <si>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</si>
  <si>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</si>
  <si>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</si>
  <si>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</si>
  <si>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</si>
  <si>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</si>
  <si>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</si>
  <si>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</si>
  <si>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</si>
  <si>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</si>
  <si>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</si>
  <si>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</si>
  <si>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</si>
  <si>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</si>
  <si>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</si>
  <si>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</si>
  <si>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</si>
  <si>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</si>
  <si>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</si>
  <si>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</si>
  <si>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</si>
  <si>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</si>
  <si>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</si>
  <si>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</si>
  <si>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</si>
  <si>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</si>
  <si>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</si>
  <si>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</si>
  <si>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</si>
  <si>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</si>
  <si>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</si>
  <si>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</si>
  <si>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</si>
  <si>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</si>
  <si>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</si>
  <si>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</si>
  <si>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</si>
  <si>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</si>
  <si>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</si>
  <si>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</si>
  <si>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</si>
  <si>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</si>
  <si>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</si>
  <si>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</si>
  <si>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</si>
  <si>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</si>
  <si>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</si>
  <si>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</si>
  <si>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</si>
  <si>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</si>
  <si>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</si>
  <si>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</si>
  <si>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</si>
  <si>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</si>
  <si>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</si>
  <si>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</si>
  <si>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</si>
  <si>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</si>
  <si>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</si>
  <si>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</si>
  <si>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</si>
  <si>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</si>
  <si>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</si>
  <si>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</si>
  <si>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</si>
  <si>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</si>
  <si>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</si>
  <si>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</si>
  <si>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</si>
  <si>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</si>
  <si>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</si>
  <si>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</si>
  <si>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</si>
  <si>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</si>
  <si>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</si>
  <si>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</si>
  <si>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</si>
  <si>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</si>
  <si>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</si>
  <si>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</si>
  <si>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</si>
  <si>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</si>
  <si>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</si>
  <si>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</si>
  <si>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</si>
  <si>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</si>
  <si>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</si>
  <si>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</si>
  <si>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</si>
  <si>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</si>
  <si>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</si>
  <si>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</si>
  <si>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</si>
  <si>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</si>
  <si>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</si>
  <si>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</si>
  <si>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</si>
  <si>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</si>
  <si>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</si>
  <si>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</si>
  <si>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</si>
  <si>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</si>
  <si>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</si>
  <si>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</si>
  <si>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</si>
  <si>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</si>
  <si>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</si>
  <si>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</si>
  <si>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</si>
  <si>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</si>
  <si>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</si>
  <si>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</si>
  <si>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</si>
  <si>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</si>
  <si>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</si>
  <si>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</si>
  <si>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</si>
  <si>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</si>
  <si>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</si>
  <si>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</si>
  <si>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</si>
  <si>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</si>
  <si>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</si>
  <si>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</si>
  <si>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</si>
  <si>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</si>
  <si>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</si>
  <si>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</si>
  <si>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</si>
  <si>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</si>
  <si>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</si>
  <si>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</si>
  <si>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</si>
  <si>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</si>
  <si>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</si>
  <si>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</si>
  <si>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</si>
  <si>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</si>
  <si>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</si>
  <si>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</si>
  <si>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</si>
  <si>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</si>
  <si>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</si>
  <si>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</si>
  <si>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</si>
  <si>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</si>
  <si>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</si>
  <si>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</si>
  <si>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</si>
  <si>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</si>
  <si>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</si>
  <si>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</si>
  <si>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</si>
  <si>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</si>
  <si>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</si>
  <si>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</si>
  <si>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</si>
  <si>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</si>
  <si>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</si>
  <si>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</si>
  <si>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</si>
  <si>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</si>
  <si>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</si>
  <si>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</si>
  <si>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</si>
  <si>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</si>
  <si>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</si>
  <si>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</si>
  <si>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</si>
  <si>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</si>
  <si>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</si>
  <si>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</si>
  <si>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</si>
  <si>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</si>
  <si>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</si>
  <si>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</si>
  <si>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</si>
  <si>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</si>
  <si>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</si>
  <si>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</si>
  <si>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</si>
  <si>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</si>
  <si>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</si>
  <si>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</si>
  <si>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</si>
  <si>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</si>
  <si>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</si>
  <si>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</si>
  <si>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</si>
  <si>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</si>
  <si>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</si>
  <si>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</si>
  <si>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</si>
  <si>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</si>
  <si>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</si>
  <si>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</si>
  <si>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</si>
  <si>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</si>
  <si>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</si>
  <si>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</si>
  <si>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</si>
  <si>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</si>
  <si>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</si>
  <si>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</si>
  <si>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</si>
  <si>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</si>
  <si>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</si>
  <si>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</si>
  <si>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</si>
  <si>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</si>
  <si>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</si>
  <si>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</si>
  <si>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</si>
  <si>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</si>
  <si>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</si>
  <si>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</si>
  <si>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</si>
  <si>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</si>
  <si>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</si>
  <si>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</si>
  <si>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</si>
  <si>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</si>
  <si>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</si>
  <si>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</si>
  <si>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</si>
  <si>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</si>
  <si>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</si>
  <si>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</si>
  <si>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</si>
  <si>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</si>
  <si>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</si>
  <si>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</si>
  <si>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</si>
  <si>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</si>
  <si>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</si>
  <si>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</si>
  <si>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</si>
  <si>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</si>
  <si>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</si>
  <si>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</si>
  <si>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</si>
  <si>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</si>
  <si>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</si>
  <si>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</si>
  <si>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</si>
  <si>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</si>
  <si>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</si>
  <si>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</si>
  <si>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</si>
  <si>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</si>
  <si>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</si>
  <si>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</si>
  <si>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</si>
  <si>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</si>
  <si>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</si>
  <si>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</si>
  <si>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</si>
  <si>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</si>
  <si>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</si>
  <si>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</si>
  <si>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</si>
  <si>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</si>
  <si>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</si>
  <si>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</si>
  <si>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</si>
  <si>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</si>
  <si>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</si>
  <si>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</si>
  <si>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</si>
  <si>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</si>
  <si>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</si>
  <si>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</si>
  <si>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</si>
  <si>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</si>
  <si>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</si>
  <si>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</si>
  <si>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</si>
  <si>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</si>
  <si>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</si>
  <si>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</si>
  <si>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</si>
  <si>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</si>
  <si>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</si>
  <si>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</si>
  <si>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</si>
  <si>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</si>
  <si>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</si>
  <si>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</si>
  <si>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</si>
  <si>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</si>
  <si>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</si>
  <si>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</si>
  <si>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</si>
  <si>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</si>
  <si>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</si>
  <si>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</si>
  <si>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</si>
  <si>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</si>
  <si>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</si>
  <si>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</si>
  <si>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</si>
  <si>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</si>
  <si>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</si>
  <si>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</si>
  <si>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</si>
  <si>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</si>
  <si>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</si>
  <si>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</si>
  <si>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</si>
  <si>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</si>
  <si>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</si>
  <si>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</si>
  <si>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</si>
  <si>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</si>
  <si>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</si>
  <si>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</si>
  <si>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</si>
  <si>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</si>
  <si>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</si>
  <si>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</si>
  <si>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</si>
  <si>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</si>
  <si>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</si>
  <si>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</si>
  <si>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</si>
  <si>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</si>
  <si>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</si>
  <si>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</si>
  <si>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</si>
  <si>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</si>
  <si>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</si>
  <si>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</si>
  <si>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</si>
  <si>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</si>
  <si>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</si>
  <si>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</si>
  <si>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</si>
  <si>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</si>
  <si>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</si>
  <si>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</si>
  <si>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</si>
  <si>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</si>
  <si>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</si>
  <si>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</si>
  <si>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</si>
  <si>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</si>
  <si>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</si>
  <si>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</si>
  <si>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</si>
  <si>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</si>
  <si>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</si>
  <si>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</si>
  <si>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</si>
  <si>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</si>
  <si>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</si>
  <si>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</si>
  <si>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</si>
  <si>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</si>
  <si>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</si>
  <si>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</si>
  <si>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</si>
  <si>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</si>
  <si>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</si>
  <si>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</si>
  <si>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</si>
  <si>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</si>
  <si>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</si>
  <si>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</si>
  <si>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</si>
  <si>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</si>
  <si>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</si>
  <si>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</si>
  <si>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</si>
  <si>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</si>
  <si>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</si>
  <si>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</si>
  <si>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</si>
  <si>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</si>
  <si>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</si>
  <si>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</si>
  <si>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</si>
  <si>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</si>
  <si>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</si>
  <si>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</si>
  <si>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</si>
  <si>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</si>
  <si>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</si>
  <si>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</si>
  <si>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</si>
  <si>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</si>
  <si>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</si>
  <si>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</si>
  <si>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</si>
  <si>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</si>
  <si>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</si>
  <si>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</si>
  <si>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</si>
  <si>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</si>
  <si>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</si>
  <si>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</si>
  <si>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</si>
  <si>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</si>
  <si>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</si>
  <si>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</si>
  <si>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</si>
  <si>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</si>
  <si>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</si>
  <si>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</si>
  <si>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</si>
  <si>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</si>
  <si>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</si>
  <si>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</si>
  <si>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</si>
  <si>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</si>
  <si>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</si>
  <si>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</si>
  <si>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</si>
  <si>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</si>
  <si>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</si>
  <si>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</si>
  <si>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</si>
  <si>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</si>
  <si>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</si>
  <si>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</si>
  <si>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</si>
  <si>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</si>
  <si>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</si>
  <si>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</si>
  <si>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</si>
  <si>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</si>
  <si>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</si>
  <si>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</si>
  <si>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</si>
  <si>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</si>
  <si>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</si>
  <si>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</si>
  <si>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</si>
  <si>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</si>
  <si>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</si>
  <si>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</si>
  <si>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</si>
  <si>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</si>
  <si>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</si>
  <si>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</si>
  <si>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</si>
  <si>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</si>
  <si>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</si>
  <si>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</si>
  <si>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</si>
  <si>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</si>
  <si>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</si>
  <si>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</si>
  <si>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</si>
  <si>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</si>
  <si>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</si>
  <si>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</si>
  <si>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</si>
  <si>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</si>
  <si>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</si>
  <si>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</si>
  <si>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</si>
  <si>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</si>
  <si>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</si>
  <si>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</si>
  <si>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</si>
  <si>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</si>
  <si>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</si>
  <si>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</si>
  <si>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</si>
  <si>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</si>
  <si>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</si>
  <si>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</si>
  <si>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</si>
  <si>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</si>
  <si>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</si>
  <si>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</si>
  <si>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</si>
  <si>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</si>
  <si>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</si>
  <si>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</si>
  <si>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</si>
  <si>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</si>
  <si>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</si>
  <si>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</si>
  <si>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</si>
  <si>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</si>
  <si>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</si>
  <si>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</si>
  <si>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</si>
  <si>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</si>
  <si>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</si>
  <si>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</si>
  <si>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</si>
  <si>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</si>
  <si>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</si>
  <si>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</si>
  <si>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</si>
  <si>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</si>
  <si>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</si>
  <si>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</si>
  <si>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</si>
  <si>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</si>
  <si>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</si>
  <si>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</si>
  <si>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</si>
  <si>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</si>
  <si>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</si>
  <si>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</si>
  <si>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</si>
  <si>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</si>
  <si>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</si>
  <si>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</si>
  <si>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</si>
  <si>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</si>
  <si>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</si>
  <si>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</si>
  <si>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</si>
  <si>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</si>
  <si>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</si>
  <si>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</si>
  <si>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</si>
  <si>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</si>
  <si>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</si>
  <si>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</si>
  <si>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</si>
  <si>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</si>
  <si>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</si>
  <si>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</si>
  <si>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</si>
  <si>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</si>
  <si>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</si>
  <si>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</si>
  <si>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</si>
  <si>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</si>
  <si>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</si>
  <si>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</si>
  <si>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</si>
  <si>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</si>
  <si>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</si>
  <si>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</si>
  <si>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</si>
  <si>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</si>
  <si>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</si>
  <si>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</si>
  <si>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</si>
  <si>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</si>
  <si>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</si>
  <si>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</si>
  <si>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</si>
  <si>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</si>
  <si>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</si>
  <si>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</si>
  <si>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</si>
  <si>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</si>
  <si>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</si>
  <si>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</si>
  <si>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</si>
  <si>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</si>
  <si>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</si>
  <si>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</si>
  <si>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</si>
  <si>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</si>
  <si>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</si>
  <si>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</si>
  <si>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</si>
  <si>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</si>
  <si>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</si>
  <si>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</si>
  <si>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</si>
  <si>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</si>
  <si>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</si>
  <si>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</si>
  <si>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</si>
  <si>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</si>
  <si>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</si>
  <si>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</si>
  <si>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</si>
  <si>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</si>
  <si>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</si>
  <si>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</si>
  <si>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</si>
  <si>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</si>
  <si>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</si>
  <si>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</si>
  <si>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</si>
  <si>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</si>
  <si>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</si>
  <si>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</si>
  <si>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</si>
  <si>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</si>
  <si>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</si>
  <si>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</si>
  <si>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</si>
  <si>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</si>
  <si>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</si>
  <si>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</si>
  <si>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</si>
  <si>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</si>
  <si>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</si>
  <si>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</si>
  <si>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</si>
  <si>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</si>
  <si>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</si>
  <si>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</si>
  <si>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</si>
  <si>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</si>
  <si>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</si>
  <si>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</si>
  <si>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</si>
  <si>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</si>
  <si>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</si>
  <si>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</si>
  <si>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</si>
  <si>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</si>
  <si>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</si>
  <si>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</si>
  <si>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</si>
  <si>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</si>
  <si>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</si>
  <si>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</si>
  <si>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</si>
  <si>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</si>
  <si>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</si>
  <si>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</si>
  <si>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</si>
  <si>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</si>
  <si>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</si>
  <si>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</si>
  <si>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</si>
  <si>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</si>
  <si>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</si>
  <si>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</si>
  <si>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</si>
  <si>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</si>
  <si>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</si>
  <si>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</si>
  <si>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</si>
  <si>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</si>
  <si>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</si>
  <si>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</si>
  <si>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</si>
  <si>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</si>
  <si>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</si>
  <si>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</si>
  <si>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</si>
  <si>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</si>
  <si>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</si>
  <si>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</si>
  <si>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</si>
  <si>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</si>
  <si>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</si>
  <si>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</si>
  <si>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</si>
  <si>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</si>
  <si>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</si>
  <si>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</si>
  <si>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</si>
  <si>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</si>
  <si>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</si>
  <si>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</si>
  <si>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</si>
  <si>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</si>
  <si>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</si>
  <si>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</si>
  <si>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</si>
  <si>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</si>
  <si>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</si>
  <si>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</si>
  <si>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</si>
  <si>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</si>
  <si>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</si>
  <si>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</si>
  <si>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</si>
  <si>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</si>
  <si>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</si>
  <si>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</si>
  <si>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</si>
  <si>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</si>
  <si>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</si>
  <si>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</si>
  <si>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</si>
  <si>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</si>
  <si>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</si>
  <si>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</si>
  <si>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</si>
  <si>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</si>
  <si>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</si>
  <si>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</si>
  <si>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</si>
  <si>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</si>
  <si>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</si>
  <si>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</si>
  <si>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</si>
  <si>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</si>
  <si>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</si>
  <si>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</si>
  <si>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</si>
  <si>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</si>
  <si>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</si>
  <si>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</si>
  <si>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</si>
  <si>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</si>
  <si>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</si>
  <si>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</si>
  <si>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</si>
  <si>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</si>
  <si>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</si>
  <si>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</si>
  <si>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</si>
  <si>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</si>
  <si>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</si>
  <si>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</si>
  <si>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</si>
  <si>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</si>
  <si>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</si>
  <si>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</si>
  <si>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</si>
  <si>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</si>
  <si>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</si>
  <si>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</si>
  <si>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</si>
  <si>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</si>
  <si>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</si>
  <si>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</si>
  <si>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</si>
  <si>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</si>
  <si>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</si>
  <si>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</si>
  <si>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</si>
  <si>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</si>
  <si>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</si>
  <si>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</si>
  <si>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</si>
  <si>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</si>
  <si>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</si>
  <si>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</si>
  <si>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</si>
  <si>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</si>
  <si>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</si>
  <si>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</si>
  <si>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</si>
  <si>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</si>
  <si>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</si>
  <si>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</si>
  <si>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</si>
  <si>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</si>
  <si>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</si>
  <si>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</si>
  <si>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</si>
  <si>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</si>
  <si>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</si>
  <si>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</si>
  <si>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</si>
  <si>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</si>
  <si>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</si>
  <si>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</si>
  <si>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</si>
  <si>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</si>
  <si>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</si>
  <si>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</si>
  <si>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</si>
  <si>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</si>
  <si>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</si>
  <si>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</si>
  <si>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</si>
  <si>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</si>
  <si>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</si>
  <si>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</si>
  <si>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</si>
  <si>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</si>
  <si>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</si>
  <si>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</si>
  <si>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</si>
  <si>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</si>
  <si>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</si>
  <si>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</si>
  <si>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</si>
  <si>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</si>
  <si>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</si>
  <si>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</si>
  <si>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</si>
  <si>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</si>
  <si>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</si>
  <si>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</si>
  <si>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</si>
  <si>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</si>
  <si>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</si>
  <si>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</si>
  <si>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</si>
  <si>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</si>
  <si>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</si>
  <si>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</si>
  <si>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</si>
  <si>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</si>
  <si>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</si>
  <si>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</si>
  <si>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</si>
  <si>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</si>
  <si>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</si>
  <si>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</si>
  <si>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</si>
  <si>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</si>
  <si>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</si>
  <si>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</si>
  <si>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</si>
  <si>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</si>
  <si>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</si>
  <si>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</si>
  <si>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</si>
  <si>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</si>
  <si>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</si>
  <si>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</si>
  <si>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</si>
  <si>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</si>
  <si>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</si>
  <si>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</si>
  <si>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</si>
  <si>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</si>
  <si>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</si>
  <si>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</si>
  <si>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</si>
  <si>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</si>
  <si>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</si>
  <si>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</si>
  <si>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</si>
  <si>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</si>
  <si>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</si>
  <si>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</si>
  <si>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</si>
  <si>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</si>
  <si>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</si>
  <si>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</si>
  <si>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</si>
  <si>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</si>
  <si>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</si>
  <si>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</si>
  <si>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</si>
  <si>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</si>
  <si>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</si>
  <si>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</si>
  <si>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</si>
  <si>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</si>
  <si>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</si>
  <si>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</si>
  <si>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</si>
  <si>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</si>
  <si>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</si>
  <si>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</si>
  <si>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</si>
  <si>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</si>
  <si>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</si>
  <si>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</si>
  <si>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</si>
  <si>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</si>
  <si>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</si>
  <si>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</si>
  <si>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</si>
  <si>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</si>
  <si>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</si>
  <si>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</si>
  <si>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</si>
  <si>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</si>
  <si>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</si>
  <si>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</si>
  <si>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</si>
  <si>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</si>
  <si>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</si>
  <si>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</si>
  <si>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</si>
  <si>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</si>
  <si>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</si>
  <si>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</si>
  <si>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</si>
  <si>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</si>
  <si>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</si>
  <si>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</si>
  <si>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</si>
  <si>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</si>
  <si>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</si>
  <si>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</si>
  <si>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</si>
  <si>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</si>
  <si>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</si>
  <si>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</si>
  <si>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</si>
  <si>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</si>
  <si>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</si>
  <si>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</si>
  <si>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</si>
  <si>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</si>
  <si>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</si>
  <si>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</si>
  <si>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</si>
  <si>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</si>
  <si>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</si>
  <si>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</si>
  <si>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</si>
  <si>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</si>
  <si>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</si>
  <si>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</si>
  <si>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</si>
  <si>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</si>
  <si>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</si>
  <si>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</si>
  <si>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</si>
  <si>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</si>
  <si>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</si>
  <si>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</si>
  <si>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</si>
  <si>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</si>
  <si>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</si>
  <si>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</si>
  <si>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</si>
  <si>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</si>
  <si>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</si>
  <si>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</si>
  <si>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</si>
  <si>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</si>
  <si>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</si>
  <si>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</si>
  <si>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</si>
  <si>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</si>
  <si>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</si>
  <si>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</si>
  <si>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</si>
  <si>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</si>
  <si>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</si>
  <si>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</si>
  <si>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</si>
  <si>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</si>
  <si>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</si>
  <si>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</si>
  <si>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</si>
  <si>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</si>
  <si>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</si>
  <si>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</si>
  <si>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</si>
  <si>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</si>
  <si>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</si>
  <si>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</si>
  <si>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</si>
  <si>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</si>
  <si>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</si>
  <si>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</si>
  <si>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</si>
  <si>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</si>
  <si>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</si>
  <si>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</si>
  <si>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</si>
  <si>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</si>
  <si>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</si>
  <si>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</si>
  <si>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</si>
  <si>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</si>
  <si>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</si>
  <si>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</si>
  <si>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</si>
  <si>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</si>
  <si>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</si>
  <si>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</si>
  <si>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</si>
  <si>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</si>
  <si>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</si>
  <si>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</si>
  <si>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</si>
  <si>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</si>
  <si>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</si>
  <si>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</si>
  <si>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</si>
  <si>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</si>
  <si>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</si>
  <si>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</si>
  <si>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</si>
  <si>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</si>
  <si>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</si>
  <si>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</si>
  <si>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</si>
  <si>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</si>
  <si>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</si>
  <si>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</si>
  <si>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</si>
  <si>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</si>
  <si>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</si>
  <si>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</si>
  <si>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</si>
  <si>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</si>
  <si>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</si>
  <si>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</si>
  <si>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</si>
  <si>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</si>
  <si>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</si>
  <si>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</si>
  <si>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</si>
  <si>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</si>
  <si>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</si>
  <si>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</si>
  <si>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</si>
  <si>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</si>
  <si>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</si>
  <si>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</si>
  <si>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</si>
  <si>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</si>
  <si>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</si>
  <si>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</si>
  <si>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</si>
  <si>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</si>
  <si>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</si>
  <si>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</si>
  <si>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</si>
  <si>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</si>
  <si>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</si>
  <si>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</si>
  <si>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</si>
  <si>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</si>
  <si>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</si>
  <si>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</si>
  <si>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</si>
  <si>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</si>
  <si>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</si>
  <si>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</si>
  <si>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</si>
  <si>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</si>
  <si>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</si>
  <si>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</si>
  <si>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</si>
  <si>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</si>
  <si>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</si>
  <si>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</si>
  <si>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</si>
  <si>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</si>
  <si>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</si>
  <si>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</si>
  <si>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</si>
  <si>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</si>
  <si>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</si>
  <si>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</si>
  <si>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</si>
  <si>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</si>
  <si>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</si>
  <si>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</si>
  <si>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</si>
  <si>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</si>
  <si>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</si>
  <si>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</si>
  <si>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</si>
  <si>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</si>
  <si>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</si>
  <si>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</si>
  <si>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</si>
  <si>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</si>
  <si>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</si>
  <si>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</si>
  <si>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</si>
  <si>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</si>
  <si>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</si>
  <si>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</si>
  <si>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</si>
  <si>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</si>
  <si>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</si>
  <si>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</si>
  <si>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</si>
  <si>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</si>
  <si>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</si>
  <si>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</si>
  <si>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</si>
  <si>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</si>
  <si>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</si>
  <si>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</si>
  <si>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</si>
  <si>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</si>
  <si>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</si>
  <si>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</si>
  <si>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</si>
  <si>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</si>
  <si>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</si>
  <si>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</si>
  <si>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</si>
  <si>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</si>
  <si>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</si>
  <si>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</si>
  <si>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</si>
  <si>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</si>
  <si>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</si>
  <si>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</si>
  <si>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</si>
  <si>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</si>
  <si>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</si>
  <si>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</si>
  <si>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</si>
  <si>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</si>
  <si>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</si>
  <si>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</si>
  <si>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</si>
  <si>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</si>
  <si>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</si>
  <si>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</si>
  <si>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</si>
  <si>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</si>
  <si>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</si>
  <si>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</si>
  <si>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</si>
  <si>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</si>
  <si>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</si>
  <si>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</si>
  <si>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</si>
  <si>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</si>
  <si>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</si>
  <si>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</si>
  <si>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</si>
  <si>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</si>
  <si>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</si>
  <si>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</si>
  <si>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</si>
  <si>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</si>
  <si>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</si>
  <si>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</si>
  <si>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</si>
  <si>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</si>
  <si>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</si>
  <si>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</si>
  <si>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</si>
  <si>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</si>
  <si>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</si>
  <si>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</si>
  <si>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</si>
  <si>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</si>
  <si>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</si>
  <si>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</si>
  <si>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</si>
  <si>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</si>
  <si>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</si>
  <si>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</si>
  <si>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</si>
  <si>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</si>
  <si>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</si>
  <si>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</si>
  <si>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</si>
  <si>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</si>
  <si>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</si>
  <si>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</si>
  <si>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</si>
  <si>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</si>
  <si>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</si>
  <si>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</si>
  <si>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</si>
  <si>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</si>
  <si>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</si>
  <si>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</si>
  <si>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</si>
  <si>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</si>
  <si>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</si>
  <si>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</si>
  <si>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</si>
  <si>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</si>
  <si>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</si>
  <si>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</si>
  <si>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</si>
  <si>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</si>
  <si>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</si>
  <si>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</si>
  <si>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</si>
  <si>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</si>
  <si>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</si>
  <si>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</si>
  <si>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</si>
  <si>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</si>
  <si>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</si>
  <si>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</si>
  <si>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</si>
  <si>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</si>
  <si>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</si>
  <si>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</si>
  <si>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</si>
  <si>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</si>
  <si>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</si>
  <si>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</si>
  <si>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</si>
  <si>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</si>
  <si>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</si>
  <si>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</si>
  <si>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</si>
  <si>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</si>
  <si>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</si>
  <si>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</si>
  <si>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</si>
  <si>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</si>
  <si>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</si>
  <si>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</si>
  <si>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</si>
  <si>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</si>
  <si>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</si>
  <si>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</si>
  <si>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</si>
  <si>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</si>
  <si>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</si>
  <si>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</si>
  <si>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</si>
  <si>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</si>
  <si>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</si>
  <si>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</si>
  <si>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</si>
  <si>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</si>
  <si>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</si>
  <si>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</si>
  <si>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</si>
  <si>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</si>
  <si>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</si>
  <si>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</si>
  <si>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</si>
  <si>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</si>
  <si>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</si>
  <si>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</si>
  <si>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</si>
  <si>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</si>
  <si>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</si>
  <si>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</si>
  <si>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</si>
  <si>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</si>
  <si>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</si>
  <si>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</si>
  <si>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</si>
  <si>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</si>
  <si>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</si>
  <si>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</si>
  <si>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</si>
  <si>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</si>
  <si>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</si>
  <si>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</si>
  <si>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</si>
  <si>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</si>
  <si>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</si>
  <si>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</si>
  <si>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</si>
  <si>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</si>
  <si>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</si>
  <si>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</si>
  <si>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</si>
  <si>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</si>
  <si>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</si>
  <si>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</si>
  <si>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</si>
  <si>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</si>
  <si>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</si>
  <si>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</si>
  <si>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</si>
  <si>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</si>
  <si>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</si>
  <si>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</si>
  <si>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</si>
  <si>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</si>
  <si>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</si>
  <si>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</si>
  <si>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</si>
  <si>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</si>
  <si>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</si>
  <si>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</si>
  <si>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</si>
  <si>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</si>
  <si>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</si>
  <si>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</si>
  <si>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</si>
  <si>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</si>
  <si>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</si>
  <si>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</si>
  <si>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</si>
  <si>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</si>
  <si>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</si>
  <si>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</si>
  <si>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</si>
  <si>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</si>
  <si>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</si>
  <si>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</si>
  <si>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</si>
  <si>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</si>
  <si>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</si>
  <si>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</si>
  <si>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</si>
  <si>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</si>
  <si>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</si>
  <si>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</si>
  <si>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</si>
  <si>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</si>
  <si>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</si>
  <si>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</si>
  <si>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</si>
  <si>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</si>
  <si>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</si>
  <si>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</si>
  <si>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</si>
  <si>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</si>
  <si>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</si>
  <si>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</si>
  <si>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</si>
  <si>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</si>
  <si>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</si>
  <si>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</si>
  <si>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</si>
  <si>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</si>
  <si>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</si>
  <si>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</si>
  <si>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</si>
  <si>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</si>
  <si>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</si>
  <si>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</si>
  <si>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</si>
  <si>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</si>
  <si>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</si>
  <si>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</si>
  <si>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</si>
  <si>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</si>
  <si>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</si>
  <si>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</si>
  <si>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</si>
  <si>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</si>
  <si>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</si>
  <si>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</si>
  <si>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</si>
  <si>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</si>
  <si>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</si>
  <si>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</si>
  <si>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</si>
  <si>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</si>
  <si>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</si>
  <si>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</si>
  <si>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</si>
  <si>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</si>
  <si>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</si>
  <si>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</si>
  <si>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</si>
  <si>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</si>
  <si>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</si>
  <si>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</si>
  <si>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</si>
  <si>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</si>
  <si>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</si>
  <si>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</si>
  <si>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</si>
  <si>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</si>
  <si>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</si>
  <si>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</si>
  <si>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</si>
  <si>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</si>
  <si>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</si>
  <si>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</si>
  <si>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</si>
  <si>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</si>
  <si>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</si>
  <si>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</si>
  <si>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</si>
  <si>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</si>
  <si>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</si>
  <si>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</si>
  <si>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</si>
  <si>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</si>
  <si>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</si>
  <si>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</si>
  <si>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</si>
  <si>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</si>
  <si>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</si>
  <si>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</si>
  <si>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</si>
  <si>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</si>
  <si>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</si>
  <si>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</si>
  <si>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</si>
  <si>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</si>
  <si>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</si>
  <si>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</si>
  <si>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</si>
  <si>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</si>
  <si>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</si>
  <si>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</si>
  <si>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</si>
  <si>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</si>
  <si>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</si>
  <si>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</si>
  <si>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</si>
  <si>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</si>
  <si>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</si>
  <si>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</si>
  <si>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</si>
  <si>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</si>
  <si>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</si>
  <si>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</si>
  <si>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</si>
  <si>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</si>
  <si>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</si>
  <si>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</si>
  <si>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</si>
  <si>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</si>
  <si>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</si>
  <si>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</si>
  <si>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</si>
  <si>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</si>
  <si>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</si>
  <si>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</si>
  <si>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</si>
  <si>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</si>
  <si>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</si>
  <si>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</si>
  <si>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</si>
  <si>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</si>
  <si>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</si>
  <si>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</si>
  <si>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</si>
  <si>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</si>
  <si>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</si>
  <si>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</si>
  <si>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</si>
  <si>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</si>
  <si>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</si>
  <si>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</si>
  <si>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</si>
  <si>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</si>
  <si>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</si>
  <si>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</si>
  <si>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</si>
  <si>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</si>
  <si>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</si>
  <si>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</si>
  <si>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</si>
  <si>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</si>
  <si>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</si>
  <si>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</si>
  <si>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</si>
  <si>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</si>
  <si>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</si>
  <si>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</si>
  <si>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</si>
  <si>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</si>
  <si>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</si>
  <si>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</si>
  <si>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</si>
  <si>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</si>
  <si>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</si>
  <si>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</si>
  <si>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</si>
  <si>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</si>
  <si>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</si>
  <si>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</si>
  <si>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</si>
  <si>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</si>
  <si>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</si>
  <si>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</si>
  <si>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</si>
  <si>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</si>
  <si>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</si>
  <si>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</si>
  <si>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</si>
  <si>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</si>
  <si>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</si>
  <si>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</si>
  <si>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</si>
  <si>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</si>
  <si>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</si>
  <si>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</si>
  <si>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</si>
  <si>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</si>
  <si>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</si>
  <si>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</si>
  <si>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</si>
  <si>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</si>
  <si>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</si>
  <si>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</si>
  <si>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</si>
  <si>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</si>
  <si>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</si>
  <si>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</si>
  <si>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</si>
  <si>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</si>
  <si>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</si>
  <si>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</si>
  <si>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</si>
  <si>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</si>
  <si>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</si>
  <si>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</si>
  <si>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</si>
  <si>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</si>
  <si>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</si>
  <si>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</si>
  <si>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</si>
  <si>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</si>
  <si>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</si>
  <si>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</si>
  <si>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</si>
  <si>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</si>
  <si>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</si>
  <si>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</si>
  <si>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</si>
  <si>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</si>
  <si>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</si>
  <si>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</si>
  <si>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</si>
  <si>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</si>
  <si>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</si>
  <si>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</si>
  <si>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</si>
  <si>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</si>
  <si>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</si>
  <si>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</si>
  <si>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</si>
  <si>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</si>
  <si>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</si>
  <si>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</si>
  <si>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</si>
  <si>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</si>
  <si>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</si>
  <si>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</si>
  <si>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</si>
  <si>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</si>
  <si>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</si>
  <si>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</si>
  <si>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</si>
  <si>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</si>
  <si>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</si>
  <si>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</si>
  <si>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</si>
  <si>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</si>
  <si>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</si>
  <si>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</si>
  <si>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</si>
  <si>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</si>
  <si>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</si>
  <si>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</si>
  <si>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</si>
  <si>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</si>
  <si>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</si>
  <si>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</si>
  <si>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</si>
  <si>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</si>
  <si>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</si>
  <si>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</si>
  <si>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</si>
  <si>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</si>
  <si>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</si>
  <si>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</si>
  <si>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</si>
  <si>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</si>
  <si>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</si>
  <si>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</si>
  <si>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</si>
  <si>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</si>
  <si>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</si>
  <si>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</si>
  <si>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</si>
  <si>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</si>
  <si>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</si>
  <si>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</si>
  <si>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</si>
  <si>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</si>
  <si>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</si>
  <si>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</si>
  <si>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</si>
  <si>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</si>
  <si>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</si>
  <si>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</si>
  <si>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</si>
  <si>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</si>
  <si>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</si>
  <si>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</si>
  <si>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</si>
  <si>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</si>
  <si>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</si>
  <si>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</si>
  <si>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</si>
  <si>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</si>
  <si>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</si>
  <si>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</si>
  <si>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</si>
  <si>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</si>
  <si>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</si>
  <si>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</si>
  <si>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</si>
  <si>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</si>
  <si>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</si>
  <si>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</si>
  <si>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</si>
  <si>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</si>
  <si>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</si>
  <si>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</si>
  <si>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</si>
  <si>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</si>
  <si>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</si>
  <si>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</si>
  <si>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</si>
  <si>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</si>
  <si>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</si>
  <si>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</si>
  <si>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</si>
  <si>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</si>
  <si>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</si>
  <si>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</si>
  <si>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</si>
  <si>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</si>
  <si>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</si>
  <si>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</si>
  <si>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</si>
  <si>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</si>
  <si>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</si>
  <si>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</si>
  <si>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</si>
  <si>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</si>
  <si>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</si>
  <si>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</si>
  <si>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</si>
  <si>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</si>
  <si>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</si>
  <si>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</si>
  <si>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</si>
  <si>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</si>
  <si>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</si>
  <si>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</si>
  <si>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</si>
  <si>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</si>
  <si>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</si>
  <si>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</si>
  <si>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</si>
  <si>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</si>
  <si>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</si>
  <si>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</si>
  <si>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</si>
  <si>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</si>
  <si>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</si>
  <si>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</si>
  <si>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</si>
  <si>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</si>
  <si>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</si>
  <si>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</si>
  <si>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</si>
  <si>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</si>
  <si>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</si>
  <si>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</si>
  <si>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</si>
  <si>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</si>
  <si>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</si>
  <si>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</si>
  <si>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</si>
  <si>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</si>
  <si>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</si>
  <si>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</si>
  <si>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</si>
  <si>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</si>
  <si>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</si>
  <si>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</si>
  <si>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</si>
  <si>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</si>
  <si>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</si>
  <si>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</si>
  <si>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</si>
  <si>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</si>
  <si>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</si>
  <si>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</si>
  <si>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</si>
  <si>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</si>
  <si>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</si>
  <si>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</si>
  <si>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</si>
  <si>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</si>
  <si>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</si>
  <si>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</si>
  <si>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</si>
  <si>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</si>
  <si>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</si>
  <si>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</si>
  <si>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</si>
  <si>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</si>
  <si>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</si>
  <si>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</si>
  <si>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</si>
  <si>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</si>
  <si>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</si>
  <si>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</si>
  <si>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</si>
  <si>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</si>
  <si>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</si>
  <si>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</si>
  <si>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</si>
  <si>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</si>
  <si>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</si>
  <si>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</si>
  <si>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</si>
  <si>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</si>
  <si>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</si>
  <si>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</si>
  <si>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</si>
  <si>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</si>
  <si>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</si>
  <si>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</si>
  <si>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</si>
  <si>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</si>
  <si>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</si>
  <si>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</si>
  <si>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</si>
  <si>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</si>
  <si>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</si>
  <si>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</si>
  <si>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</si>
  <si>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</si>
  <si>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</si>
  <si>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</si>
  <si>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</si>
  <si>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</si>
  <si>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</si>
  <si>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</si>
  <si>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</si>
  <si>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</si>
  <si>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</si>
  <si>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</si>
  <si>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</si>
  <si>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</si>
  <si>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</si>
  <si>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</si>
  <si>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</si>
  <si>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</si>
  <si>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</si>
  <si>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</si>
  <si>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</si>
  <si>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</si>
  <si>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</si>
  <si>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</si>
  <si>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</si>
  <si>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</si>
  <si>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</si>
  <si>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</si>
  <si>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</si>
  <si>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</si>
  <si>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</si>
  <si>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</si>
  <si>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</si>
  <si>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</si>
  <si>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</si>
  <si>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</si>
  <si>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</si>
  <si>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</si>
  <si>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</si>
  <si>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</si>
  <si>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</si>
  <si>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</si>
  <si>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</si>
  <si>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</si>
  <si>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</si>
  <si>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</si>
  <si>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</si>
  <si>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</si>
  <si>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</si>
  <si>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</si>
  <si>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</si>
  <si>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</si>
  <si>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</si>
  <si>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</si>
  <si>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</si>
  <si>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</si>
  <si>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</si>
  <si>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</si>
  <si>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</si>
  <si>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</si>
  <si>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</si>
  <si>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</si>
  <si>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</si>
  <si>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</si>
  <si>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</si>
  <si>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</si>
  <si>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</si>
  <si>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</si>
  <si>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</si>
  <si>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</si>
  <si>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</si>
  <si>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</si>
  <si>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</si>
  <si>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</si>
  <si>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</si>
  <si>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</si>
  <si>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</si>
  <si>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</si>
  <si>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</si>
  <si>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</si>
  <si>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</si>
  <si>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</si>
  <si>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</si>
  <si>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</si>
  <si>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</si>
  <si>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</si>
  <si>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</si>
  <si>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</si>
  <si>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</si>
  <si>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</si>
  <si>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</si>
  <si>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</si>
  <si>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</si>
  <si>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</si>
  <si>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</si>
  <si>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</si>
  <si>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</si>
  <si>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</si>
  <si>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</si>
  <si>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</si>
  <si>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</si>
  <si>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</si>
  <si>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</si>
  <si>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</si>
  <si>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</si>
  <si>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</si>
  <si>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</si>
  <si>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</si>
  <si>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</si>
  <si>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</si>
  <si>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</si>
  <si>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</si>
  <si>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</si>
  <si>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</si>
  <si>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</si>
  <si>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</si>
  <si>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</si>
  <si>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</si>
  <si>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</si>
  <si>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</si>
  <si>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</si>
  <si>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</si>
  <si>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</si>
  <si>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</si>
  <si>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</si>
  <si>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</si>
  <si>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</si>
  <si>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</si>
  <si>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</si>
  <si>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</si>
  <si>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</si>
  <si>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</si>
  <si>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</si>
  <si>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</si>
  <si>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</si>
  <si>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</si>
  <si>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</si>
  <si>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</si>
  <si>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</si>
  <si>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</si>
  <si>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</si>
  <si>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</si>
  <si>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</si>
  <si>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</si>
  <si>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</si>
  <si>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</si>
  <si>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</si>
  <si>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</si>
  <si>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</si>
  <si>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</si>
  <si>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</si>
  <si>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</si>
  <si>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</si>
  <si>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</si>
  <si>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</si>
  <si>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</si>
  <si>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</si>
  <si>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</si>
  <si>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</si>
  <si>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</si>
  <si>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</si>
  <si>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</si>
  <si>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</si>
  <si>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</si>
  <si>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</si>
  <si>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</si>
  <si>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</si>
  <si>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</si>
  <si>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</si>
  <si>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</si>
  <si>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</si>
  <si>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</si>
  <si>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</si>
  <si>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</si>
  <si>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</si>
  <si>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</si>
  <si>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</si>
  <si>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</si>
  <si>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</si>
  <si>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</si>
  <si>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</si>
  <si>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</si>
  <si>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</si>
  <si>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</si>
  <si>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</si>
  <si>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</si>
  <si>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</si>
  <si>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</si>
  <si>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</si>
  <si>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</si>
  <si>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</si>
  <si>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</si>
  <si>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</si>
  <si>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</si>
  <si>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</si>
  <si>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</si>
  <si>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</si>
  <si>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</si>
  <si>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</si>
  <si>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</si>
  <si>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</si>
  <si>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</si>
  <si>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</si>
  <si>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</si>
  <si>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</si>
  <si>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</si>
  <si>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</si>
  <si>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</si>
  <si>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</si>
  <si>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</si>
  <si>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</si>
  <si>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</si>
  <si>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</si>
  <si>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</si>
  <si>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</si>
  <si>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</si>
  <si>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</si>
  <si>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</si>
  <si>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</si>
  <si>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</si>
  <si>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</si>
  <si>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</si>
  <si>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</si>
  <si>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</si>
  <si>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</si>
  <si>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</si>
  <si>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</si>
  <si>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</si>
  <si>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</si>
  <si>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</si>
  <si>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</si>
  <si>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</si>
  <si>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</si>
  <si>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</si>
  <si>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</si>
  <si>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</si>
  <si>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</si>
  <si>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</si>
  <si>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</si>
  <si>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</si>
  <si>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</si>
  <si>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</si>
  <si>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</si>
  <si>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</si>
  <si>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</si>
  <si>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</si>
  <si>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</si>
  <si>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</si>
  <si>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</si>
  <si>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</si>
  <si>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</si>
  <si>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</si>
  <si>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</si>
  <si>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</si>
  <si>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</si>
  <si>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</si>
  <si>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</si>
  <si>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</si>
  <si>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</si>
  <si>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</si>
  <si>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</si>
  <si>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</si>
  <si>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</si>
  <si>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</si>
  <si>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</si>
  <si>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</si>
  <si>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</si>
  <si>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</si>
  <si>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</si>
  <si>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</si>
  <si>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</si>
  <si>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</si>
  <si>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</si>
  <si>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</si>
  <si>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</si>
  <si>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</si>
  <si>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</si>
  <si>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</si>
  <si>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</si>
  <si>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</si>
  <si>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</si>
  <si>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</si>
  <si>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</si>
  <si>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</si>
  <si>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</si>
  <si>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</si>
  <si>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</si>
  <si>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</si>
  <si>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</si>
  <si>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</si>
  <si>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</si>
  <si>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</si>
  <si>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</si>
  <si>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</si>
  <si>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</si>
  <si>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</si>
  <si>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</si>
  <si>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</si>
  <si>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</si>
  <si>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</si>
  <si>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</si>
  <si>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</si>
  <si>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</si>
  <si>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</si>
  <si>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</si>
  <si>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</si>
  <si>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</si>
  <si>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</si>
  <si>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</si>
  <si>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</si>
  <si>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</si>
  <si>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</si>
  <si>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</si>
  <si>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</si>
  <si>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</si>
  <si>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</si>
  <si>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</si>
  <si>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</si>
  <si>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</si>
  <si>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</si>
  <si>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</si>
  <si>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</si>
  <si>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</si>
  <si>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</si>
  <si>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</si>
  <si>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</si>
  <si>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</si>
  <si>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</si>
  <si>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</si>
  <si>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</si>
  <si>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</si>
  <si>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</si>
  <si>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</si>
  <si>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</si>
  <si>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</si>
  <si>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</si>
  <si>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</si>
  <si>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</si>
  <si>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</si>
  <si>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</si>
  <si>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</si>
  <si>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</si>
  <si>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</si>
  <si>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</si>
  <si>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</si>
  <si>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</si>
  <si>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</si>
  <si>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</si>
  <si>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</si>
  <si>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</si>
  <si>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</si>
  <si>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</si>
  <si>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</si>
  <si>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</si>
  <si>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</si>
  <si>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</si>
  <si>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</si>
  <si>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</si>
  <si>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</si>
  <si>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</si>
  <si>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</si>
  <si>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</si>
  <si>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</si>
  <si>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</si>
  <si>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</si>
  <si>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</si>
  <si>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</si>
  <si>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</si>
  <si>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</si>
  <si>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</si>
  <si>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</si>
  <si>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</si>
  <si>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</si>
  <si>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</si>
  <si>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</si>
  <si>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</si>
  <si>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</si>
  <si>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</si>
  <si>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</si>
  <si>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</si>
  <si>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</si>
  <si>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</si>
  <si>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</si>
  <si>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</si>
  <si>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</si>
  <si>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</si>
  <si>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</si>
  <si>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</si>
  <si>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</si>
  <si>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</si>
  <si>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</si>
  <si>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</si>
  <si>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</si>
  <si>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</si>
  <si>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</si>
  <si>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</si>
  <si>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</si>
  <si>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</si>
  <si>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</si>
  <si>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</si>
  <si>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</si>
  <si>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</si>
  <si>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</si>
  <si>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</si>
  <si>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</si>
  <si>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</si>
  <si>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</si>
  <si>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</si>
  <si>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</si>
  <si>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</si>
  <si>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</si>
  <si>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</si>
  <si>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</si>
  <si>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</si>
  <si>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</si>
  <si>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</si>
  <si>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</si>
  <si>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</si>
  <si>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</si>
  <si>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</si>
  <si>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</si>
  <si>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</si>
  <si>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</si>
  <si>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</si>
  <si>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</si>
  <si>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</si>
  <si>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</si>
  <si>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</si>
  <si>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</si>
  <si>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</si>
  <si>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</si>
  <si>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</si>
  <si>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</si>
  <si>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</si>
  <si>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</si>
  <si>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</si>
  <si>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</si>
  <si>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</si>
  <si>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</si>
  <si>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</si>
  <si>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</si>
  <si>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</si>
  <si>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</si>
  <si>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</si>
  <si>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</si>
  <si>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</si>
  <si>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</si>
  <si>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</si>
  <si>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</si>
  <si>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</si>
  <si>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</si>
  <si>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</si>
  <si>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</si>
  <si>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</si>
  <si>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</si>
  <si>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</si>
  <si>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</si>
  <si>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</si>
  <si>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</si>
  <si>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</si>
  <si>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</si>
  <si>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</si>
  <si>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</si>
  <si>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</si>
  <si>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</si>
  <si>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</si>
  <si>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</si>
  <si>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</si>
  <si>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</si>
  <si>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</si>
  <si>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</si>
  <si>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</si>
  <si>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</si>
  <si>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</si>
  <si>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</si>
  <si>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</si>
  <si>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</si>
  <si>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</si>
  <si>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</si>
  <si>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</si>
  <si>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</si>
  <si>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</si>
  <si>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</si>
  <si>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</si>
  <si>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</si>
  <si>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</si>
  <si>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</si>
  <si>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</si>
  <si>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</si>
  <si>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</si>
  <si>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</si>
  <si>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</si>
  <si>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</si>
  <si>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</si>
  <si>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</si>
  <si>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</si>
  <si>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</si>
  <si>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</si>
  <si>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</si>
  <si>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</si>
  <si>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</si>
  <si>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</si>
  <si>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</si>
  <si>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</si>
  <si>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</si>
  <si>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</si>
  <si>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</si>
  <si>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</si>
  <si>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</si>
  <si>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</si>
  <si>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</si>
  <si>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</si>
  <si>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</si>
  <si>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</si>
  <si>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</si>
  <si>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</si>
  <si>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</si>
  <si>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</si>
  <si>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</si>
  <si>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</si>
  <si>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</si>
  <si>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</si>
  <si>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</si>
  <si>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</si>
  <si>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</si>
  <si>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</si>
  <si>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</si>
  <si>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</si>
  <si>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</si>
  <si>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</si>
  <si>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</si>
  <si>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</si>
  <si>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</si>
  <si>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</si>
  <si>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</si>
  <si>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</si>
  <si>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</si>
  <si>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</si>
  <si>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</si>
  <si>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</si>
  <si>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</si>
  <si>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</si>
  <si>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</si>
  <si>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</si>
  <si>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</si>
  <si>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</si>
  <si>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</si>
  <si>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</si>
  <si>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</si>
  <si>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</si>
  <si>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</si>
  <si>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</si>
  <si>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</si>
  <si>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</si>
  <si>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</si>
  <si>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</si>
  <si>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</si>
  <si>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</si>
  <si>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</si>
  <si>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</si>
  <si>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</si>
  <si>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</si>
  <si>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</si>
  <si>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</si>
  <si>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</si>
  <si>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</si>
  <si>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</si>
  <si>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</si>
  <si>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</si>
  <si>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</si>
  <si>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</si>
  <si>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</si>
  <si>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</si>
  <si>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</si>
  <si>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</si>
  <si>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</si>
  <si>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</si>
  <si>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</si>
  <si>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</si>
  <si>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</si>
  <si>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</si>
  <si>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</si>
  <si>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</si>
  <si>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</si>
  <si>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</si>
  <si>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</si>
  <si>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</si>
  <si>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</si>
  <si>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</si>
  <si>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</si>
  <si>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</si>
  <si>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</si>
  <si>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</si>
  <si>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</si>
  <si>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</si>
  <si>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</si>
  <si>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</si>
  <si>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</si>
  <si>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</si>
  <si>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</si>
  <si>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</si>
  <si>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</si>
  <si>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</si>
  <si>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</si>
  <si>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</si>
  <si>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</si>
  <si>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</si>
  <si>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</si>
  <si>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</si>
  <si>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</si>
  <si>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</si>
  <si>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</si>
  <si>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</si>
  <si>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</si>
  <si>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</si>
  <si>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</si>
  <si>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</si>
  <si>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</si>
  <si>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</si>
  <si>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</si>
  <si>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</si>
  <si>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</si>
  <si>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</si>
  <si>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</si>
  <si>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</si>
  <si>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</si>
  <si>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</si>
  <si>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</si>
  <si>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</si>
  <si>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</si>
  <si>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</si>
  <si>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</si>
  <si>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</si>
  <si>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</si>
  <si>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</si>
  <si>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</si>
  <si>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</si>
  <si>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</si>
  <si>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</si>
  <si>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</si>
  <si>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</si>
  <si>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</si>
  <si>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</si>
  <si>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</si>
  <si>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</si>
  <si>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</si>
  <si>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</si>
  <si>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</si>
  <si>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</si>
  <si>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</si>
  <si>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</si>
  <si>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</si>
  <si>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</si>
  <si>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</si>
  <si>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</si>
  <si>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</si>
  <si>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</si>
  <si>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</si>
  <si>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</si>
  <si>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</si>
  <si>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</si>
  <si>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</si>
  <si>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</si>
  <si>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</si>
  <si>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</si>
  <si>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</si>
  <si>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</si>
  <si>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</si>
  <si>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</si>
  <si>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</si>
  <si>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</si>
  <si>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</si>
  <si>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</si>
  <si>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</si>
  <si>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</si>
  <si>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</si>
  <si>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</si>
  <si>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</si>
  <si>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</si>
  <si>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</si>
  <si>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</si>
  <si>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</si>
  <si>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</si>
  <si>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</si>
  <si>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</si>
  <si>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</si>
  <si>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</si>
  <si>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</si>
  <si>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</si>
  <si>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</si>
  <si>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</si>
  <si>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</si>
  <si>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</si>
  <si>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</si>
  <si>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</si>
  <si>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</si>
  <si>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</si>
  <si>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</si>
  <si>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</si>
  <si>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</si>
  <si>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</si>
  <si>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</si>
  <si>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</si>
  <si>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</si>
  <si>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</si>
  <si>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</si>
  <si>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</si>
  <si>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</si>
  <si>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</si>
  <si>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</si>
  <si>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</si>
  <si>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</si>
  <si>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</si>
  <si>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</si>
  <si>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</si>
  <si>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</si>
  <si>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</si>
  <si>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</si>
  <si>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</si>
  <si>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</si>
  <si>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</si>
  <si>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</si>
  <si>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</si>
  <si>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</si>
  <si>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</si>
  <si>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</si>
  <si>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</si>
  <si>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</si>
  <si>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</si>
  <si>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</si>
  <si>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</si>
  <si>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</si>
  <si>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</si>
  <si>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</si>
  <si>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</si>
  <si>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</si>
  <si>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</si>
  <si>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</si>
  <si>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</si>
  <si>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</si>
  <si>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</si>
  <si>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</si>
  <si>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</si>
  <si>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</si>
  <si>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</si>
  <si>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</si>
  <si>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</si>
  <si>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</si>
  <si>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</si>
  <si>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</si>
  <si>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</si>
  <si>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</si>
  <si>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</si>
  <si>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</si>
  <si>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</si>
  <si>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</si>
  <si>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</si>
  <si>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</si>
  <si>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</si>
  <si>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</si>
  <si>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</si>
  <si>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</si>
  <si>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</si>
  <si>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</si>
  <si>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</si>
  <si>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</si>
  <si>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</si>
  <si>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</si>
  <si>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</si>
  <si>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</si>
  <si>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</si>
  <si>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</si>
  <si>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</si>
  <si>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</si>
  <si>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</si>
  <si>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</si>
  <si>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</si>
  <si>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</si>
  <si>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</si>
  <si>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</si>
  <si>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</si>
  <si>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</si>
  <si>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</si>
  <si>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</si>
  <si>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</si>
  <si>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</si>
  <si>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</si>
  <si>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</si>
  <si>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</si>
  <si>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</si>
  <si>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</si>
  <si>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</si>
  <si>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</si>
  <si>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</si>
  <si>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</si>
  <si>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</si>
  <si>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</si>
  <si>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</si>
  <si>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</si>
  <si>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</si>
  <si>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</si>
  <si>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</si>
  <si>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</si>
  <si>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</si>
  <si>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</si>
  <si>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</si>
  <si>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</si>
  <si>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</si>
  <si>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</si>
  <si>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</si>
  <si>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</si>
  <si>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</si>
  <si>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</si>
  <si>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</si>
  <si>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</si>
  <si>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</si>
  <si>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</si>
  <si>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</si>
  <si>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</si>
  <si>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</si>
  <si>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</si>
  <si>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</si>
  <si>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</si>
  <si>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</si>
  <si>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</si>
  <si>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</si>
  <si>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</si>
  <si>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</si>
  <si>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</si>
  <si>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</si>
  <si>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</si>
  <si>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</si>
  <si>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</si>
  <si>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</si>
  <si>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</si>
  <si>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</si>
  <si>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</si>
  <si>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</si>
  <si>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</si>
  <si>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</si>
  <si>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</si>
  <si>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</si>
  <si>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</si>
  <si>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</si>
  <si>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</si>
  <si>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</si>
  <si>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</si>
  <si>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</si>
  <si>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</si>
  <si>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</si>
  <si>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</si>
  <si>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</si>
  <si>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</si>
  <si>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</si>
  <si>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</si>
  <si>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</si>
  <si>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</si>
  <si>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</si>
  <si>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</si>
  <si>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</si>
  <si>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</si>
  <si>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</si>
  <si>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</si>
  <si>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</si>
  <si>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</si>
  <si>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</si>
  <si>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</si>
  <si>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</si>
  <si>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</si>
  <si>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</si>
  <si>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</si>
  <si>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</si>
  <si>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</si>
  <si>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</si>
  <si>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</si>
  <si>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</si>
  <si>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</si>
  <si>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</si>
  <si>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</si>
  <si>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</si>
  <si>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</si>
  <si>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</si>
  <si>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</si>
  <si>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</si>
  <si>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</si>
  <si>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</si>
  <si>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</si>
  <si>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</si>
  <si>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</si>
  <si>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</si>
  <si>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</si>
  <si>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</si>
  <si>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</si>
  <si>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</si>
  <si>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</si>
  <si>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</si>
  <si>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</si>
  <si>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</si>
  <si>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</si>
  <si>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</si>
  <si>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</si>
  <si>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</si>
  <si>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</si>
  <si>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</si>
  <si>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</si>
  <si>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</si>
  <si>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</si>
  <si>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</si>
  <si>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</si>
  <si>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</si>
  <si>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</si>
  <si>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</si>
  <si>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</si>
  <si>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</si>
  <si>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</si>
  <si>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</si>
  <si>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</si>
  <si>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</si>
  <si>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</si>
  <si>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</si>
  <si>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</si>
  <si>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</si>
  <si>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</si>
  <si>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</si>
  <si>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</si>
  <si>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</si>
  <si>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</si>
  <si>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</si>
  <si>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</si>
  <si>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</si>
  <si>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</si>
  <si>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</si>
  <si>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</si>
  <si>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</si>
  <si>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</si>
  <si>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</si>
  <si>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</si>
  <si>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</si>
  <si>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</si>
  <si>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</si>
  <si>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</si>
  <si>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</si>
  <si>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</si>
  <si>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</si>
  <si>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</si>
  <si>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</si>
  <si>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</si>
  <si>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</si>
  <si>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</si>
  <si>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</si>
  <si>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</si>
  <si>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</si>
  <si>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</si>
  <si>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</si>
  <si>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</si>
  <si>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</si>
  <si>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</si>
  <si>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</si>
  <si>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</si>
  <si>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</si>
  <si>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</si>
  <si>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</si>
  <si>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</si>
  <si>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</si>
  <si>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</si>
  <si>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</si>
  <si>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</si>
  <si>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</si>
  <si>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</si>
  <si>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</si>
  <si>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</si>
  <si>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</si>
  <si>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</si>
  <si>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</si>
  <si>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</si>
  <si>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</si>
  <si>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</si>
  <si>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</si>
  <si>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</si>
  <si>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</si>
  <si>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</si>
  <si>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</si>
  <si>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</si>
  <si>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</si>
  <si>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</si>
  <si>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</si>
  <si>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</si>
  <si>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</si>
  <si>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</si>
  <si>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</si>
  <si>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</si>
  <si>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</si>
  <si>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</si>
  <si>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</si>
  <si>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</si>
  <si>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</si>
  <si>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</si>
  <si>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</si>
  <si>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</si>
  <si>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</si>
  <si>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</si>
  <si>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</si>
  <si>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</si>
  <si>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</si>
  <si>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</si>
  <si>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</si>
  <si>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</si>
  <si>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</si>
  <si>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</si>
  <si>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</si>
  <si>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</si>
  <si>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</si>
  <si>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</si>
  <si>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</si>
  <si>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</si>
  <si>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</si>
  <si>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</si>
  <si>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</si>
  <si>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</si>
  <si>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</si>
  <si>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</si>
  <si>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</si>
  <si>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</si>
  <si>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</si>
  <si>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</si>
  <si>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</si>
  <si>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</si>
  <si>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</si>
  <si>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</si>
  <si>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</si>
  <si>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</si>
  <si>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</si>
  <si>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</si>
  <si>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</si>
  <si>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</si>
  <si>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</si>
  <si>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</si>
  <si>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</si>
  <si>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</si>
  <si>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</si>
  <si>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</si>
  <si>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</si>
  <si>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</si>
  <si>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</si>
  <si>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</si>
  <si>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</si>
  <si>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</si>
  <si>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</si>
  <si>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</si>
  <si>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</si>
  <si>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</si>
  <si>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</si>
  <si>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</si>
  <si>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</si>
  <si>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</si>
  <si>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</si>
  <si>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</si>
  <si>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</si>
  <si>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</si>
  <si>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</si>
  <si>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</si>
  <si>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</si>
  <si>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</si>
  <si>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</si>
  <si>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</si>
  <si>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</si>
  <si>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</si>
  <si>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</si>
  <si>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</si>
  <si>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</si>
  <si>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</si>
  <si>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</si>
  <si>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</si>
  <si>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</si>
  <si>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</si>
  <si>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</si>
  <si>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</si>
  <si>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</si>
  <si>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</si>
  <si>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</si>
  <si>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</si>
  <si>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</si>
  <si>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</si>
  <si>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</si>
  <si>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</si>
  <si>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</si>
  <si>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</si>
  <si>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</si>
  <si>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</si>
  <si>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</si>
  <si>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</si>
  <si>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</si>
  <si>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</si>
  <si>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</si>
  <si>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</si>
  <si>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</si>
  <si>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</si>
  <si>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</si>
  <si>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</si>
  <si>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</si>
  <si>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</si>
  <si>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</si>
  <si>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</si>
  <si>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</si>
  <si>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</si>
  <si>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</si>
  <si>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</si>
  <si>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</si>
  <si>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</si>
  <si>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</si>
  <si>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</si>
  <si>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</si>
  <si>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</si>
  <si>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</si>
  <si>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</si>
  <si>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</si>
  <si>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</si>
  <si>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</si>
  <si>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</si>
  <si>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</si>
  <si>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</si>
  <si>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</si>
  <si>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</si>
  <si>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</si>
  <si>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</si>
  <si>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</si>
  <si>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</si>
  <si>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</si>
  <si>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</si>
  <si>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</si>
  <si>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</si>
  <si>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</si>
  <si>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</si>
  <si>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</si>
  <si>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</si>
  <si>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</si>
  <si>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</si>
  <si>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</si>
  <si>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</si>
  <si>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</si>
  <si>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</si>
  <si>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</si>
  <si>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</si>
  <si>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</si>
  <si>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</si>
  <si>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</si>
  <si>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</si>
  <si>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</si>
  <si>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</si>
  <si>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</si>
  <si>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</si>
  <si>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</si>
  <si>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</si>
  <si>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</si>
  <si>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</si>
  <si>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</si>
  <si>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</si>
  <si>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</si>
  <si>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</si>
  <si>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</si>
  <si>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</si>
  <si>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</si>
  <si>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</si>
  <si>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</si>
  <si>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</si>
  <si>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</si>
  <si>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</si>
  <si>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</si>
  <si>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</si>
  <si>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</si>
  <si>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</si>
  <si>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</si>
  <si>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</si>
  <si>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</si>
  <si>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</si>
  <si>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</si>
  <si>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</si>
  <si>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</si>
  <si>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</si>
  <si>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</si>
  <si>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</si>
  <si>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</si>
  <si>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</si>
  <si>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</si>
  <si>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</si>
  <si>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</si>
  <si>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</si>
  <si>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</si>
  <si>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</si>
  <si>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</si>
  <si>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</si>
  <si>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</si>
  <si>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</si>
  <si>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</si>
  <si>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</si>
  <si>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</si>
  <si>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</si>
  <si>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</si>
  <si>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</si>
  <si>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</si>
  <si>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</si>
  <si>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</si>
  <si>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</si>
  <si>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</si>
  <si>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</si>
  <si>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</si>
  <si>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</si>
  <si>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</si>
  <si>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</si>
  <si>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</si>
  <si>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</si>
  <si>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</si>
  <si>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</si>
  <si>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</si>
  <si>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</si>
  <si>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</si>
  <si>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</si>
  <si>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</si>
  <si>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</si>
  <si>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</si>
  <si>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</si>
  <si>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</si>
  <si>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</si>
  <si>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</si>
  <si>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</si>
  <si>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</si>
  <si>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</si>
  <si>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</si>
  <si>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</si>
  <si>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</si>
  <si>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</si>
  <si>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</si>
  <si>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</si>
  <si>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</si>
  <si>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</si>
  <si>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</si>
  <si>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</si>
  <si>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</si>
  <si>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</si>
  <si>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</si>
  <si>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</si>
  <si>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</si>
  <si>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</si>
  <si>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</si>
  <si>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</si>
  <si>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</si>
  <si>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</si>
  <si>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</si>
  <si>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</si>
  <si>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</si>
  <si>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</si>
  <si>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</si>
  <si>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</si>
  <si>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</si>
  <si>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</si>
  <si>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</si>
  <si>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</si>
  <si>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</si>
  <si>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</si>
  <si>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</si>
  <si>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</si>
  <si>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</si>
  <si>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</si>
  <si>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</si>
  <si>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</si>
  <si>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</si>
  <si>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</si>
  <si>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</si>
  <si>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</si>
  <si>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</si>
  <si>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</si>
  <si>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</si>
  <si>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</si>
  <si>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</si>
  <si>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</si>
  <si>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</si>
  <si>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</si>
  <si>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</si>
  <si>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</si>
  <si>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</si>
  <si>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</si>
  <si>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</si>
  <si>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</si>
  <si>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</si>
  <si>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</si>
  <si>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</si>
  <si>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</si>
  <si>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</si>
  <si>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</si>
  <si>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</si>
  <si>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</si>
  <si>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</si>
  <si>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</si>
  <si>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</si>
  <si>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</si>
  <si>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</si>
  <si>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</si>
  <si>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</si>
  <si>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</si>
  <si>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</si>
  <si>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</si>
  <si>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</si>
  <si>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</si>
  <si>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</si>
  <si>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</si>
  <si>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</si>
  <si>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</si>
  <si>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</si>
  <si>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</si>
  <si>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</si>
  <si>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</si>
  <si>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</si>
  <si>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</si>
  <si>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</si>
  <si>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</si>
  <si>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</si>
  <si>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</si>
  <si>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</si>
  <si>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</si>
  <si>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</si>
  <si>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</si>
  <si>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</si>
  <si>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</si>
  <si>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</si>
  <si>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</si>
  <si>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</si>
  <si>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</si>
  <si>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</si>
  <si>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</si>
  <si>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</si>
  <si>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</si>
  <si>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</si>
  <si>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</si>
  <si>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</si>
  <si>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</si>
  <si>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</si>
  <si>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</si>
  <si>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</si>
  <si>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</si>
  <si>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</si>
  <si>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</si>
  <si>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</si>
  <si>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</si>
  <si>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</si>
  <si>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</si>
  <si>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</si>
  <si>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</si>
  <si>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</si>
  <si>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</si>
  <si>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</si>
  <si>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</si>
  <si>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</si>
  <si>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</si>
  <si>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</si>
  <si>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</si>
  <si>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</si>
  <si>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</si>
  <si>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</si>
  <si>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</si>
  <si>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</si>
  <si>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</si>
  <si>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</si>
  <si>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</si>
  <si>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</si>
  <si>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</si>
  <si>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</si>
  <si>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</si>
  <si>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</si>
  <si>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</si>
  <si>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</si>
  <si>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</si>
  <si>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</si>
  <si>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</si>
  <si>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</si>
  <si>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</si>
  <si>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</si>
  <si>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</si>
  <si>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</si>
  <si>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</si>
  <si>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</si>
  <si>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</si>
  <si>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</si>
  <si>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</si>
  <si>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</si>
  <si>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</si>
  <si>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</si>
  <si>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</si>
  <si>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</si>
  <si>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</si>
  <si>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</si>
  <si>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</si>
  <si>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</si>
  <si>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</si>
  <si>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</si>
  <si>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</si>
  <si>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</si>
  <si>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</si>
  <si>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</si>
  <si>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</si>
  <si>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</si>
  <si>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</si>
  <si>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</si>
  <si>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</si>
  <si>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</si>
  <si>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</si>
  <si>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</si>
  <si>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</si>
  <si>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</si>
  <si>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</si>
  <si>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</si>
  <si>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</si>
  <si>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</si>
  <si>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</si>
  <si>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</si>
  <si>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</si>
  <si>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</si>
  <si>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</si>
  <si>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</si>
  <si>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</si>
  <si>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</si>
  <si>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</si>
  <si>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</si>
  <si>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</si>
  <si>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</si>
  <si>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</si>
  <si>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</si>
  <si>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</si>
  <si>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</si>
  <si>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</si>
  <si>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</si>
  <si>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</si>
  <si>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</si>
  <si>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</si>
  <si>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</si>
  <si>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</si>
  <si>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</si>
  <si>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</si>
  <si>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</si>
  <si>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</si>
  <si>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</si>
  <si>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</si>
  <si>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</si>
  <si>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</si>
  <si>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</si>
  <si>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</si>
  <si>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</si>
  <si>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</si>
  <si>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</si>
  <si>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</si>
  <si>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</si>
  <si>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</si>
  <si>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</si>
  <si>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</si>
  <si>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</si>
  <si>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</si>
  <si>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</si>
  <si>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</si>
  <si>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</si>
  <si>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</si>
  <si>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</si>
  <si>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</si>
  <si>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</si>
  <si>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</si>
  <si>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</si>
  <si>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</si>
  <si>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</si>
  <si>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</si>
  <si>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</si>
  <si>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</si>
  <si>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</si>
  <si>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</si>
  <si>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</si>
  <si>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</si>
  <si>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</si>
  <si>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</si>
  <si>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</si>
  <si>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</si>
  <si>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</si>
  <si>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</si>
  <si>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</si>
  <si>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</si>
  <si>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</si>
  <si>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</si>
  <si>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</si>
  <si>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</si>
  <si>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</si>
  <si>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</si>
  <si>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</si>
  <si>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</si>
  <si>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</si>
  <si>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</si>
  <si>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</si>
  <si>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</si>
  <si>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</si>
  <si>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</si>
  <si>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</si>
  <si>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</si>
  <si>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</si>
  <si>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</si>
  <si>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</si>
  <si>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</si>
  <si>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</si>
  <si>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</si>
  <si>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</si>
  <si>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</si>
  <si>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</si>
  <si>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</si>
  <si>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</si>
  <si>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</si>
  <si>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</si>
  <si>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</si>
  <si>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</si>
  <si>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</si>
  <si>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</si>
  <si>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</si>
  <si>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</si>
  <si>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</si>
  <si>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</si>
  <si>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</si>
  <si>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</si>
  <si>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</si>
  <si>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</si>
  <si>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</si>
  <si>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</si>
  <si>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</si>
  <si>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</si>
  <si>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</si>
  <si>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</si>
  <si>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</si>
  <si>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</si>
  <si>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</si>
  <si>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</si>
  <si>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</si>
  <si>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</si>
  <si>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</si>
  <si>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</si>
  <si>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</si>
  <si>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</si>
  <si>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</si>
  <si>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</si>
  <si>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</si>
  <si>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</si>
  <si>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</si>
  <si>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</si>
  <si>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</si>
  <si>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</si>
  <si>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</si>
  <si>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</si>
  <si>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</si>
  <si>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</si>
  <si>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</si>
  <si>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</si>
  <si>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</si>
  <si>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</si>
  <si>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</si>
  <si>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</si>
  <si>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</si>
  <si>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</si>
  <si>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</si>
  <si>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</si>
  <si>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</si>
  <si>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</si>
  <si>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</si>
  <si>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</si>
  <si>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</si>
  <si>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</si>
  <si>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</si>
  <si>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</si>
  <si>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</si>
  <si>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</si>
  <si>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</si>
  <si>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</si>
  <si>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</si>
  <si>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</si>
  <si>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</si>
  <si>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</si>
  <si>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</si>
  <si>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</si>
  <si>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</si>
  <si>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</si>
  <si>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</si>
  <si>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</si>
  <si>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</si>
  <si>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</si>
  <si>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</si>
  <si>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</si>
  <si>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</si>
  <si>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</si>
  <si>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</si>
  <si>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</si>
  <si>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</si>
  <si>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</si>
  <si>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</si>
  <si>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</si>
  <si>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</si>
  <si>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</si>
  <si>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</si>
  <si>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</si>
  <si>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</si>
  <si>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</si>
  <si>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</si>
  <si>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</si>
  <si>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</si>
  <si>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</si>
  <si>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</si>
  <si>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</si>
  <si>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</si>
  <si>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</si>
  <si>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</si>
  <si>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</si>
  <si>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</si>
  <si>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</si>
  <si>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</si>
  <si>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</si>
  <si>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</si>
  <si>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</si>
  <si>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</si>
  <si>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</si>
  <si>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</si>
  <si>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</si>
  <si>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</si>
  <si>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</si>
  <si>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</si>
  <si>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</si>
  <si>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</si>
  <si>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</si>
  <si>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</si>
  <si>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</si>
  <si>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</si>
  <si>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</si>
  <si>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</si>
  <si>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</si>
  <si>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</si>
  <si>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</si>
  <si>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</si>
  <si>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</si>
  <si>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</si>
  <si>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</si>
  <si>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</si>
  <si>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</si>
  <si>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</si>
  <si>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</si>
  <si>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</si>
  <si>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</si>
  <si>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</si>
  <si>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</si>
  <si>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</si>
  <si>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</si>
  <si>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</si>
  <si>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</si>
  <si>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</si>
  <si>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</si>
  <si>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</si>
  <si>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</si>
  <si>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</si>
  <si>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</si>
  <si>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</si>
  <si>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</si>
  <si>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</si>
  <si>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</si>
  <si>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</si>
  <si>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</si>
  <si>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</si>
  <si>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</si>
  <si>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</si>
  <si>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</si>
  <si>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</si>
  <si>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</si>
  <si>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</si>
  <si>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</si>
  <si>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</si>
  <si>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</si>
  <si>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</si>
  <si>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</si>
  <si>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</si>
  <si>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</si>
  <si>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</si>
  <si>
    <t>casues the max shippment one time is 18 ton</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</si>
</sst>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$809,569</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$1,419,479</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$117,670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$857,743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$975,414 per year (12% capital, 88%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zoomScale="69" zoomScaleNormal="100" workbookViewId="0">
      <selection activeCell="I18" sqref="I18:I19"/>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809568.62302353606</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538803.79559490655</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1419479.0951139361</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117670.37023872328</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857743.16295320005</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12% capital, 88% O&amp;M)</v>
      </c>
      <c r="C30" s="648">
        <f>IF(input_status&lt;&gt;"input complete -- results ready","Action required",IF(Missing_Cost,"Missing cost!",IF(cost_buildup_error,"Error in buildup!",Annualized_Cost)))</f>
        <v>975413.53319192328</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1.2418056897590306</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171.65118379065845</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0.77539999999999998</v>
      </c>
      <c r="J248" s="1004">
        <f>IF(I248="contact vendor","--",C248*I248)</f>
        <v>58463.78264624461</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748240.50487848476</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809568.62302353606</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43312.019718499556</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74824.050487848479</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97148.23476282433</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80956.862302353606</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16191.372460470722</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40478.431151176803</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62922.336929927551</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538803.79559490655</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809568.62302353606</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538803.79559490655</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1419479.0951139361</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7.0496214924682965</v>
      </c>
      <c r="F365" s="1000" t="s">
        <v>2135</v>
      </c>
      <c r="G365" s="1008">
        <f>C365*E365</f>
        <v>1033.7542724794519</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4.0036939765859305</v>
      </c>
      <c r="F366" s="1000" t="s">
        <v>2135</v>
      </c>
      <c r="G366" s="1008">
        <f>C366*E366</f>
        <v>587.10042211738869</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4.4333462206398666</v>
      </c>
      <c r="F367" s="1011" t="s">
        <v>2135</v>
      </c>
      <c r="G367" s="1013">
        <f>C367*E367</f>
        <v>6501.0449168987116</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0.77539999999999998</v>
      </c>
      <c r="F376" s="352" t="s">
        <v>670</v>
      </c>
      <c r="G376" s="348">
        <f>E376*C376</f>
        <v>199115.4001856189</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0.122</v>
      </c>
      <c r="F381" s="65" t="s">
        <v>675</v>
      </c>
      <c r="G381" s="322">
        <f>E381*C381*1000</f>
        <v>17653.783288496074</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0.122</v>
      </c>
      <c r="F382" s="352" t="s">
        <v>1017</v>
      </c>
      <c r="G382" s="348">
        <f>E382*C382*1000</f>
        <v>41.398028058027343</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0.122</v>
      </c>
      <c r="F383" s="65" t="str">
        <f>IF(C383=0,"","/kwh")</f>
        <v>/kwh</v>
      </c>
      <c r="G383" s="326">
        <f>IF(C383=0,"--",E383*C383*1000)</f>
        <v>72.343859510538906</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0.122</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0.122</v>
      </c>
      <c r="F387" s="65" t="s">
        <v>675</v>
      </c>
      <c r="G387" s="322">
        <f>E387*C387*1000</f>
        <v>609.21976608000011</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0.122</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0.122</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0.122</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0.122</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1.7290000000000001</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1.7290000000000001</v>
      </c>
      <c r="F395" s="352" t="s">
        <v>2817</v>
      </c>
      <c r="G395" s="322">
        <f>E395*C395</f>
        <v>17040.190210610639</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1650.3700000000001</v>
      </c>
      <c r="F400" s="352" t="s">
        <v>840</v>
      </c>
      <c r="G400" s="348">
        <f>IF(retrofit=1,r_disposal_fee-disposal_fee,disposal_fee)</f>
        <v>529749.29553188663</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1952.662123969913</v>
      </c>
      <c r="F401" s="352" t="str">
        <f>IF(B401="","","/ton")</f>
        <v>/ton</v>
      </c>
      <c r="G401" s="348">
        <f>IF(B401="","",sol_disposal_fee)</f>
        <v>2399.7495463301111</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77976.651177563646</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857743.16295320005</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117670.37023872328</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857743.16295320005</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975413.53319192328</v>
      </c>
      <c r="D417" s="699" t="s">
        <v>1320</v>
      </c>
      <c r="E417" s="910" t="str">
        <f>IF(ISERROR(OR(TAC_pct_cap,TAC_pct_OM)),"",TEXT(TAC_pct_cap,"0%")&amp;" annualized capital, "&amp;TEXT(TAC_pct_OM,"0%")&amp;" annual O&amp;M")</f>
        <v>12% annualized capital, 88%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1.2418056897590306</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171.65118379065845</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43312.019718499556</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74824.050487848479</v>
      </c>
      <c r="D429"/>
    </row>
    <row r="430" spans="1:32">
      <c r="B430" s="5" t="s">
        <v>2739</v>
      </c>
      <c r="C430" s="706">
        <f t="shared" ref="C430:C436" si="240">D339</f>
        <v>0</v>
      </c>
      <c r="D430"/>
    </row>
    <row r="431" spans="1:32">
      <c r="B431" s="5" t="s">
        <v>2654</v>
      </c>
      <c r="C431" s="13">
        <f>C340</f>
        <v>0</v>
      </c>
      <c r="D431"/>
    </row>
    <row r="432" spans="1:32">
      <c r="B432" s="5" t="s">
        <v>2655</v>
      </c>
      <c r="C432" s="13">
        <f>C341</f>
        <v>97148.23476282433</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62922.336929927551</v>
      </c>
      <c r="D437"/>
    </row>
    <row r="438" spans="2:40">
      <c r="B438" s="414" t="s">
        <v>3017</v>
      </c>
      <c r="C438" s="706">
        <f>SUM(cul_indir_mult_table)</f>
        <v>0.17</v>
      </c>
      <c r="D438"/>
    </row>
    <row r="439" spans="2:40">
      <c r="B439" s="414" t="s">
        <v>3018</v>
      </c>
      <c r="C439" s="599">
        <f>SUM(cul_indir_add_table)-addon_cost</f>
        <v>401177.12968090537</v>
      </c>
      <c r="D439" s="414"/>
    </row>
    <row r="440" spans="2:40">
      <c r="B440" s="1" t="s">
        <v>3019</v>
      </c>
      <c r="C440" s="13">
        <f>C347+addon_cost</f>
        <v>609910.47209040017</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57"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8" activePane="bottomLeft" state="frozen"/>
      <selection pane="bottomLeft" activeCell="B217" sqref="B217"/>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518964.09201396554</v>
      </c>
      <c r="D207" s="414" t="s">
        <v>366</v>
      </c>
      <c r="E207" s="496"/>
    </row>
    <row r="208" spans="1:5">
      <c r="A208" s="127" t="s">
        <v>2685</v>
      </c>
      <c r="B208" s="3" t="s">
        <v>3430</v>
      </c>
      <c r="C208" s="80">
        <f>IF(spent_media&gt;max_waste_ship,ROUNDUP(spent_media/max_waste_ship,0)*disp_freq,disp_freq)</f>
        <v>25.543429347161265</v>
      </c>
      <c r="D208" s="414" t="s">
        <v>4651</v>
      </c>
      <c r="E208" s="7"/>
    </row>
    <row r="209" spans="1:5">
      <c r="A209" s="575" t="s">
        <v>3390</v>
      </c>
      <c r="B209" s="3"/>
      <c r="C209" s="55">
        <f>CHOOSE(regen_type,0,0,nonhaz_transportation_cost_cl,0,haz_transportation_cost_cl,rad_transportation_cost_cl,hazrad_transportation_cost_cl)</f>
        <v>0.16800000000000001</v>
      </c>
      <c r="D209" s="414" t="s">
        <v>3391</v>
      </c>
      <c r="E209" s="7"/>
    </row>
    <row r="210" spans="1:5">
      <c r="A210" s="575" t="s">
        <v>3393</v>
      </c>
      <c r="B210" s="3"/>
      <c r="C210" s="55">
        <f>CHOOSE(regen_type,0,0,0,0,haz_trans_min_cost_cl,rad_trans_min_cost_cl,hazrad_trans_min_cost_cl)</f>
        <v>412.79899999999998</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10785.203517921067</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529749.29553188663</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1986.9505463301111</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0.16800000000000001</v>
      </c>
      <c r="D219" s="414" t="s">
        <v>3391</v>
      </c>
      <c r="E219" s="7"/>
    </row>
    <row r="220" spans="1:5">
      <c r="A220" s="575" t="s">
        <v>3393</v>
      </c>
      <c r="B220" s="3"/>
      <c r="C220" s="55">
        <f>CHOOSE(solids_haz,0,haz_trans_min_cost_cl,rad_trans_min_cost_cl,hazrad_trans_min_cost_cl)</f>
        <v>412.79899999999998</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412.79899999999998</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2399.7495463301111</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tabSelected="1" workbookViewId="0">
      <pane ySplit="3" topLeftCell="A1252" activePane="bottomLeft" state="frozen"/>
      <selection pane="bottomLeft" activeCell="D1284" sqref="D128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0.77539999999999998</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0.122</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1.7290000000000001</v>
      </c>
      <c r="E1280" s="1021" t="s">
        <v>2817</v>
      </c>
    </row>
    <row r="1283" spans="1:5">
      <c r="A1283" s="37">
        <v>5</v>
      </c>
      <c r="B1283" s="1018" t="s">
        <v>4212</v>
      </c>
      <c r="C1283" s="1019" t="s">
        <v>4213</v>
      </c>
      <c r="D1283" s="1022">
        <v>1616.77</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412.79899999999998</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2">
        <v>0.16800000000000001</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4.1571412066051936</v>
      </c>
      <c r="F1313" s="1017">
        <v>6.1634637391070539</v>
      </c>
      <c r="G1313" s="1017">
        <v>4.0036939765859305</v>
      </c>
    </row>
    <row r="1314" spans="1:7">
      <c r="A1314" s="3"/>
      <c r="B1314">
        <v>3.1E-2</v>
      </c>
      <c r="C1314">
        <v>0.124</v>
      </c>
      <c r="D1314">
        <v>1</v>
      </c>
      <c r="E1314" s="1017">
        <v>4.1571412066051936</v>
      </c>
      <c r="F1314" s="1017">
        <v>6.1634637391070539</v>
      </c>
      <c r="G1314" s="1017">
        <v>4.0036939765859305</v>
      </c>
    </row>
    <row r="1315" spans="1:7">
      <c r="A1315" s="3"/>
      <c r="B1315">
        <v>0.1241</v>
      </c>
      <c r="C1315">
        <v>0.30499999999999999</v>
      </c>
      <c r="D1315">
        <v>1.2</v>
      </c>
      <c r="E1315" s="1017">
        <v>4.1571412066051936</v>
      </c>
      <c r="F1315" s="1017">
        <v>6.1634637391070539</v>
      </c>
      <c r="G1315" s="1017">
        <v>4.0036939765859305</v>
      </c>
    </row>
    <row r="1316" spans="1:7">
      <c r="A1316" s="3"/>
      <c r="B1316">
        <v>0.30509999999999998</v>
      </c>
      <c r="C1316">
        <v>0.74</v>
      </c>
      <c r="D1316">
        <v>1.2</v>
      </c>
      <c r="E1316" s="1017">
        <v>4.1571412066051936</v>
      </c>
      <c r="F1316" s="1017">
        <v>6.1634637391070539</v>
      </c>
      <c r="G1316" s="1017">
        <v>4.0036939765859305</v>
      </c>
    </row>
    <row r="1317" spans="1:7">
      <c r="A1317" s="3"/>
      <c r="B1317">
        <v>0.74099999999999999</v>
      </c>
      <c r="C1317">
        <v>2.1520000000000001</v>
      </c>
      <c r="D1317">
        <v>1.6</v>
      </c>
      <c r="E1317" s="1017">
        <v>4.4333462206398666</v>
      </c>
      <c r="F1317" s="1017">
        <v>7.0496214924682965</v>
      </c>
      <c r="G1317" s="1017">
        <v>4.0036939765859305</v>
      </c>
    </row>
    <row r="1318" spans="1:7">
      <c r="A1318" s="3"/>
      <c r="B1318">
        <v>2.1520999999999999</v>
      </c>
      <c r="C1318">
        <v>7.3650000000000002</v>
      </c>
      <c r="D1318">
        <v>2.8</v>
      </c>
      <c r="E1318" s="1017">
        <v>4.6801405155875146</v>
      </c>
      <c r="F1318" s="1017">
        <v>7.8526619962357715</v>
      </c>
      <c r="G1318" s="1017">
        <v>5.169892924732328</v>
      </c>
    </row>
    <row r="1319" spans="1:7">
      <c r="A1319" s="3"/>
      <c r="B1319">
        <v>7.3651</v>
      </c>
      <c r="C1319">
        <v>22.614000000000001</v>
      </c>
      <c r="D1319">
        <v>3.8</v>
      </c>
      <c r="E1319" s="1017">
        <v>4.8860155491966912</v>
      </c>
      <c r="F1319" s="1017">
        <v>9.1633570859836411</v>
      </c>
      <c r="G1319" s="1017">
        <v>5.169892924732328</v>
      </c>
    </row>
    <row r="1320" spans="1:7">
      <c r="A1320" s="3"/>
      <c r="B1320">
        <v>22.614100000000001</v>
      </c>
      <c r="C1320">
        <v>75.069999999999993</v>
      </c>
      <c r="D1320">
        <v>7.8</v>
      </c>
      <c r="E1320" s="1017">
        <v>5.7107944105502284</v>
      </c>
      <c r="F1320" s="1017">
        <v>9.7899332752289645</v>
      </c>
      <c r="G1320" s="1017">
        <v>5.169892924732328</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0.126</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activeCell="C39" sqref="C39"/>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topLeftCell="B1" workbookViewId="0">
      <pane ySplit="3" topLeftCell="A4" activePane="bottomLeft" state="frozen"/>
      <selection pane="bottomLeft" activeCell="E16" sqref="E16"/>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0.16800000000000001</v>
      </c>
      <c r="D28" s="414" t="s">
        <v>3391</v>
      </c>
      <c r="E28" s="7"/>
    </row>
    <row r="29" spans="1:5">
      <c r="A29" s="575" t="s">
        <v>3393</v>
      </c>
      <c r="B29" s="3"/>
      <c r="C29" s="55">
        <f>CHOOSE(regen_type,0,0,0,0,haz_trans_min_cost_cl,rad_trans_min_cost_cl,hazrad_trans_min_cost_cl)</f>
        <v>412.79899999999998</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8" activePane="bottomLeft" state="frozen"/>
      <selection pane="bottomLeft" activeCell="A83" sqref="A83"/>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activeCell="B36" sqref="B36"/>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activeCell="C20" sqref="C20"/>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0.122</v>
      </c>
      <c r="J79" s="627" t="s">
        <v>675</v>
      </c>
      <c r="K79" s="628">
        <f>I79*G79*1000</f>
        <v>32362.844530551029</v>
      </c>
      <c r="L79" s="629">
        <f t="shared" ref="L79:L84" si="0">IF(OR(F79="n/a",K79="n/a"),"n/a",F79+K79)</f>
        <v>35789.556641475596</v>
      </c>
    </row>
    <row r="80" spans="1:12">
      <c r="A80" s="612" t="s">
        <v>611</v>
      </c>
      <c r="B80" s="1068" t="s">
        <v>1137</v>
      </c>
      <c r="C80" s="1068"/>
      <c r="D80" s="1068"/>
      <c r="E80" s="1068"/>
      <c r="F80" s="613" t="s">
        <v>1138</v>
      </c>
      <c r="G80" s="625">
        <f>IF(hp_ok_1,build1_heat_loss_yr/3412000/COP,"n/a")</f>
        <v>78.776919125534064</v>
      </c>
      <c r="H80" s="612" t="s">
        <v>2432</v>
      </c>
      <c r="I80" s="626">
        <f>energy_cost_cl</f>
        <v>0.122</v>
      </c>
      <c r="J80" s="627" t="s">
        <v>675</v>
      </c>
      <c r="K80" s="628">
        <f>IF(G80="n/a","n/a",I80*G80*1000)</f>
        <v>9610.7841333151555</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1.7290000000000001</v>
      </c>
      <c r="J81" s="631" t="s">
        <v>2817</v>
      </c>
      <c r="K81" s="628">
        <f>I81*G81</f>
        <v>18042.554340646562</v>
      </c>
      <c r="L81" s="629">
        <f t="shared" si="0"/>
        <v>20472.18201069114</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1.7290000000000001</v>
      </c>
      <c r="J82" s="631" t="s">
        <v>2817</v>
      </c>
      <c r="K82" s="628">
        <f>I82*G82</f>
        <v>17040.190210610639</v>
      </c>
      <c r="L82" s="629">
        <f t="shared" si="0"/>
        <v>19469.817880655217</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0.122</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0.122</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1.7290000000000001</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1.7290000000000001</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0.122</v>
      </c>
      <c r="J98" s="627" t="s">
        <v>675</v>
      </c>
      <c r="K98" s="628">
        <f>I98*G98*1000</f>
        <v>5984.6010933273892</v>
      </c>
      <c r="L98" s="629">
        <f>IF(F98="n/a","n/a",F98+K98)</f>
        <v>7082.7990177531792</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0.122</v>
      </c>
      <c r="J99" s="627" t="s">
        <v>675</v>
      </c>
      <c r="K99" s="628">
        <f>IF(C99="n/a","n/a",I99*G99*1000)</f>
        <v>5984.6010933273892</v>
      </c>
      <c r="L99" s="629">
        <f>IF(F99="n/a","n/a",F99+K99)</f>
        <v>6645.8875387719499</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0.122</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0.122</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35789.556641475596</v>
      </c>
      <c r="C111" s="612" t="s">
        <v>1144</v>
      </c>
      <c r="D111" s="628">
        <f>IF(build1_need_cool,VLOOKUP(C111,build1_cool_options,12,FALSE),0)</f>
        <v>0</v>
      </c>
      <c r="E111" s="628">
        <f t="shared" ref="E111:E116" si="1">IF(OR(B111="n/a",D111="n/a"),"n/a",ROUND(B111+D111,0))</f>
        <v>35790</v>
      </c>
    </row>
    <row r="112" spans="1:12">
      <c r="A112" s="612" t="s">
        <v>725</v>
      </c>
      <c r="B112" s="628">
        <f>IF(build1_need_heat,VLOOKUP(A112,build1_heat_options,12,FALSE),0)</f>
        <v>20472.18201069114</v>
      </c>
      <c r="C112" s="612" t="s">
        <v>1144</v>
      </c>
      <c r="D112" s="628">
        <f>IF(build1_need_cool,VLOOKUP(C112,build1_cool_options,12,FALSE),0)</f>
        <v>0</v>
      </c>
      <c r="E112" s="628">
        <f t="shared" si="1"/>
        <v>20472</v>
      </c>
    </row>
    <row r="113" spans="1:5">
      <c r="A113" s="612" t="s">
        <v>726</v>
      </c>
      <c r="B113" s="628">
        <f>IF(build1_need_heat,VLOOKUP(A113,build1_heat_options,12,FALSE),0)</f>
        <v>19469.817880655217</v>
      </c>
      <c r="C113" s="612" t="s">
        <v>1144</v>
      </c>
      <c r="D113" s="628">
        <f>IF(build1_need_cool,VLOOKUP(C113,build1_cool_options,12,FALSE),0)</f>
        <v>0</v>
      </c>
      <c r="E113" s="628">
        <f t="shared" si="1"/>
        <v>19470</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2752.5333182800223</v>
      </c>
    </row>
    <row r="90" spans="1:5">
      <c r="A90" s="127" t="s">
        <v>490</v>
      </c>
      <c r="C90" s="13">
        <f>include_bond*(VLOOKUP(direct_cost,performance_bond_table_cl,3)+VLOOKUP(direct_cost,performance_bond_table_cl,4)*(direct_cost-VLOOKUP(direct_cost,performance_bond_table_cl,5)))</f>
        <v>11595.68623023536</v>
      </c>
      <c r="E90" s="7" t="s">
        <v>491</v>
      </c>
    </row>
    <row r="91" spans="1:5">
      <c r="A91" s="127" t="s">
        <v>492</v>
      </c>
      <c r="C91" s="396">
        <f>VLOOKUP(direct_cost,construction_mgt_table_cl,3)</f>
        <v>0.06</v>
      </c>
      <c r="E91" s="7" t="s">
        <v>493</v>
      </c>
    </row>
    <row r="92" spans="1:5">
      <c r="A92" s="127" t="s">
        <v>494</v>
      </c>
      <c r="C92" s="13">
        <f>IF(AND(design_type=1,ss_cat2=1),include_cm_pre,include_cm)*C91*direct_cost</f>
        <v>48574.117381412165</v>
      </c>
    </row>
    <row r="93" spans="1:5">
      <c r="A93" s="127" t="s">
        <v>495</v>
      </c>
      <c r="B93" s="3" t="s">
        <v>496</v>
      </c>
      <c r="C93" s="13">
        <f>SUM(C89:C90,C92)</f>
        <v>62922.336929927551</v>
      </c>
    </row>
    <row r="95" spans="1:5">
      <c r="A95" s="2" t="s">
        <v>3781</v>
      </c>
    </row>
    <row r="96" spans="1:5">
      <c r="A96" s="575" t="s">
        <v>3782</v>
      </c>
      <c r="B96" s="3" t="s">
        <v>3784</v>
      </c>
      <c r="C96" s="909">
        <f>Annualized_Capital_Cost/Annualized_Cost</f>
        <v>0.12063639290882214</v>
      </c>
    </row>
    <row r="97" spans="1:3">
      <c r="A97" s="575" t="s">
        <v>3783</v>
      </c>
      <c r="B97" s="3" t="s">
        <v>3785</v>
      </c>
      <c r="C97" s="909">
        <f>OM_cost/Annualized_Cost</f>
        <v>0.87936360709117789</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5" activePane="bottomLeft" state="frozen"/>
      <selection pane="bottomLeft"/>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Residuals Management</vt:lpstr>
      <vt:lpstr>Cost Data</vt:lpstr>
      <vt:lpstr>Indirect Assumptions</vt:lpstr>
      <vt:lpstr>Retrofit</vt:lpstr>
      <vt:lpstr>Contactor Constraints</vt:lpstr>
      <vt:lpstr>Backwash and Regeneration</vt:lpstr>
      <vt:lpstr>Pumps Pipe Structure</vt:lpstr>
      <vt:lpstr>Instrumentation and Control</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2025-03-11T00:10:32Z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