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https://cornellprod-my.sharepoint.com/personal/bw537_cornell_edu/Documents/1A-PFAS/work/Github/Market consideration/"/>
    </mc:Choice>
  </mc:AlternateContent>
  <xr:revisionPtr revIDLastSave="593" documentId="11_AD4DA82427541F7ACA7EB858A8CE1E606AE8DE1D" xr6:coauthVersionLast="47" xr6:coauthVersionMax="47" xr10:uidLastSave="{04B24232-D1DC-3D48-8B40-EDC8992C82C5}"/>
  <bookViews>
    <workbookView xWindow="30240" yWindow="500" windowWidth="38400" windowHeight="19680" activeTab="4" xr2:uid="{00000000-000D-0000-FFFF-FFFF00000000}"/>
  </bookViews>
  <sheets>
    <sheet name="Labor-transport-energy-dispoal" sheetId="3" r:id="rId1"/>
    <sheet name="labor for RO" sheetId="6" r:id="rId2"/>
    <sheet name="incineration" sheetId="4" r:id="rId3"/>
    <sheet name="transport" sheetId="1" r:id="rId4"/>
    <sheet name="electricity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AB59" i="3"/>
  <c r="AB60" i="3"/>
  <c r="AB61" i="3"/>
  <c r="AB62" i="3"/>
  <c r="AB63" i="3"/>
  <c r="AB64" i="3"/>
  <c r="AA58" i="3"/>
  <c r="AB58" i="3" s="1"/>
  <c r="J7" i="3"/>
  <c r="L6" i="3" l="1"/>
  <c r="J6" i="3"/>
  <c r="P6" i="6"/>
  <c r="L6" i="6"/>
  <c r="L7" i="6"/>
  <c r="L8" i="6"/>
  <c r="L9" i="6"/>
  <c r="L10" i="6"/>
  <c r="L11" i="6"/>
  <c r="L5" i="6"/>
  <c r="AC9" i="6"/>
  <c r="AC7" i="6"/>
  <c r="AC5" i="6"/>
  <c r="AA34" i="6"/>
  <c r="Z34" i="6"/>
  <c r="Y34" i="6"/>
  <c r="W34" i="6"/>
  <c r="V34" i="6"/>
  <c r="U34" i="6"/>
  <c r="S34" i="6"/>
  <c r="R34" i="6"/>
  <c r="Q34" i="6"/>
  <c r="O34" i="6"/>
  <c r="N34" i="6"/>
  <c r="M34" i="6"/>
  <c r="K34" i="6"/>
  <c r="J34" i="6"/>
  <c r="I34" i="6"/>
  <c r="G34" i="6"/>
  <c r="F34" i="6"/>
  <c r="E34" i="6"/>
  <c r="AA33" i="6"/>
  <c r="Z33" i="6"/>
  <c r="Y33" i="6"/>
  <c r="W33" i="6"/>
  <c r="V33" i="6"/>
  <c r="U33" i="6"/>
  <c r="S33" i="6"/>
  <c r="R33" i="6"/>
  <c r="Q33" i="6"/>
  <c r="O33" i="6"/>
  <c r="N33" i="6"/>
  <c r="M33" i="6"/>
  <c r="K33" i="6"/>
  <c r="J33" i="6"/>
  <c r="I33" i="6"/>
  <c r="G33" i="6"/>
  <c r="F33" i="6"/>
  <c r="E33" i="6"/>
  <c r="AA32" i="6"/>
  <c r="Z32" i="6"/>
  <c r="Y32" i="6"/>
  <c r="W32" i="6"/>
  <c r="V32" i="6"/>
  <c r="U32" i="6"/>
  <c r="S32" i="6"/>
  <c r="R32" i="6"/>
  <c r="Q32" i="6"/>
  <c r="O32" i="6"/>
  <c r="N32" i="6"/>
  <c r="M32" i="6"/>
  <c r="K32" i="6"/>
  <c r="J32" i="6"/>
  <c r="I32" i="6"/>
  <c r="G32" i="6"/>
  <c r="F32" i="6"/>
  <c r="E32" i="6"/>
  <c r="AA31" i="6"/>
  <c r="Z31" i="6"/>
  <c r="Y31" i="6"/>
  <c r="W31" i="6"/>
  <c r="V31" i="6"/>
  <c r="U31" i="6"/>
  <c r="S31" i="6"/>
  <c r="R31" i="6"/>
  <c r="Q31" i="6"/>
  <c r="O31" i="6"/>
  <c r="N31" i="6"/>
  <c r="M31" i="6"/>
  <c r="K31" i="6"/>
  <c r="J31" i="6"/>
  <c r="I31" i="6"/>
  <c r="G31" i="6"/>
  <c r="F31" i="6"/>
  <c r="E31" i="6"/>
  <c r="AA30" i="6"/>
  <c r="Z30" i="6"/>
  <c r="Y30" i="6"/>
  <c r="W30" i="6"/>
  <c r="V30" i="6"/>
  <c r="U30" i="6"/>
  <c r="S30" i="6"/>
  <c r="R30" i="6"/>
  <c r="Q30" i="6"/>
  <c r="O30" i="6"/>
  <c r="N30" i="6"/>
  <c r="M30" i="6"/>
  <c r="K30" i="6"/>
  <c r="J30" i="6"/>
  <c r="I30" i="6"/>
  <c r="G30" i="6"/>
  <c r="F30" i="6"/>
  <c r="E30" i="6"/>
  <c r="AA29" i="6"/>
  <c r="Z29" i="6"/>
  <c r="Y29" i="6"/>
  <c r="W29" i="6"/>
  <c r="V29" i="6"/>
  <c r="U29" i="6"/>
  <c r="S29" i="6"/>
  <c r="R29" i="6"/>
  <c r="Q29" i="6"/>
  <c r="O29" i="6"/>
  <c r="N29" i="6"/>
  <c r="M29" i="6"/>
  <c r="K29" i="6"/>
  <c r="J29" i="6"/>
  <c r="I29" i="6"/>
  <c r="G29" i="6"/>
  <c r="F29" i="6"/>
  <c r="E29" i="6"/>
  <c r="AA28" i="6"/>
  <c r="Z28" i="6"/>
  <c r="Y28" i="6"/>
  <c r="W28" i="6"/>
  <c r="V28" i="6"/>
  <c r="U28" i="6"/>
  <c r="S28" i="6"/>
  <c r="R28" i="6"/>
  <c r="Q28" i="6"/>
  <c r="O28" i="6"/>
  <c r="N28" i="6"/>
  <c r="M28" i="6"/>
  <c r="K28" i="6"/>
  <c r="J28" i="6"/>
  <c r="I28" i="6"/>
  <c r="G28" i="6"/>
  <c r="F28" i="6"/>
  <c r="E28" i="6"/>
  <c r="AA27" i="6"/>
  <c r="Z27" i="6"/>
  <c r="Y27" i="6"/>
  <c r="W27" i="6"/>
  <c r="V27" i="6"/>
  <c r="U27" i="6"/>
  <c r="S27" i="6"/>
  <c r="R27" i="6"/>
  <c r="Q27" i="6"/>
  <c r="O27" i="6"/>
  <c r="N27" i="6"/>
  <c r="M27" i="6"/>
  <c r="K27" i="6"/>
  <c r="J27" i="6"/>
  <c r="I27" i="6"/>
  <c r="G27" i="6"/>
  <c r="F27" i="6"/>
  <c r="E27" i="6"/>
  <c r="Z11" i="6"/>
  <c r="Y11" i="6"/>
  <c r="P11" i="6"/>
  <c r="F11" i="6"/>
  <c r="Z10" i="6"/>
  <c r="Y10" i="6"/>
  <c r="P10" i="6"/>
  <c r="B10" i="6"/>
  <c r="Z9" i="6"/>
  <c r="Y9" i="6"/>
  <c r="P9" i="6"/>
  <c r="F9" i="6"/>
  <c r="Z8" i="6"/>
  <c r="Y8" i="6"/>
  <c r="P8" i="6"/>
  <c r="F8" i="6"/>
  <c r="B8" i="6"/>
  <c r="Z7" i="6"/>
  <c r="Y7" i="6"/>
  <c r="P7" i="6"/>
  <c r="F7" i="6"/>
  <c r="B7" i="6"/>
  <c r="Z6" i="6"/>
  <c r="Y6" i="6"/>
  <c r="F6" i="6"/>
  <c r="Z5" i="6"/>
  <c r="Y5" i="6"/>
  <c r="F5" i="6"/>
  <c r="D3" i="4" l="1"/>
  <c r="H5" i="3"/>
  <c r="H10" i="3" s="1"/>
  <c r="C4" i="4"/>
  <c r="C5" i="4"/>
  <c r="C6" i="4"/>
  <c r="C7" i="4"/>
  <c r="C8" i="4"/>
  <c r="C9" i="4"/>
  <c r="C10" i="4"/>
  <c r="H6" i="3" l="1"/>
  <c r="H7" i="3"/>
  <c r="H11" i="3"/>
  <c r="H9" i="3"/>
  <c r="H8" i="3"/>
  <c r="Z6" i="3"/>
  <c r="Z7" i="3"/>
  <c r="Z8" i="3"/>
  <c r="Z9" i="3"/>
  <c r="Z10" i="3"/>
  <c r="Z11" i="3"/>
  <c r="Z5" i="3"/>
  <c r="N11" i="3" l="1"/>
  <c r="N7" i="3"/>
  <c r="N8" i="3"/>
  <c r="N9" i="3"/>
  <c r="N10" i="3"/>
  <c r="N6" i="3"/>
  <c r="L7" i="3"/>
  <c r="L8" i="3"/>
  <c r="L9" i="3"/>
  <c r="L10" i="3"/>
  <c r="L11" i="3"/>
  <c r="J8" i="3"/>
  <c r="J9" i="3"/>
  <c r="J10" i="3"/>
  <c r="J11" i="3"/>
  <c r="P7" i="3" l="1"/>
  <c r="P8" i="3"/>
  <c r="P9" i="3"/>
  <c r="P10" i="3"/>
  <c r="P11" i="3"/>
  <c r="P6" i="3"/>
  <c r="F6" i="3" l="1"/>
  <c r="F7" i="3" l="1"/>
  <c r="F8" i="3"/>
  <c r="F9" i="3"/>
  <c r="F11" i="3"/>
  <c r="F5" i="3"/>
  <c r="Y6" i="3"/>
  <c r="Y7" i="3"/>
  <c r="Y8" i="3"/>
  <c r="Y9" i="3"/>
  <c r="Y10" i="3"/>
  <c r="Y11" i="3"/>
  <c r="Y5" i="3"/>
  <c r="Y28" i="3"/>
  <c r="Z28" i="3"/>
  <c r="AA28" i="3"/>
  <c r="Y29" i="3"/>
  <c r="Z29" i="3"/>
  <c r="AA29" i="3"/>
  <c r="Y30" i="3"/>
  <c r="Z30" i="3"/>
  <c r="AA30" i="3"/>
  <c r="Y31" i="3"/>
  <c r="Z31" i="3"/>
  <c r="AA31" i="3"/>
  <c r="Y32" i="3"/>
  <c r="Z32" i="3"/>
  <c r="AA32" i="3"/>
  <c r="Y33" i="3"/>
  <c r="Z33" i="3"/>
  <c r="AA33" i="3"/>
  <c r="Y34" i="3"/>
  <c r="Z34" i="3"/>
  <c r="AA34" i="3"/>
  <c r="Z27" i="3"/>
  <c r="AA27" i="3"/>
  <c r="Y27" i="3"/>
  <c r="U28" i="3"/>
  <c r="V28" i="3"/>
  <c r="W28" i="3"/>
  <c r="U29" i="3"/>
  <c r="V29" i="3"/>
  <c r="W29" i="3"/>
  <c r="U30" i="3"/>
  <c r="V30" i="3"/>
  <c r="W30" i="3"/>
  <c r="U31" i="3"/>
  <c r="V31" i="3"/>
  <c r="W31" i="3"/>
  <c r="U32" i="3"/>
  <c r="V32" i="3"/>
  <c r="W32" i="3"/>
  <c r="U33" i="3"/>
  <c r="V33" i="3"/>
  <c r="W33" i="3"/>
  <c r="U34" i="3"/>
  <c r="V34" i="3"/>
  <c r="W34" i="3"/>
  <c r="V27" i="3"/>
  <c r="W27" i="3"/>
  <c r="U27" i="3"/>
  <c r="Q28" i="3"/>
  <c r="R28" i="3"/>
  <c r="S28" i="3"/>
  <c r="Q29" i="3"/>
  <c r="R29" i="3"/>
  <c r="S29" i="3"/>
  <c r="Q30" i="3"/>
  <c r="R30" i="3"/>
  <c r="S30" i="3"/>
  <c r="Q31" i="3"/>
  <c r="R31" i="3"/>
  <c r="S31" i="3"/>
  <c r="Q32" i="3"/>
  <c r="R32" i="3"/>
  <c r="S32" i="3"/>
  <c r="Q33" i="3"/>
  <c r="R33" i="3"/>
  <c r="S33" i="3"/>
  <c r="Q34" i="3"/>
  <c r="R34" i="3"/>
  <c r="S34" i="3"/>
  <c r="R27" i="3"/>
  <c r="S27" i="3"/>
  <c r="Q27" i="3"/>
  <c r="M28" i="3"/>
  <c r="N28" i="3"/>
  <c r="O28" i="3"/>
  <c r="M29" i="3"/>
  <c r="N29" i="3"/>
  <c r="O29" i="3"/>
  <c r="M30" i="3"/>
  <c r="N30" i="3"/>
  <c r="O30" i="3"/>
  <c r="M31" i="3"/>
  <c r="N31" i="3"/>
  <c r="O31" i="3"/>
  <c r="M32" i="3"/>
  <c r="N32" i="3"/>
  <c r="O32" i="3"/>
  <c r="M33" i="3"/>
  <c r="N33" i="3"/>
  <c r="O33" i="3"/>
  <c r="M34" i="3"/>
  <c r="N34" i="3"/>
  <c r="O34" i="3"/>
  <c r="N27" i="3"/>
  <c r="O27" i="3"/>
  <c r="M27" i="3"/>
  <c r="I28" i="3"/>
  <c r="J28" i="3"/>
  <c r="K28" i="3"/>
  <c r="I29" i="3"/>
  <c r="J29" i="3"/>
  <c r="K29" i="3"/>
  <c r="I30" i="3"/>
  <c r="J30" i="3"/>
  <c r="K30" i="3"/>
  <c r="I31" i="3"/>
  <c r="J31" i="3"/>
  <c r="K31" i="3"/>
  <c r="I32" i="3"/>
  <c r="J32" i="3"/>
  <c r="K32" i="3"/>
  <c r="I33" i="3"/>
  <c r="J33" i="3"/>
  <c r="K33" i="3"/>
  <c r="I34" i="3"/>
  <c r="J34" i="3"/>
  <c r="K34" i="3"/>
  <c r="J27" i="3"/>
  <c r="K27" i="3"/>
  <c r="I27" i="3"/>
  <c r="E27" i="3"/>
  <c r="E28" i="3"/>
  <c r="F28" i="3"/>
  <c r="G28" i="3"/>
  <c r="E29" i="3"/>
  <c r="F29" i="3"/>
  <c r="G29" i="3"/>
  <c r="E30" i="3"/>
  <c r="F30" i="3"/>
  <c r="G30" i="3"/>
  <c r="E31" i="3"/>
  <c r="F31" i="3"/>
  <c r="G31" i="3"/>
  <c r="E32" i="3"/>
  <c r="F32" i="3"/>
  <c r="G32" i="3"/>
  <c r="E33" i="3"/>
  <c r="F33" i="3"/>
  <c r="G33" i="3"/>
  <c r="E34" i="3"/>
  <c r="F34" i="3"/>
  <c r="G34" i="3"/>
  <c r="F27" i="3"/>
  <c r="G27" i="3"/>
  <c r="B10" i="3" l="1"/>
  <c r="B8" i="3"/>
  <c r="B7" i="3"/>
</calcChain>
</file>

<file path=xl/sharedStrings.xml><?xml version="1.0" encoding="utf-8"?>
<sst xmlns="http://schemas.openxmlformats.org/spreadsheetml/2006/main" count="535" uniqueCount="163">
  <si>
    <t>The united states</t>
    <phoneticPr fontId="1" type="noConversion"/>
  </si>
  <si>
    <t>China</t>
    <phoneticPr fontId="1" type="noConversion"/>
  </si>
  <si>
    <t>Japan</t>
    <phoneticPr fontId="1" type="noConversion"/>
  </si>
  <si>
    <t>South Korea</t>
    <phoneticPr fontId="1" type="noConversion"/>
  </si>
  <si>
    <t>Germany</t>
    <phoneticPr fontId="1" type="noConversion"/>
  </si>
  <si>
    <t>Vietnam</t>
    <phoneticPr fontId="1" type="noConversion"/>
  </si>
  <si>
    <t>India</t>
    <phoneticPr fontId="1" type="noConversion"/>
  </si>
  <si>
    <t>Electricity</t>
    <phoneticPr fontId="1" type="noConversion"/>
  </si>
  <si>
    <t>labor</t>
    <phoneticPr fontId="1" type="noConversion"/>
  </si>
  <si>
    <t>$ kwh</t>
    <phoneticPr fontId="1" type="noConversion"/>
  </si>
  <si>
    <t>$/t/km</t>
    <phoneticPr fontId="1" type="noConversion"/>
  </si>
  <si>
    <t>https://www.globalpetrolprices.com/electricity_prices/</t>
  </si>
  <si>
    <t>https://doi.org/10.1038/s41586-020-2448-9</t>
  </si>
  <si>
    <t>Current international $</t>
    <phoneticPr fontId="1" type="noConversion"/>
  </si>
  <si>
    <t>Transport (electricity vehicle)</t>
    <phoneticPr fontId="1" type="noConversion"/>
  </si>
  <si>
    <t>Om</t>
    <phoneticPr fontId="1" type="noConversion"/>
  </si>
  <si>
    <t xml:space="preserve">https://finance.sina.com.cn/roll/2024-09-16/doc-incpifhu3923087.shtml#:~:text=%E2%80%94%E2%80%94%E5%8D%B1%E5%BA%9F%E7%84%9A%E7%83%A7%E5%A4%84%E7%90%86%E4%BB%B7%E6%A0%BC%EF%BC%9A%E7%BA%A63000%E5%85%83%2F%E5%90%A8 </t>
    <phoneticPr fontId="1" type="noConversion"/>
  </si>
  <si>
    <t>https://www.dai-tou.com/marketprice/industrial-waste#:~:text=%E6%B1%9A%E6%B3%A5%2025%2C000%E5%86%86%2F%E3%83%88%E3%83%B3%2015%2C000%E5%86%86%2F%E3%83%88%E3%83%B3%2019%2C000%E5%86%86%2F%E3%83%88%E3%83%B3%20%E7%9F%B3,55%2C000%E5%86%86%2F%E3%83%88%E3%83%B3%20%E3%81%B0%E3%81%84%E3%81%98%E3%82%93%2070%2C000%E5%86%86%2F%E3%83%88%E3%83%B3%2016%2C000%E5%86%86%2F%E3%83%88%E3%83%B3%2034%2C000%E5%86%86%2F%E3%83%88%E3%83%B3</t>
  </si>
  <si>
    <t>https://www.crwi.org/textfiles/wasman.htm#:~:text=situation%20where%20there%20is%20over,fluctuate%20based%20on%20the%20health</t>
  </si>
  <si>
    <t>estimate, lack data</t>
    <phoneticPr fontId="1" type="noConversion"/>
  </si>
  <si>
    <t>GAC</t>
    <phoneticPr fontId="1" type="noConversion"/>
  </si>
  <si>
    <t>IXR</t>
    <phoneticPr fontId="1" type="noConversion"/>
  </si>
  <si>
    <t>Membrane</t>
    <phoneticPr fontId="1" type="noConversion"/>
  </si>
  <si>
    <t>Basic price</t>
    <phoneticPr fontId="1" type="noConversion"/>
  </si>
  <si>
    <t>$/ton</t>
    <phoneticPr fontId="1" type="noConversion"/>
  </si>
  <si>
    <t>NaCl, powder</t>
    <phoneticPr fontId="1" type="noConversion"/>
  </si>
  <si>
    <t>Methanol</t>
    <phoneticPr fontId="1" type="noConversion"/>
  </si>
  <si>
    <t>Water</t>
    <phoneticPr fontId="1" type="noConversion"/>
  </si>
  <si>
    <t>$/kg</t>
    <phoneticPr fontId="1" type="noConversion"/>
  </si>
  <si>
    <t>https://businessanalytiq.com/procurementanalytics/index/activated-carbon-prices/</t>
  </si>
  <si>
    <t xml:space="preserve">https://www.imarcgroup.com/activated-carbon-pricing-report#:~:text=The%20price%20trend%20for%20activated,an%20overall%20optimistic%20market%20sentiment </t>
    <phoneticPr fontId="1" type="noConversion"/>
  </si>
  <si>
    <t>https://www.indexbox.io/search/activated-carbon-price-japan/#:~:text=Activated%20Carbon%20Price%20in%20Japan,2023</t>
  </si>
  <si>
    <t>https://www.indexbox.io/search/activated-carbon-price-south-korea/#:~:text=Activated%20Carbon%20Price%20in%20South,2023</t>
  </si>
  <si>
    <t>https://www.imarcgroup.com/activated-carbon-pricing-report#:~:text=Category%20Region%20Price%20Activated%20Carbon,Specialty%20Chemical%20Germany%202388%20USD%2FMT</t>
  </si>
  <si>
    <t>https://www.indexbox.io/search/activated-carbon-price-vietnam/#:~:text=Activated%20Carbon%20Price%20in%20Vietnam,2023</t>
  </si>
  <si>
    <t>https://www.indexbox.io/blog/india-activated-carbon-exports-2023/#:~:text=Export%20Prices%20by%20Country</t>
    <phoneticPr fontId="1" type="noConversion"/>
  </si>
  <si>
    <t>https://www.hangyan.co/charts/3518217798490784787#:~:text=%E5%9B%BD%E5%86%85%E8%A1%8C%E4%B8%9A%E5%BF%AB%E9%80%9F%E5%8F%91%E5%B1%95%EF%BC%8C%E9%AB%98%E7%AB%AF%E4%BA%A7%E5%93%81%E4%BB%8D%E4%BE%9D%E8%B5%96%E8%BF%9B%E5%8F%A3%E3%80%82%E6%88%91%E5%9B%BD%E7%A6%BB%E5%AD%90%E4%BA%A4%E6%8D%A2%E6%A0%91%E8%84%82%E8%BF%9B%E5%87%BA%E5%8F%A3%E5%B8%82%E5%9C%BA%E5%91%88%E7%8E%B0%E5%87%BA%E5%87%BA%E5%8F%A3%E9%87%8F%E8%BF%9C%E9%AB%98%E4%BA%8E%E8%BF%9B%E5%8F%A3%E9%87%8F%EF%BC%8C%E5%87%BA%E5%8F%A3%E4%BB%B7%E6%A0%BC%E5%8D%B4%E8%BF%9C%E4%BD%8E%E4%BA%8E%E8%BF%9B%E5%8F%A3%E4%BB%B7%E6%A0%BC%E7%9A%84%E7%89%B9%E7%82%B9%EF%BC%8C2023%20%E5%B9%B4%E4%B8%AD%E5%9B%BD%E7%A6%BB%E5%AD%90%E4%BA%A4%E6%8D%A2%E6%A0%91%E8%84%82%E5%87%BA%E5%8F%A3%E9%87%8F%2014,2422%20%E7%BE%8E%E5%85%83%2F%E5%90%A8%EF%BC%8C%E8%BF%9B%E5%8F%A3%E5%9D%87%E4%BB%B7%E7%BA%A6%E4%B8%BA%E5%87%BA%E5%8F%A3%E5%9D%87%E4%BB%B7%E7%9A%84%204%20%E5%80%8D%EF%BC%8C%E9%AB%98%E7%AB%AF%E4%BA%A7%E5%93%81%E5%B0%9A%E6%9C%89%E8%BE%83%E5%A4%A7%E7%9A%84%E8%BF%9B%E5%8F%A3%E6%9B%BF%E4%BB%A3%E6%9C%BA%E4%BC%9A%E3%80%82%E8%BF%91%E5%B9%B4%E6%9D%A5%EF%BC%8C%E4%B8%BA%E7%AA%81%E7%A0%B4%E2%80%9C%E5%8D%A1%E8%84%96%E5%AD%90%E2%80%9D%E7%9A%84%E6%8A%80%E6%9C%AF%E9%99%90%E5%88%B6%EF%BC%8C%E5%9B%BD%E5%AE%B6%E5%AF%B9%E6%96%B0%E6%9D%90%E6%96%99%E3%80%81%E9%AB%98%E7%AB%AF%E4%BA%A7%E4%B8%9A%E5%A4%A7%E5%8A%9B%E6%94%AF%E6%8C%81%EF%BC%8C%E6%94%BF%E7%AD%96%E6%8E%A8%E5%8A%A8%E4%B8%8B%E8%A1%8C%E4%B8%9A%E5%8F%91%E5%B1%95%E8%BF%85%E9%80%9F%EF%BC%8C%E5%9B%BD%E4%BA%A7%E6%9D%90%E6%96%99%E6%80%A7%E8%83%BD%E3%80%81%E7%94%9F%E4%BA%A7%E5%B7%A5%E8%89%BA%E4%B9%9F%E4%B8%8D%E6%96%AD%20%E6%8F%90%E9%AB%98%EF%BC%8C%E5%9B%BD%E4%BA%A7%E4%BA%A7%E5%93%81%E7%9A%84%E5%BA%94%E7%94%A8%E9%A2%86%E5%9F%9F%E4%B9%9F%E9%80%90%E6%B8%90%E4%BB%8E%E5%B7%A5%E4%B8%9A%E6%B0%B4%E5%A4%84%E7%90%86%E9%A2%86%E5%9F%9F%E6%8B%93%E5%B1%95%E5%88%B0%E9%A3%9F%E5%93%81%E3%80%81%E6%A0%B8%E5%B7%A5%E4%B8%9A%E3%80%81</t>
  </si>
  <si>
    <t>https://samcotech.com/how-much-does-it-cost-to-buy-maintain-and-dispose-of-ion-exchange-resins/#:~:text=performance%20characteristics,cubic%20foot%20for%20SBA%2FWBA%20resins</t>
  </si>
  <si>
    <t>https://b2b.baidu.com/land?id=04c99412b1a5b38969b0812f11daa5cc10#:~:text=%E6%97%A5%E6%9C%AC%E4%B8%89%E8%8F%B1%E5%8C%96%E5%B7%A5%20DIAION%20UBA100%20%E5%BC%BA%E7%A2%B1%E9%98%B4%E7%A6%BB%E5%AD%90%E4%BA%A4%E6%8D%A2%E6%A0%91%E8%84%82%20%E9%80%9A%E7%94%A8%E5%9E%8B%E6%B7%B7%E5%BA%8A%E9%98%B4%E6%A0%91%E8%84%82,</t>
  </si>
  <si>
    <t>https://www.samyangcorp.com/en/chemical-business/ion-exchange-resins#:~:text=Lon%20Exchange%20Resin%20,and%20ultrapure%20water%20for</t>
  </si>
  <si>
    <t>https://www.vietnamtrades.com/vietnam-import-data/ion-exchange-resin.html#:~:text=RESINEX%20K,2kgs</t>
  </si>
  <si>
    <t>https://www.hangyan.co/charts/3518217798490784787#:~:text=%E5%9B%BD%E5%86%85%E8%A1%8C%E4%B8%9A%E5%BF%AB%E9%80%9F%E5%8F%91%E5%B1%95%EF%BC%8C%E9%AB%98%E7%AB%AF%E4%BA%A7%E5%93%81%E4%BB%8D%E4%BE%9D%E8%B5%96%E8%BF%9B%E5%8F%A3%E3%80%82%E6%88%91%E5%9B%BD%E7%A6%BB%E5%AD%90%E4%BA%A4%E6%8D%A2%E6%A0%91%E8%84%82%E8%BF%9B%E5%87%BA%E5%8F%A3%E5%B8%82%E5%9C%BA%E5%91%88%E7%8E%B0%E5%87%BA%E5%87%BA%E5%8F%A3%E9%87%8F%E8%BF%9C%E9%AB%98%E4%BA%8E%E8%BF%9B%E5%8F%A3%E9%87%8F%EF%BC%8C%E5%87%BA%E5%8F%A3%E4%BB%B7%E6%A0%BC%E5%8D%B4%E8%BF%9C%E4%BD%8E%E4%BA%8E%E8%BF%9B%E5%8F%A3%E4%BB%B7%E6%A0%BC%E7%9A%84%E7%89%B9%E7%82%B9%EF%BC%8C2023%20%E5%B9%B4%E4%B8%AD%E5%9B%BD%E7%A6%BB%E5%AD%90%E4%BA%A4%E6%8D%A2%E6%A0%91%E8%84%82%E5%87%BA%E5%8F%A3%E9%87%8F%2014,2422%20%E7%BE%8E%E5%85%83%2F%E5%90%A8%EF%BC%8C%E8%BF%9B%E5%8F%A3%E5%9D%87%E4%BB%B7%E7%BA%A6%E4%B8%BA%E5%87%BA%E5%8F%A3%E5%9D%87%E4%BB%B7%E7%9A%84%204%20%E5%80%8D%EF%BC%8C%E9%AB%98%E7%AB%AF%E4%BA%A7%E5%93%81%E5%B0%9A%E6%9C%89%E8%BE%83%E5%A4%A7%E7%9A%84%E8%BF%9B%E5%8F%A3%E6%9B%BF%E4%BB%A3%E6%9C%BA%E4%BC%9A%E3%80%82%E8%BF%91%E5%B9%B4%E6%9D%A5%EF%BC%8C%E4%B8%BA%E7%AA%81%E7%A0%B4%E2%80%9C%E5%8D%A1%E8%84%96%E5%AD%90%E2%80%9D%E7%9A%84%E6%8A%80%E6%9C%AF%E9%99%90%E5%88%B6%EF%BC%8C%E5%9B%BD%E5%AE%B6%E5%AF%B9%E6%96%B0%E6%9D%90%E6%96%99%E3%80%81%E9%AB%98%E7%AB%AF%E4%BA%A7%E4%B8%9A%E5%A4%A7%E5%8A%9B%E6%94%AF%E6%8C%81%EF%BC%8C%E6%94%BF%E7%AD%96%E6%8E%A8%E5%8A%A8%E4%B8%8B%E8%A1%8C%E4%B8%9A%E5%8F%91%E5%B1%95%E8%BF%85%E9%80%9F%EF%BC%8C%E5%9B%BD%E4%BA%A7%E6%9D%90%E6%96%99%E6%80%A7%E8%83%BD%E3%80%81%E7%94%9F%E4%BA%A7%E5%B7%A5%E8%89%BA%E4%B9%9F%E4%B8%8D%E6%96%AD%20%E6%8F%90%E9%AB%98%EF%BC%8C%E5%9B%BD%E4%BA%A7%E4%BA%A7%E5%93%81%E7%9A%84%E5%BA%94%E7%94%A8%E9%A2%86%E5%9F%9F%E4%B9%9F%E9%80%90%E6%B8%90%E4%BB%8E%E5%B7%A5%E4%B8%9A%E6%B0%B4%E5%A4%84%E7%90%86%E9%A2%86%E5%9F%9F%E6%8B%93%E5%B1%95%E5%88%B0%E9%A3%9F%E5%93%81%E3%80%81%E6%A0%B8%E5%B7%A5%E4%B8%9A%E3%80%81</t>
    <phoneticPr fontId="1" type="noConversion"/>
  </si>
  <si>
    <t>https://lanxess.com/en/media/press-releases/2022/12/lanxess-increases-prices-for-ion-exchange-resins-and-iron-oxide-adsorbers#:~:text=Specialty%20chemicals%20company%20LANXESS%20will,Customers%20will%20be%20informed%20individually</t>
  </si>
  <si>
    <t>https://www.zauba.com/import-ANION+EXCHANGE+RESIN-hs-code.html#:~:text=Anion%20Exchange%20Resin%20worth%20%243%2C805%2C746,were%20imported%20from%209%20countries</t>
  </si>
  <si>
    <t>https://doi.org/10.1016/j.watres.2023.120324</t>
  </si>
  <si>
    <t>https://nbhautek.en.made-in-china.com/product/HjRQAevTIJkn/China-Filmtec-Membrane-Bw30-400.html</t>
  </si>
  <si>
    <t>https://www.filterwater.com/p-741-dow-filmtec-bw30-400-ro-membrane-10500-gpd.aspx</t>
  </si>
  <si>
    <t>740-815</t>
    <phoneticPr fontId="1" type="noConversion"/>
  </si>
  <si>
    <t>https://hydrocomponents.us/products/bw30-400-filmtec-dow-dupont-membranes?srsltid=AfmBOoqvizWo5WT4G4pTw5ZQ-opyEmhKE1_MzjVrcmhfX1U9Q8dl1mrN</t>
  </si>
  <si>
    <t>https://www.shuitianlan.com/common/2826.html#:~:text=BW30%20PRO,00%E5%85%83%2F%E6%94%AF%EF%BC%88%E5%90%AB%E7%A8%8E%E8%BF%90%EF%BC%89%E3%80%82%E8%BF%99%E4%B8%AA%E4%BB%B7%E6%A0%BC%E6%98%AF%E5%9F%BA%E4%BA%8E%E5%A4%9A%E9%87%8D%E5%9B%A0%E7%B4%A0%E8%BF%9B%E8%A1%8C%E7%9A%84%E6%8A%A5%E4%BB%B7%EF%BC%8C%E9%9C%80%E8%A6%81%E6%B3%A8%E6%84%8F%E7%9A%84%E6%98%AF%EF%BC%8C%E5%85%B7%E4%BD%93%E7%9A%84%E4%BB%B7%E6%A0%BC%E5%8F%AF%E8%83%BD%E4%BC%9A%E5%9B%A0%E4%B8%BA%E5%A4%9A%20%E7%A7%8D%E5%9B%A0%E7%B4%A0%E8%80%8C%E6%9C%89%E6%89%80%E6%B5%AE%E5%8A%A8%E3%80%82%E5%85%B6%E4%BB%B7%E6%A0%BC%E5%BD%B1%E5%93%8D%E5%9B%A0%E7%B4%A0%E5%8C%85%E6%8B%AC%E4%BD%86%E4%B8%8D%E9%99%90%E4%BA%8E%E4%B8%8D%E5%90%8C%E7%9A%84%E7%BB%8F%E9%94%80%E5%95%86%E3%80%81%E5%B8%82%E5%9C%BA%E4%BE%9B%E6%B1%82%E5%85%B3%E7%B3%BB%E3%80%81%E8%B4%AD%E4%B9%B0%E6%95%B0%E9%87%8F%E4%BB%A5%E5%8F%8A%E5%8E%82%E5%AE%B6%E8%B0%83%E6%95%B4%E7%AD%89%E3%80%82%E9%82%A3%E4%B9%88%E8%BF%99%E4%BA%9B%E5%9B%A0%E7%B4%A0%E6%98%AF%E5%A6%82%E4%BD%95%E5%BD%B1%E5%93%8D%E5%85%B6%E4%BB%B7%E6%A0%BC%2F%E6%8A%A5%E4%BB%B7%E7%9A%84%E5%91%A2%EF%BC%9F</t>
  </si>
  <si>
    <t>800-1000</t>
    <phoneticPr fontId="1" type="noConversion"/>
  </si>
  <si>
    <t>https://ja.chunkerowaterplant.com/news/difference-between-8040-ro-membrane-and-4040-ro-membrane#:~:text=%E4%BD%8E%E4%BE%A1%E6%A0%BC%E9%99%90%E5%A4%96%E3%82%8D%E9%81%8EUF%E6%B0%B4%E5%87%A6%E7%90%86%E3%82%B7%E3%82%B9%E3%83%86%E3%83%A0%E8%B3%BC%E8%B2%B7%2C8040%20%E3%83%AD%20%E8%86%9C%E3%81%A8%204040%20%E3%83%AD,8040%20ro%E8%86%9C%E3%81%AE%E4%BE%A1%E6%A0%BC%EF%BC%9A%208040%E8%86%9C%E3%81%AF%E9%9D%A2%E7%A9%8D%E3%81%8C%E5%A4%A7%E3%81%8D%E3%81%8F%E3%80%81%E5%87%A6%E7%90%86%E8%83%BD%E5%8A%9B%E3%81%8C%E5%BC%B7%E3%81%84%E3%81%9F%E3%82%81%E3%80%81%E9%80%9A%E5%B8%B8%E3%81%AF%E4%BE%A1%E6%A0%BC%E3%81%8C%E9%AB%98%E3%81%8F%E3%81%AA%E3%82%8A%E3%81%BE%E3%81%99%E3%80%82%E5%B8%82%E5%A0%B4%E3%81%A7%E3%81%AF%E3%80%818040%20ro%E8%86%9C%E3%81%AE%E4%BE%A1%E6%A0%BC%E3%81%AF500%E3%83%89%E3%83%AB%E3%81%8B%E3%82%891500%E3%83%89%E3%83%AB%E3%81%AE%E7%AF%84%E5%9B%B2%E3%81%A7%E3%80%81%E5%85%B7%E4%BD%93%E7%9A%84%E3%81%AA%E4%BE%A1%E6%A0%BC%E3%81%AF%E3%83%96%E3%83%A9%E3%83%B3%E3%83%89%E3%80%81%E3%83%A2%E3%83%87%E3%83%AB%E3%80%81%E6%80%A7%E8%83%BD%E3%81%AB%E3%82%88%E3%81%A3%E3%81%A6%E7%95%B0%E3%81%AA%E3%82%8A%E3%81%BE%E3%81%99%E3%80%82</t>
  </si>
  <si>
    <t>https://water777.co.kr/goods/view?no=235088#:~:text=%2A%205</t>
  </si>
  <si>
    <t>https://otb.vn/mang-loc-ro-dopont-filmtec-bw30-pro-400.html#:~:text=Mi%E1%BB%85n%20ph%C3%AD%3A%20%28</t>
  </si>
  <si>
    <t>900-1200</t>
    <phoneticPr fontId="1" type="noConversion"/>
  </si>
  <si>
    <t>https://www.wasseraufbereitung-shop24.de/de/umkehrosmose-membranelement-dupont-filmtec-BW30-400#:~:text=shop24.de%20%20Die%20FILMTEC%20BW30,DVGW%20Enth%C3%A4rtungsanlage%20mit%20Zubeh%C3%B6r%20Inkl</t>
  </si>
  <si>
    <t>https://www.rotraders.com/membranes/ro-membrane/#:~:text=There%20are%2050%2B%20RO%20Membrane,8040%20CPA%205%20LD</t>
  </si>
  <si>
    <t>2 million one day</t>
    <phoneticPr fontId="1" type="noConversion"/>
  </si>
  <si>
    <t>https://www.sustainalytics.com/esg-research/resource/investors-esg-blog/waste-not-want-not-water-use-in-the-semiconductor-industry</t>
  </si>
  <si>
    <t>capacity</t>
    <phoneticPr fontId="1" type="noConversion"/>
  </si>
  <si>
    <t>Technical Rate (Loaded)</t>
  </si>
  <si>
    <t>Managerial Rate (Loaded)</t>
  </si>
  <si>
    <t>Clerical Rate (Loaded)</t>
  </si>
  <si>
    <t>Basci laber cost(US, the basic results of the WBS model)</t>
    <phoneticPr fontId="1" type="noConversion"/>
  </si>
  <si>
    <t>$/kwh</t>
    <phoneticPr fontId="1" type="noConversion"/>
  </si>
  <si>
    <t>https://www.globalpetrolprices.com/natural_gas_prices/</t>
  </si>
  <si>
    <t>Price of nature gas 2024</t>
    <phoneticPr fontId="1" type="noConversion"/>
  </si>
  <si>
    <t>haz_transport</t>
  </si>
  <si>
    <t>haz_transport</t>
    <phoneticPr fontId="1" type="noConversion"/>
  </si>
  <si>
    <t>ton/mile</t>
  </si>
  <si>
    <t>ton/mile</t>
    <phoneticPr fontId="1" type="noConversion"/>
  </si>
  <si>
    <t>Hazardous waste minimum charge per shipment</t>
  </si>
  <si>
    <t>/shipment</t>
  </si>
  <si>
    <t>/shipment</t>
    <phoneticPr fontId="1" type="noConversion"/>
  </si>
  <si>
    <t>from initial molde of EPA WBS</t>
  </si>
  <si>
    <t>from initial molde of EPA WBS</t>
    <phoneticPr fontId="1" type="noConversion"/>
  </si>
  <si>
    <t xml:space="preserve">https://data.worldbank.org/indicator/ny.gnp.pcap.pp.cd?end=2023&amp;name_desc=false&amp;start=1990 </t>
    <phoneticPr fontId="1" type="noConversion"/>
  </si>
  <si>
    <t>non-haz_transport</t>
  </si>
  <si>
    <t>non-haz_transport</t>
    <phoneticPr fontId="1" type="noConversion"/>
  </si>
  <si>
    <t>$/lb</t>
  </si>
  <si>
    <t>$/lb</t>
    <phoneticPr fontId="1" type="noConversion"/>
  </si>
  <si>
    <t>Nature Gas</t>
  </si>
  <si>
    <t>Nature Gas</t>
    <phoneticPr fontId="1" type="noConversion"/>
  </si>
  <si>
    <t>Searching</t>
    <phoneticPr fontId="1" type="noConversion"/>
  </si>
  <si>
    <t xml:space="preserve">energy </t>
    <phoneticPr fontId="1" type="noConversion"/>
  </si>
  <si>
    <t>https://www.globalpetrolprices.com/natural_gas_prices/</t>
    <phoneticPr fontId="1" type="noConversion"/>
  </si>
  <si>
    <t>https://www.vietnam.vn/cap-nhat-thong-tin-moi-ve-thi-truong-khi-dot</t>
  </si>
  <si>
    <t>gac_cost_cl</t>
  </si>
  <si>
    <t>·</t>
    <phoneticPr fontId="1" type="noConversion"/>
  </si>
  <si>
    <t>Price of nature gas 2024</t>
  </si>
  <si>
    <t>incineration regional results</t>
  </si>
  <si>
    <t>$/kg</t>
  </si>
  <si>
    <t>Transport (electricity vehicle)</t>
  </si>
  <si>
    <t>Electricity</t>
  </si>
  <si>
    <t>GAC</t>
  </si>
  <si>
    <t>IXR</t>
  </si>
  <si>
    <t>Membrane</t>
  </si>
  <si>
    <t>The united states</t>
  </si>
  <si>
    <t>$/t/km</t>
  </si>
  <si>
    <t>$ kwh</t>
  </si>
  <si>
    <t>大电脑的收藏</t>
  </si>
  <si>
    <t>740-815</t>
  </si>
  <si>
    <t>China</t>
  </si>
  <si>
    <t xml:space="preserve">https://finance.sina.com.cn/roll/2024-09-16/doc-incpifhu3923087.shtml#:~:text=%E2%80%94%E2%80%94%E5%8D%B1%E5%BA%9F%E7%84%9A%E7%83%A7%E5%A4%84%E7%90%86%E4%BB%B7%E6%A0%BC%EF%BC%9A%E7%BA%A63000%E5%85%83%2F%E5%90%A8 </t>
  </si>
  <si>
    <t xml:space="preserve">https://www.imarcgroup.com/activated-carbon-pricing-report#:~:text=The%20price%20trend%20for%20activated,an%20overall%20optimistic%20market%20sentiment </t>
  </si>
  <si>
    <t>Japan</t>
  </si>
  <si>
    <t>800-1000</t>
  </si>
  <si>
    <t>South Korea</t>
  </si>
  <si>
    <t>estimate, lack data</t>
  </si>
  <si>
    <t>Germany</t>
  </si>
  <si>
    <t>900-1200</t>
  </si>
  <si>
    <t>Vietnam</t>
  </si>
  <si>
    <t>India</t>
  </si>
  <si>
    <t>https://www.indexbox.io/blog/india-activated-carbon-exports-2023/#:~:text=Export%20Prices%20by%20Country</t>
  </si>
  <si>
    <t>Transportation distance</t>
    <phoneticPr fontId="1" type="noConversion"/>
  </si>
  <si>
    <t>mile</t>
    <phoneticPr fontId="1" type="noConversion"/>
  </si>
  <si>
    <t>Using US as the basic</t>
    <phoneticPr fontId="1" type="noConversion"/>
  </si>
  <si>
    <t>estimate</t>
    <phoneticPr fontId="1" type="noConversion"/>
  </si>
  <si>
    <t>too small?</t>
    <phoneticPr fontId="1" type="noConversion"/>
  </si>
  <si>
    <t>energy price</t>
    <phoneticPr fontId="1" type="noConversion"/>
  </si>
  <si>
    <t>$/liter</t>
    <phoneticPr fontId="1" type="noConversion"/>
  </si>
  <si>
    <t>need double check, will highly influence the results</t>
    <phoneticPr fontId="1" type="noConversion"/>
  </si>
  <si>
    <t>$/cf</t>
    <phoneticPr fontId="1" type="noConversion"/>
  </si>
  <si>
    <t>Noted</t>
    <phoneticPr fontId="1" type="noConversion"/>
  </si>
  <si>
    <t>lb to kg</t>
    <phoneticPr fontId="1" type="noConversion"/>
  </si>
  <si>
    <t>lbs/ft³ density from the file of EPA</t>
    <phoneticPr fontId="1" type="noConversion"/>
  </si>
  <si>
    <t>Final cost</t>
    <phoneticPr fontId="1" type="noConversion"/>
  </si>
  <si>
    <t>https://www.pca.state.mn.us/search?search=PFAS+Removal+and+Destruction+Cost+Evaluation+%241%2C300%2Fton&amp;datasource=entity%3Anode&amp;op=Search&amp;honeypot_time=g1SAygVeKIaLJ4SQ1R-IvarVtxzrioJIGgonFzh_yko&amp;url=</t>
  </si>
  <si>
    <t>Equipment maintenance</t>
  </si>
  <si>
    <t>Electrical use</t>
  </si>
  <si>
    <t>Natural gas use</t>
  </si>
  <si>
    <t>Chemical use</t>
    <phoneticPr fontId="1" type="noConversion"/>
  </si>
  <si>
    <t>Ash disposal</t>
    <phoneticPr fontId="1" type="noConversion"/>
  </si>
  <si>
    <t>Water costs, wastewater treatment, and surcharges</t>
  </si>
  <si>
    <t>Other cost</t>
    <phoneticPr fontId="1" type="noConversion"/>
  </si>
  <si>
    <t>Staffing and administration (labor)</t>
    <phoneticPr fontId="1" type="noConversion"/>
  </si>
  <si>
    <t>non-haz treatement</t>
    <phoneticPr fontId="1" type="noConversion"/>
  </si>
  <si>
    <t>https://www.ceicdata.com/zh-hans/china/price-monitoring-center-ndrc-36-city-monthly-avg-transaction-price-production-material/cn-usage-price-36-city-avg-natural-gas-natural-gas-for-industry</t>
  </si>
  <si>
    <t>https://doi.org/10.3390/su16051969 convert from 0.027 $/kwh electricity 效率大概55%</t>
    <phoneticPr fontId="1" type="noConversion"/>
  </si>
  <si>
    <t>这个数值要再关注下</t>
    <phoneticPr fontId="1" type="noConversion"/>
  </si>
  <si>
    <t>dispoal cost- 2.152</t>
    <phoneticPr fontId="1" type="noConversion"/>
  </si>
  <si>
    <t xml:space="preserve">https://www.rotraders.com/membranes/ro-membrane/#:~:text=There%20are%2050%2B%20RO%20Membrane,8040%20CPA%205%20LD </t>
    <phoneticPr fontId="1" type="noConversion"/>
  </si>
  <si>
    <t>https://www.filterwater.com/p-741-dow-filmtec-bw30-400-ro-membrane-10500-gpd.aspx</t>
    <phoneticPr fontId="1" type="noConversion"/>
  </si>
  <si>
    <t>Mmembrane</t>
    <phoneticPr fontId="1" type="noConversion"/>
  </si>
  <si>
    <t>Hazardous incineration regional results</t>
    <phoneticPr fontId="1" type="noConversion"/>
  </si>
  <si>
    <t xml:space="preserve">https://www.imarcgroup.com/activated-carbon-pricing-report#:~:text=Category%20Region%20Price%20Activated%20Carbon,Specialty%20Chemical%20Germany%202388%20USD%2FMT </t>
    <phoneticPr fontId="1" type="noConversion"/>
  </si>
  <si>
    <t xml:space="preserve">https://www.globalpetrolprices.com/electricity_prices/ </t>
    <phoneticPr fontId="1" type="noConversion"/>
  </si>
  <si>
    <t xml:space="preserve">https://doi.org/10.1016/j.watres.2023.120324 </t>
    <phoneticPr fontId="1" type="noConversion"/>
  </si>
  <si>
    <t xml:space="preserve">https://nbhautek.en.made-in-china.com/product/HjRQAevTIJkn/China-Filmtec-Membrane-Bw30-400.html </t>
    <phoneticPr fontId="1" type="noConversion"/>
  </si>
  <si>
    <t xml:space="preserve">https://www.filterwater.com/p-741-dow-filmtec-bw30-400-ro-membrane-10500-gpd.aspx </t>
    <phoneticPr fontId="1" type="noConversion"/>
  </si>
  <si>
    <t>piece (37 m2)</t>
    <phoneticPr fontId="1" type="noConversion"/>
  </si>
  <si>
    <t xml:space="preserve">https://www.indexbox.io/search/activated-carbon-price-japan/#:~:text=Activated%20Carbon%20Price%20in%20Japan,2023 </t>
    <phoneticPr fontId="1" type="noConversion"/>
  </si>
  <si>
    <t xml:space="preserve">https://www.indexbox.io/search/activated-carbon-price-south-korea/#:~:text=Activated%20Carbon%20Price%20in%20South,2023 </t>
    <phoneticPr fontId="1" type="noConversion"/>
  </si>
  <si>
    <t xml:space="preserve">https://samcotech.com/how-much-does-it-cost-to-buy-maintain-and-dispose-of-ion-exchange-resins/#:~:text=performance%20characteristics,cubic%20foot%20for%20SBA%2FWBA%20resins </t>
    <phoneticPr fontId="1" type="noConversion"/>
  </si>
  <si>
    <t>https://www.hangyan.co/charts/3518217798490784787</t>
    <phoneticPr fontId="1" type="noConversion"/>
  </si>
  <si>
    <t>https://b2b.baidu.com/land?id=04c99412b1a5b38969b0812f11daa5cc10#:~:text=%E6%97%A5%E6%9C%AC%E4%B8%89%E8%8F%B1%E5%8C%96%E5%B7%A5%20DIAION%20UBA100%20%E5%BC%BA%E7%A2%B1%E9%98%B4%E7%A6%BB%E5%AD%90%E4%BA%A4%E6%8D%A2%E6%A0%91%E8%84%82%20%E9%80%9A%E7%94%A8%E5%9E%8B%E6%B7%B7%E5%BA%8A%E9%98%B4%E6%A0%91%E8%84%82</t>
    <phoneticPr fontId="1" type="noConversion"/>
  </si>
  <si>
    <t xml:space="preserve">https://www.samyangcorp.com/en/chemical-business/ion-exchange-resins#:~:text=Lon%20Exchange%20Resin%20,and%20ultrapure%20water%20for </t>
    <phoneticPr fontId="1" type="noConversion"/>
  </si>
  <si>
    <t xml:space="preserve">https://www.vietnamtrades.com/vietnam-import-data/ion-exchange-resin.html#:~:text=RESINEX%20K,2kgs </t>
    <phoneticPr fontId="1" type="noConversion"/>
  </si>
  <si>
    <t xml:space="preserve">https://www.zauba.com/import-ANION+EXCHANGE+RESIN-hs-code.html#:~:text=Anion%20Exchange%20Resin%20worth%20%243%2C805%2C746,were%20imported%20from%209%20countries </t>
    <phoneticPr fontId="1" type="noConversion"/>
  </si>
  <si>
    <t>https://ja.chunkerowaterplant.com/news/difference-between-8040-ro-membrane-and-4040-ro-membrane#:~:text=%E4%BD%8E%E4%BE%A1%E6%A0%BC%E9%99%90%E5%A4%96%E3%82%8D%E9%81%8EUF%E6%B0%B4%E5%87%A6%E7%90%86%E3%82%B7%E3%82%B9%E3%83%86%E3%83%A0%E8%B3%BC%E8%B2%B7%2C8040%20%E3%83%AD%20%E8%86%9C%E3%81%A8%204040%20%E3%83%AD,8040%20ro%E8%86%9C%E3%81%AE%E4%BE%A1%E6%A0%BC%EF%BC%9A%208040%E8%86%9C%E3%81%AF%E9%9D%A2%E7%A9%8D%E3%81%8C%E5%A4%A7%E3%81%8D%E3%81%8F%E3%80%81%E5%87%A6%E7%90%86%E8%83%BD%E5%8A%9B%E3%81%8C%E5%BC%B7%E3%81%84%E3%81%9F%E3%82%81%E3%80%81%E9%80%9A%E5%B8%B8%E3%81%AF%E4%BE%A1%E6%A0%BC%E3%81%8C%E9%AB%98%E3%81%8F%E3%81%AA%E3%82%8A%E3%81%BE%E3%81%99%E3%80%82%E5%B8%82%E5%A0%B4%E3%81%A7%E3%81%AF%E3%80%818040%20ro%E8%86%9C%E3%81%AE%E4%BE%A1%E6%A0%BC%E3%81%AF500%E3%83%89%E3%83%AB%E3%81%8B%E3%82%891500%E3%83%89%E3%83%AB%E3%81%AE%E7%AF%84%E5%9B%B2%E3%81%A7%E3%80%81%E5%85%B7%E4%BD%93%E7%9A%84%E3%81%AA%E4%BE%A1%E6%A0%BC%E3%81%AF%E3%83%96%E3%83%A9%E3%83%B3%E3%83%89%E3%80%81%E3%83%A2%E3%83%87%E3%83%AB%E3%80%81%E6%80%A7%E8%83%BD%E3%81%AB%E3%82%88%E3%81%A3%E3%81%A6%E7%95%B0%E3%81%AA%E3%82%8A%E3%81%BE%E3%81%99%E3%80%82</t>
    <phoneticPr fontId="1" type="noConversion"/>
  </si>
  <si>
    <t xml:space="preserve">https://water777.co.kr/goods/view?no=235088#:~:text=%2A%205 </t>
    <phoneticPr fontId="1" type="noConversion"/>
  </si>
  <si>
    <t xml:space="preserve">https://www.wasseraufbereitung-shop24.de/de/umkehrosmose-membranelement-dupont-filmtec-BW30-400#:~:text=shop24.de%20%20Die%20FILMTEC%20BW30,DVGW%20Enth%C3%A4rtungsanlage%20mit%20Zubeh%C3%B6r%20Inkl </t>
    <phoneticPr fontId="1" type="noConversion"/>
  </si>
  <si>
    <t xml:space="preserve">https://otb.vn/mang-loc-ro-dopont-filmtec-bw30-pro-400.html#:~:text=Mi%E1%BB%85n%20ph%C3%AD%3A%20%28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</si>
</sst>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$&quot;#,##0.00_);[Red]\(&quot;$&quot;#,##0.00\)"/>
    <numFmt numFmtId="177" formatCode="0.0_ "/>
    <numFmt numFmtId="178" formatCode="0.00_ "/>
    <numFmt numFmtId="179" formatCode="0.0%"/>
  </numFmts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rgb="FFFF0000"/>
      <name val="等线"/>
      <family val="4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4"/>
      <charset val="134"/>
      <scheme val="minor"/>
    </font>
    <font>
      <sz val="11"/>
      <color rgb="FFFF0000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1"/>
    <xf numFmtId="0" fontId="0" fillId="2" borderId="1" xfId="0" applyFill="1" applyBorder="1"/>
    <xf numFmtId="176" fontId="0" fillId="2" borderId="1" xfId="0" applyNumberFormat="1" applyFill="1" applyBorder="1"/>
    <xf numFmtId="2" fontId="0" fillId="2" borderId="0" xfId="0" applyNumberFormat="1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176" fontId="0" fillId="3" borderId="1" xfId="0" applyNumberFormat="1" applyFill="1" applyBorder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2" fillId="2" borderId="0" xfId="1" applyFill="1"/>
    <xf numFmtId="0" fontId="2" fillId="0" borderId="0" xfId="1" applyFill="1"/>
    <xf numFmtId="0" fontId="5" fillId="0" borderId="0" xfId="0" applyFont="1"/>
    <xf numFmtId="3" fontId="5" fillId="0" borderId="0" xfId="0" applyNumberFormat="1" applyFont="1"/>
    <xf numFmtId="0" fontId="0" fillId="4" borderId="0" xfId="0" applyFill="1"/>
    <xf numFmtId="3" fontId="5" fillId="4" borderId="0" xfId="0" applyNumberFormat="1" applyFont="1" applyFill="1"/>
    <xf numFmtId="0" fontId="6" fillId="0" borderId="0" xfId="0" applyFont="1"/>
    <xf numFmtId="0" fontId="7" fillId="3" borderId="0" xfId="0" applyFont="1" applyFill="1"/>
    <xf numFmtId="0" fontId="7" fillId="0" borderId="0" xfId="0" applyFont="1"/>
    <xf numFmtId="0" fontId="7" fillId="2" borderId="0" xfId="0" applyFont="1" applyFill="1"/>
    <xf numFmtId="0" fontId="8" fillId="2" borderId="0" xfId="0" applyFont="1" applyFill="1"/>
    <xf numFmtId="0" fontId="8" fillId="3" borderId="0" xfId="0" applyFont="1" applyFill="1"/>
    <xf numFmtId="0" fontId="8" fillId="0" borderId="0" xfId="0" applyFont="1"/>
    <xf numFmtId="0" fontId="2" fillId="3" borderId="0" xfId="1" applyFill="1"/>
    <xf numFmtId="178" fontId="9" fillId="0" borderId="0" xfId="0" applyNumberFormat="1" applyFont="1"/>
    <xf numFmtId="178" fontId="9" fillId="2" borderId="0" xfId="0" applyNumberFormat="1" applyFont="1" applyFill="1"/>
    <xf numFmtId="178" fontId="0" fillId="3" borderId="0" xfId="0" applyNumberFormat="1" applyFill="1"/>
    <xf numFmtId="178" fontId="0" fillId="0" borderId="0" xfId="0" applyNumberFormat="1"/>
    <xf numFmtId="178" fontId="0" fillId="2" borderId="0" xfId="0" applyNumberFormat="1" applyFill="1"/>
    <xf numFmtId="177" fontId="0" fillId="3" borderId="0" xfId="0" applyNumberFormat="1" applyFill="1"/>
    <xf numFmtId="177" fontId="0" fillId="0" borderId="0" xfId="0" applyNumberFormat="1"/>
    <xf numFmtId="177" fontId="0" fillId="2" borderId="0" xfId="0" applyNumberFormat="1" applyFill="1"/>
    <xf numFmtId="179" fontId="5" fillId="4" borderId="0" xfId="0" applyNumberFormat="1" applyFont="1" applyFill="1"/>
    <xf numFmtId="179" fontId="5" fillId="0" borderId="0" xfId="0" applyNumberFormat="1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marcgroup.com/activated-carbon-pricing-report" TargetMode="External"/><Relationship Id="rId13" Type="http://schemas.openxmlformats.org/officeDocument/2006/relationships/hyperlink" Target="https://www.indexbox.io/search/activated-carbon-price-japan/" TargetMode="External"/><Relationship Id="rId18" Type="http://schemas.openxmlformats.org/officeDocument/2006/relationships/hyperlink" Target="https://www.samyangcorp.com/en/chemical-business/ion-exchange-resins" TargetMode="External"/><Relationship Id="rId3" Type="http://schemas.openxmlformats.org/officeDocument/2006/relationships/hyperlink" Target="https://www.indexbox.io/blog/india-activated-carbon-exports-2023/" TargetMode="External"/><Relationship Id="rId21" Type="http://schemas.openxmlformats.org/officeDocument/2006/relationships/hyperlink" Target="https://water777.co.kr/goods/view?no=235088" TargetMode="External"/><Relationship Id="rId7" Type="http://schemas.openxmlformats.org/officeDocument/2006/relationships/hyperlink" Target="https://doi.org/10.3390/su16051969%20convert%20from%200.027%20$/kwh%20electricity%20&#25928;&#29575;&#22823;&#27010;55%25" TargetMode="External"/><Relationship Id="rId12" Type="http://schemas.openxmlformats.org/officeDocument/2006/relationships/hyperlink" Target="https://www.filterwater.com/p-741-dow-filmtec-bw30-400-ro-membrane-10500-gpd.aspx" TargetMode="External"/><Relationship Id="rId17" Type="http://schemas.openxmlformats.org/officeDocument/2006/relationships/hyperlink" Target="https://www.hangyan.co/charts/3518217798490784787" TargetMode="External"/><Relationship Id="rId2" Type="http://schemas.openxmlformats.org/officeDocument/2006/relationships/hyperlink" Target="https://www.imarcgroup.com/activated-carbon-pricing-report" TargetMode="External"/><Relationship Id="rId16" Type="http://schemas.openxmlformats.org/officeDocument/2006/relationships/hyperlink" Target="https://samcotech.com/how-much-does-it-cost-to-buy-maintain-and-dispose-of-ion-exchange-resins/" TargetMode="External"/><Relationship Id="rId20" Type="http://schemas.openxmlformats.org/officeDocument/2006/relationships/hyperlink" Target="https://www.zauba.com/import-ANION+EXCHANGE+RESIN-hs-code.html" TargetMode="External"/><Relationship Id="rId1" Type="http://schemas.openxmlformats.org/officeDocument/2006/relationships/hyperlink" Target="https://finance.sina.com.cn/roll/2024-09-16/doc-incpifhu3923087.shtml" TargetMode="External"/><Relationship Id="rId6" Type="http://schemas.openxmlformats.org/officeDocument/2006/relationships/hyperlink" Target="https://www.globalpetrolprices.com/natural_gas_prices/" TargetMode="External"/><Relationship Id="rId11" Type="http://schemas.openxmlformats.org/officeDocument/2006/relationships/hyperlink" Target="https://nbhautek.en.made-in-china.com/product/HjRQAevTIJkn/China-Filmtec-Membrane-Bw30-400.html" TargetMode="External"/><Relationship Id="rId24" Type="http://schemas.openxmlformats.org/officeDocument/2006/relationships/hyperlink" Target="https://www.rotraders.com/membranes/ro-membrane/" TargetMode="External"/><Relationship Id="rId5" Type="http://schemas.openxmlformats.org/officeDocument/2006/relationships/hyperlink" Target="https://www.globalpetrolprices.com/natural_gas_prices/" TargetMode="External"/><Relationship Id="rId15" Type="http://schemas.openxmlformats.org/officeDocument/2006/relationships/hyperlink" Target="https://www.imarcgroup.com/activated-carbon-pricing-report" TargetMode="External"/><Relationship Id="rId23" Type="http://schemas.openxmlformats.org/officeDocument/2006/relationships/hyperlink" Target="https://otb.vn/mang-loc-ro-dopont-filmtec-bw30-pro-400.html" TargetMode="External"/><Relationship Id="rId10" Type="http://schemas.openxmlformats.org/officeDocument/2006/relationships/hyperlink" Target="https://doi.org/10.1016/j.watres.2023.120324" TargetMode="External"/><Relationship Id="rId19" Type="http://schemas.openxmlformats.org/officeDocument/2006/relationships/hyperlink" Target="https://www.vietnamtrades.com/vietnam-import-data/ion-exchange-resin.html" TargetMode="External"/><Relationship Id="rId4" Type="http://schemas.openxmlformats.org/officeDocument/2006/relationships/hyperlink" Target="https://data.worldbank.org/indicator/ny.gnp.pcap.pp.cd?end=2023&amp;name_desc=false&amp;start=1990" TargetMode="External"/><Relationship Id="rId9" Type="http://schemas.openxmlformats.org/officeDocument/2006/relationships/hyperlink" Target="https://www.globalpetrolprices.com/electricity_prices/" TargetMode="External"/><Relationship Id="rId14" Type="http://schemas.openxmlformats.org/officeDocument/2006/relationships/hyperlink" Target="https://www.indexbox.io/search/activated-carbon-price-south-korea/" TargetMode="External"/><Relationship Id="rId22" Type="http://schemas.openxmlformats.org/officeDocument/2006/relationships/hyperlink" Target="https://www.wasseraufbereitung-shop24.de/de/umkehrosmose-membranelement-dupont-filmtec-BW30-40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lterwater.com/p-741-dow-filmtec-bw30-400-ro-membrane-10500-gpd.aspx" TargetMode="External"/><Relationship Id="rId3" Type="http://schemas.openxmlformats.org/officeDocument/2006/relationships/hyperlink" Target="https://data.worldbank.org/indicator/ny.gnp.pcap.pp.cd?end=2023&amp;name_desc=false&amp;start=1990" TargetMode="External"/><Relationship Id="rId7" Type="http://schemas.openxmlformats.org/officeDocument/2006/relationships/hyperlink" Target="https://www.rotraders.com/membranes/ro-membrane/" TargetMode="External"/><Relationship Id="rId2" Type="http://schemas.openxmlformats.org/officeDocument/2006/relationships/hyperlink" Target="https://www.indexbox.io/blog/india-activated-carbon-exports-2023/" TargetMode="External"/><Relationship Id="rId1" Type="http://schemas.openxmlformats.org/officeDocument/2006/relationships/hyperlink" Target="https://www.imarcgroup.com/activated-carbon-pricing-report" TargetMode="External"/><Relationship Id="rId6" Type="http://schemas.openxmlformats.org/officeDocument/2006/relationships/hyperlink" Target="https://doi.org/10.3390/su16051969%20convert%20from%200.027%20$/kwh%20electricity%20&#25928;&#29575;&#22823;&#27010;55%25" TargetMode="External"/><Relationship Id="rId5" Type="http://schemas.openxmlformats.org/officeDocument/2006/relationships/hyperlink" Target="https://www.globalpetrolprices.com/natural_gas_prices/" TargetMode="External"/><Relationship Id="rId4" Type="http://schemas.openxmlformats.org/officeDocument/2006/relationships/hyperlink" Target="https://www.globalpetrolprices.com/natural_gas_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A96E-7EE3-4411-9647-060B69865E67}">
  <dimension ref="A1:AP64"/>
  <sheetViews>
    <sheetView zoomScale="85" workbookViewId="0">
      <selection activeCell="AA6" sqref="AA6"/>
    </sheetView>
  </sheetViews>
  <sheetFormatPr baseColWidth="10" defaultColWidth="8.83203125" defaultRowHeight="15"/>
  <cols>
    <col min="4" max="4" width="13" customWidth="1"/>
    <col min="6" max="6" width="11.33203125" customWidth="1"/>
    <col min="8" max="8" width="15" customWidth="1"/>
    <col min="9" max="9" width="27.33203125" customWidth="1"/>
    <col min="10" max="10" width="22" customWidth="1"/>
    <col min="12" max="12" width="29" customWidth="1"/>
    <col min="14" max="14" width="25" customWidth="1"/>
    <col min="24" max="24" width="103.33203125" customWidth="1"/>
    <col min="25" max="25" width="36.83203125" customWidth="1"/>
  </cols>
  <sheetData>
    <row r="1" spans="1:42">
      <c r="AK1">
        <v>2023</v>
      </c>
    </row>
    <row r="2" spans="1:42">
      <c r="F2" t="s">
        <v>66</v>
      </c>
      <c r="P2" t="s">
        <v>118</v>
      </c>
      <c r="W2" t="s">
        <v>29</v>
      </c>
      <c r="AG2" t="s">
        <v>66</v>
      </c>
      <c r="AK2" s="1" t="s">
        <v>76</v>
      </c>
      <c r="AO2" s="1" t="s">
        <v>147</v>
      </c>
    </row>
    <row r="3" spans="1:42">
      <c r="F3" s="1" t="s">
        <v>85</v>
      </c>
      <c r="H3" s="10" t="s">
        <v>144</v>
      </c>
      <c r="I3" s="8"/>
      <c r="J3" s="10" t="s">
        <v>71</v>
      </c>
      <c r="K3" s="8"/>
      <c r="L3" s="10" t="s">
        <v>68</v>
      </c>
      <c r="M3" s="8"/>
      <c r="N3" s="10" t="s">
        <v>78</v>
      </c>
      <c r="P3" t="s">
        <v>114</v>
      </c>
      <c r="W3" t="s">
        <v>28</v>
      </c>
      <c r="Y3" t="s">
        <v>80</v>
      </c>
      <c r="Z3" t="s">
        <v>122</v>
      </c>
      <c r="AC3" t="s">
        <v>150</v>
      </c>
      <c r="AG3" s="1" t="s">
        <v>85</v>
      </c>
      <c r="AK3" t="s">
        <v>13</v>
      </c>
      <c r="AN3" t="s">
        <v>23</v>
      </c>
    </row>
    <row r="4" spans="1:42">
      <c r="B4" t="s">
        <v>14</v>
      </c>
      <c r="C4" t="s">
        <v>12</v>
      </c>
      <c r="D4" s="10" t="s">
        <v>7</v>
      </c>
      <c r="E4" s="25" t="s">
        <v>146</v>
      </c>
      <c r="F4" s="9" t="s">
        <v>82</v>
      </c>
      <c r="J4" s="5"/>
      <c r="L4" s="5" t="s">
        <v>75</v>
      </c>
      <c r="N4" s="5"/>
      <c r="P4" t="s">
        <v>116</v>
      </c>
      <c r="W4" t="s">
        <v>20</v>
      </c>
      <c r="Y4" s="9" t="s">
        <v>20</v>
      </c>
      <c r="Z4" t="s">
        <v>21</v>
      </c>
      <c r="AC4" t="s">
        <v>22</v>
      </c>
      <c r="AH4" t="s">
        <v>64</v>
      </c>
      <c r="AK4" t="s">
        <v>8</v>
      </c>
      <c r="AL4" s="20" t="s">
        <v>119</v>
      </c>
      <c r="AN4" t="s">
        <v>20</v>
      </c>
      <c r="AO4">
        <v>2.9</v>
      </c>
      <c r="AP4" t="s">
        <v>24</v>
      </c>
    </row>
    <row r="5" spans="1:42">
      <c r="A5" t="s">
        <v>0</v>
      </c>
      <c r="B5">
        <v>4.5599999999999998E-3</v>
      </c>
      <c r="C5" t="s">
        <v>10</v>
      </c>
      <c r="D5" s="28">
        <v>0.152</v>
      </c>
      <c r="E5" s="5" t="s">
        <v>9</v>
      </c>
      <c r="F5" s="28">
        <f>AH5*29.31</f>
        <v>1.0844699999999998</v>
      </c>
      <c r="H5" s="31">
        <f>incineration!B1</f>
        <v>1300</v>
      </c>
      <c r="J5" s="5">
        <v>3392.21</v>
      </c>
      <c r="K5" t="s">
        <v>73</v>
      </c>
      <c r="L5" s="5">
        <v>0.28000000000000003</v>
      </c>
      <c r="M5" t="s">
        <v>70</v>
      </c>
      <c r="N5" s="5">
        <v>0.21</v>
      </c>
      <c r="O5" t="s">
        <v>70</v>
      </c>
      <c r="P5">
        <v>200</v>
      </c>
      <c r="Q5" t="s">
        <v>115</v>
      </c>
      <c r="R5" t="s">
        <v>0</v>
      </c>
      <c r="S5">
        <v>473.2</v>
      </c>
      <c r="U5" t="s">
        <v>18</v>
      </c>
      <c r="V5" t="s">
        <v>0</v>
      </c>
      <c r="W5">
        <v>1.98</v>
      </c>
      <c r="X5" s="1" t="s">
        <v>145</v>
      </c>
      <c r="Y5">
        <f>W5*0.4535</f>
        <v>0.89793000000000001</v>
      </c>
      <c r="Z5" s="11">
        <f>Z16*43*0.4535</f>
        <v>214.50550000000001</v>
      </c>
      <c r="AC5" t="s">
        <v>47</v>
      </c>
      <c r="AD5" t="s">
        <v>46</v>
      </c>
      <c r="AE5" t="s">
        <v>48</v>
      </c>
      <c r="AG5" t="s">
        <v>0</v>
      </c>
      <c r="AH5" s="19">
        <v>3.6999999999999998E-2</v>
      </c>
      <c r="AJ5" t="s">
        <v>0</v>
      </c>
      <c r="AK5">
        <v>82340</v>
      </c>
      <c r="AL5" s="26">
        <v>0.96</v>
      </c>
      <c r="AM5" t="s">
        <v>120</v>
      </c>
      <c r="AN5" t="s">
        <v>21</v>
      </c>
      <c r="AO5">
        <v>15.7</v>
      </c>
      <c r="AP5" t="s">
        <v>24</v>
      </c>
    </row>
    <row r="6" spans="1:42">
      <c r="A6" t="s">
        <v>1</v>
      </c>
      <c r="B6">
        <v>3.8E-3</v>
      </c>
      <c r="C6" t="s">
        <v>10</v>
      </c>
      <c r="D6" s="28">
        <v>8.6999999999999994E-2</v>
      </c>
      <c r="E6" s="5" t="s">
        <v>9</v>
      </c>
      <c r="F6" s="28">
        <f>AH6*29.31</f>
        <v>1.34826</v>
      </c>
      <c r="H6" s="31">
        <f>$H$5*(incineration!$C$6*('Labor-transport-energy-dispoal'!AH6/'Labor-transport-energy-dispoal'!$AH$5)+incineration!$C$5*('Labor-transport-energy-dispoal'!D6/'Labor-transport-energy-dispoal'!$D$5)+incineration!$C$3*('Labor-transport-energy-dispoal'!AK6/'Labor-transport-energy-dispoal'!$AK$5)+0.4187)</f>
        <v>1390.8651816810739</v>
      </c>
      <c r="I6" s="1" t="s">
        <v>16</v>
      </c>
      <c r="J6" s="5">
        <f>$J$5/$AK$5*AK6</f>
        <v>1003.5734223949478</v>
      </c>
      <c r="L6" s="5">
        <f>$L$5*(0.5*AK6/$AK$5+0.5*AL6/$AL$5)</f>
        <v>0.18783517528945026</v>
      </c>
      <c r="N6" s="5">
        <f>$N$5*(0.5*AK6/$AK$5+0.5*AL6/$AL$5)</f>
        <v>0.14087638146708767</v>
      </c>
      <c r="P6">
        <f>$P$5*S6/$S$5</f>
        <v>27.514792899408281</v>
      </c>
      <c r="R6" t="s">
        <v>1</v>
      </c>
      <c r="S6">
        <v>65.099999999999994</v>
      </c>
      <c r="V6" t="s">
        <v>1</v>
      </c>
      <c r="W6">
        <v>1.61</v>
      </c>
      <c r="X6" s="1" t="s">
        <v>30</v>
      </c>
      <c r="Y6">
        <f t="shared" ref="Y6:Y11" si="0">W6*0.4535</f>
        <v>0.73013500000000009</v>
      </c>
      <c r="Z6" s="11">
        <f t="shared" ref="Z6:Z11" si="1">Z17*43*0.4535</f>
        <v>47.191210000000005</v>
      </c>
      <c r="AC6">
        <v>582</v>
      </c>
      <c r="AD6" t="s">
        <v>45</v>
      </c>
      <c r="AE6" t="s">
        <v>49</v>
      </c>
      <c r="AG6" t="s">
        <v>1</v>
      </c>
      <c r="AH6" s="19">
        <v>4.5999999999999999E-2</v>
      </c>
      <c r="AI6" t="s">
        <v>137</v>
      </c>
      <c r="AJ6" t="s">
        <v>1</v>
      </c>
      <c r="AK6">
        <v>24360</v>
      </c>
      <c r="AL6" s="26">
        <v>1.004</v>
      </c>
      <c r="AN6" t="s">
        <v>22</v>
      </c>
    </row>
    <row r="7" spans="1:42">
      <c r="A7" t="s">
        <v>2</v>
      </c>
      <c r="B7">
        <f>$B$5*D7/$D$5</f>
        <v>5.8500000000000002E-3</v>
      </c>
      <c r="C7" t="s">
        <v>10</v>
      </c>
      <c r="D7" s="29">
        <v>0.19500000000000001</v>
      </c>
      <c r="E7" t="s">
        <v>9</v>
      </c>
      <c r="F7" s="29">
        <f>AH7*29.31</f>
        <v>2.4327299999999998</v>
      </c>
      <c r="H7" s="32">
        <f>$H$5*(incineration!$C$6*('Labor-transport-energy-dispoal'!AH7/'Labor-transport-energy-dispoal'!$AH$5)+incineration!$C$5*('Labor-transport-energy-dispoal'!D7/'Labor-transport-energy-dispoal'!$D$5)+incineration!$C$3*('Labor-transport-energy-dispoal'!AK7/'Labor-transport-energy-dispoal'!$AK$5)+0.4187)</f>
        <v>2090.6381225213067</v>
      </c>
      <c r="I7" t="s">
        <v>17</v>
      </c>
      <c r="J7">
        <f>$J$5/$AK$5*AK7</f>
        <v>2176.8809375759047</v>
      </c>
      <c r="L7">
        <f t="shared" ref="L7:L11" si="2">$L$5*(0.5*AK7/$AK$5+0.5*AL7/$AL$5)</f>
        <v>0.24952961804712173</v>
      </c>
      <c r="N7">
        <f t="shared" ref="N7:N10" si="3">$N$5*(0.5*AK7/$AK$5+0.5*AL7/$AL$5)</f>
        <v>0.18714721353534128</v>
      </c>
      <c r="P7">
        <f t="shared" ref="P7:P11" si="4">$P$5*S7/$S$5</f>
        <v>42.265426880811496</v>
      </c>
      <c r="R7" t="s">
        <v>2</v>
      </c>
      <c r="S7">
        <v>100</v>
      </c>
      <c r="T7" t="s">
        <v>117</v>
      </c>
      <c r="V7" t="s">
        <v>2</v>
      </c>
      <c r="W7">
        <v>1.88</v>
      </c>
      <c r="X7" s="1" t="s">
        <v>151</v>
      </c>
      <c r="Y7">
        <f t="shared" si="0"/>
        <v>0.85258</v>
      </c>
      <c r="Z7">
        <f t="shared" si="1"/>
        <v>185.25475</v>
      </c>
      <c r="AC7" t="s">
        <v>50</v>
      </c>
      <c r="AD7" t="s">
        <v>51</v>
      </c>
      <c r="AG7" t="s">
        <v>2</v>
      </c>
      <c r="AH7" s="20">
        <v>8.3000000000000004E-2</v>
      </c>
      <c r="AJ7" t="s">
        <v>2</v>
      </c>
      <c r="AK7">
        <v>52840</v>
      </c>
      <c r="AL7" s="26">
        <v>1.095</v>
      </c>
    </row>
    <row r="8" spans="1:42">
      <c r="A8" t="s">
        <v>3</v>
      </c>
      <c r="B8">
        <f>$B$5*D8/$D$5</f>
        <v>3.1799999999999997E-3</v>
      </c>
      <c r="C8" t="s">
        <v>10</v>
      </c>
      <c r="D8" s="29">
        <v>0.106</v>
      </c>
      <c r="E8" t="s">
        <v>9</v>
      </c>
      <c r="F8" s="29">
        <f>AH8*29.31</f>
        <v>1.7879099999999999</v>
      </c>
      <c r="H8" s="32">
        <f>$H$5*(incineration!$C$6*('Labor-transport-energy-dispoal'!AH8/'Labor-transport-energy-dispoal'!$AH$5)+incineration!$C$5*('Labor-transport-energy-dispoal'!D8/'Labor-transport-energy-dispoal'!$D$5)+incineration!$C$3*('Labor-transport-energy-dispoal'!AK8/'Labor-transport-energy-dispoal'!$AK$5)+0.4187)</f>
        <v>1679.9125769424252</v>
      </c>
      <c r="I8" t="s">
        <v>19</v>
      </c>
      <c r="J8">
        <f t="shared" ref="J8:J11" si="5">$J$5/$AK$5*AK8</f>
        <v>2170.289322322079</v>
      </c>
      <c r="L8">
        <f t="shared" si="2"/>
        <v>0.26573674196421343</v>
      </c>
      <c r="N8">
        <f t="shared" si="3"/>
        <v>0.19930255647316006</v>
      </c>
      <c r="P8">
        <f t="shared" si="4"/>
        <v>42.265426880811496</v>
      </c>
      <c r="R8" t="s">
        <v>3</v>
      </c>
      <c r="S8">
        <v>100</v>
      </c>
      <c r="T8" t="s">
        <v>117</v>
      </c>
      <c r="V8" t="s">
        <v>3</v>
      </c>
      <c r="W8">
        <v>2.31</v>
      </c>
      <c r="X8" s="1" t="s">
        <v>152</v>
      </c>
      <c r="Y8">
        <f t="shared" si="0"/>
        <v>1.047585</v>
      </c>
      <c r="Z8">
        <f t="shared" si="1"/>
        <v>156.00400000000002</v>
      </c>
      <c r="AC8">
        <v>950</v>
      </c>
      <c r="AD8" t="s">
        <v>52</v>
      </c>
      <c r="AG8" t="s">
        <v>3</v>
      </c>
      <c r="AH8" s="20">
        <v>6.0999999999999999E-2</v>
      </c>
      <c r="AJ8" t="s">
        <v>3</v>
      </c>
      <c r="AK8">
        <v>52680</v>
      </c>
      <c r="AL8" s="26">
        <v>1.208</v>
      </c>
      <c r="AN8" t="s">
        <v>25</v>
      </c>
      <c r="AO8">
        <v>120</v>
      </c>
      <c r="AP8" t="s">
        <v>24</v>
      </c>
    </row>
    <row r="9" spans="1:42">
      <c r="A9" t="s">
        <v>4</v>
      </c>
      <c r="B9">
        <v>8.3999999999999995E-3</v>
      </c>
      <c r="C9" t="s">
        <v>10</v>
      </c>
      <c r="D9" s="29">
        <v>0.255</v>
      </c>
      <c r="E9" t="s">
        <v>9</v>
      </c>
      <c r="F9" s="29">
        <f>AH9*29.31</f>
        <v>2.6378999999999997</v>
      </c>
      <c r="H9" s="32">
        <f>$H$5*(incineration!$C$6*('Labor-transport-energy-dispoal'!AH9/'Labor-transport-energy-dispoal'!$AH$5)+incineration!$C$5*('Labor-transport-energy-dispoal'!D9/'Labor-transport-energy-dispoal'!$D$5)+incineration!$C$3*('Labor-transport-energy-dispoal'!AK9/'Labor-transport-energy-dispoal'!$AK$5)+0.4187)</f>
        <v>2245.1706476522977</v>
      </c>
      <c r="I9" t="s">
        <v>121</v>
      </c>
      <c r="J9">
        <f t="shared" si="5"/>
        <v>2913.0819662375516</v>
      </c>
      <c r="L9">
        <f t="shared" si="2"/>
        <v>0.37718422597360546</v>
      </c>
      <c r="N9">
        <f t="shared" si="3"/>
        <v>0.28288816948020407</v>
      </c>
      <c r="P9">
        <f t="shared" si="4"/>
        <v>76.373626373626379</v>
      </c>
      <c r="R9" t="s">
        <v>4</v>
      </c>
      <c r="S9">
        <v>180.7</v>
      </c>
      <c r="V9" t="s">
        <v>4</v>
      </c>
      <c r="W9">
        <v>2.39</v>
      </c>
      <c r="X9" s="1" t="s">
        <v>145</v>
      </c>
      <c r="Y9">
        <f t="shared" si="0"/>
        <v>1.0838650000000001</v>
      </c>
      <c r="Z9">
        <f t="shared" si="1"/>
        <v>234.006</v>
      </c>
      <c r="AB9" t="s">
        <v>42</v>
      </c>
      <c r="AC9" t="s">
        <v>54</v>
      </c>
      <c r="AD9" t="s">
        <v>55</v>
      </c>
      <c r="AG9" t="s">
        <v>4</v>
      </c>
      <c r="AH9" s="20">
        <v>0.09</v>
      </c>
      <c r="AJ9" t="s">
        <v>4</v>
      </c>
      <c r="AK9">
        <v>70710</v>
      </c>
      <c r="AL9" s="26">
        <v>1.762</v>
      </c>
      <c r="AN9" t="s">
        <v>26</v>
      </c>
      <c r="AO9">
        <v>372</v>
      </c>
      <c r="AP9" t="s">
        <v>24</v>
      </c>
    </row>
    <row r="10" spans="1:42">
      <c r="A10" t="s">
        <v>5</v>
      </c>
      <c r="B10">
        <f>$B$5*D10/$D$5</f>
        <v>2.2200000000000002E-3</v>
      </c>
      <c r="C10" t="s">
        <v>10</v>
      </c>
      <c r="D10" s="29">
        <v>7.3999999999999996E-2</v>
      </c>
      <c r="E10" t="s">
        <v>9</v>
      </c>
      <c r="F10" s="29">
        <v>0.17399999999999999</v>
      </c>
      <c r="G10" t="s">
        <v>86</v>
      </c>
      <c r="H10" s="32">
        <f>$H$5*(incineration!$C$6*('Labor-transport-energy-dispoal'!AH10/'Labor-transport-energy-dispoal'!$AH$5)+incineration!$C$5*('Labor-transport-energy-dispoal'!D10/'Labor-transport-energy-dispoal'!$D$5)+incineration!$C$3*('Labor-transport-energy-dispoal'!AK10/'Labor-transport-energy-dispoal'!$AK$5)+0.4187)</f>
        <v>825.60893471207009</v>
      </c>
      <c r="I10" t="s">
        <v>19</v>
      </c>
      <c r="J10">
        <f t="shared" si="5"/>
        <v>584.59387782365798</v>
      </c>
      <c r="L10">
        <f t="shared" si="2"/>
        <v>0.13335595801959357</v>
      </c>
      <c r="N10">
        <f t="shared" si="3"/>
        <v>0.10001696851469517</v>
      </c>
      <c r="P10">
        <f t="shared" si="4"/>
        <v>42.265426880811496</v>
      </c>
      <c r="R10" t="s">
        <v>5</v>
      </c>
      <c r="S10">
        <v>100</v>
      </c>
      <c r="T10" t="s">
        <v>117</v>
      </c>
      <c r="V10" t="s">
        <v>5</v>
      </c>
      <c r="W10">
        <v>2.08</v>
      </c>
      <c r="X10" t="s">
        <v>34</v>
      </c>
      <c r="Y10">
        <f t="shared" si="0"/>
        <v>0.94328000000000001</v>
      </c>
      <c r="Z10">
        <f t="shared" si="1"/>
        <v>39.001000000000005</v>
      </c>
      <c r="AC10">
        <v>600</v>
      </c>
      <c r="AD10" t="s">
        <v>53</v>
      </c>
      <c r="AG10" t="s">
        <v>5</v>
      </c>
      <c r="AH10" s="20">
        <v>1.4200000000000001E-2</v>
      </c>
      <c r="AI10" s="13" t="s">
        <v>138</v>
      </c>
      <c r="AJ10" t="s">
        <v>5</v>
      </c>
      <c r="AK10">
        <v>14190</v>
      </c>
      <c r="AL10" s="26">
        <v>0.749</v>
      </c>
      <c r="AN10" t="s">
        <v>27</v>
      </c>
      <c r="AO10">
        <v>1.49</v>
      </c>
      <c r="AP10" t="s">
        <v>24</v>
      </c>
    </row>
    <row r="11" spans="1:42" s="11" customFormat="1">
      <c r="A11" s="11" t="s">
        <v>6</v>
      </c>
      <c r="B11" s="11">
        <v>3.2000000000000002E-3</v>
      </c>
      <c r="C11" s="11" t="s">
        <v>10</v>
      </c>
      <c r="D11" s="30">
        <v>0.122</v>
      </c>
      <c r="E11" s="11" t="s">
        <v>9</v>
      </c>
      <c r="F11" s="30">
        <f>AH11*29.31</f>
        <v>1.7292899999999998</v>
      </c>
      <c r="H11" s="33">
        <f>$H$5*(incineration!$C$6*('Labor-transport-energy-dispoal'!AH11/'Labor-transport-energy-dispoal'!$AH$5)+incineration!$C$5*('Labor-transport-energy-dispoal'!D11/'Labor-transport-energy-dispoal'!$D$5)+incineration!$C$3*('Labor-transport-energy-dispoal'!AK11/'Labor-transport-energy-dispoal'!$AK$5)+0.4187)</f>
        <v>1616.7760692455417</v>
      </c>
      <c r="J11" s="11">
        <f t="shared" si="5"/>
        <v>412.79990527082828</v>
      </c>
      <c r="L11" s="11">
        <f t="shared" si="2"/>
        <v>0.16841167719213021</v>
      </c>
      <c r="N11" s="11">
        <f>$N$5*(0.5*AK11/$AK$5+0.5*AL11/$AL$5)</f>
        <v>0.12630875789409765</v>
      </c>
      <c r="P11" s="11">
        <f t="shared" si="4"/>
        <v>87.658495350803051</v>
      </c>
      <c r="R11" s="11" t="s">
        <v>6</v>
      </c>
      <c r="S11" s="11">
        <v>207.4</v>
      </c>
      <c r="V11" s="11" t="s">
        <v>6</v>
      </c>
      <c r="W11" s="11">
        <v>1.71</v>
      </c>
      <c r="X11" s="12" t="s">
        <v>35</v>
      </c>
      <c r="Y11" s="11">
        <f t="shared" si="0"/>
        <v>0.77548499999999998</v>
      </c>
      <c r="Z11" s="11">
        <f t="shared" si="1"/>
        <v>117.003</v>
      </c>
      <c r="AC11" s="11">
        <v>480</v>
      </c>
      <c r="AD11" s="11" t="s">
        <v>56</v>
      </c>
      <c r="AG11" s="11" t="s">
        <v>6</v>
      </c>
      <c r="AH11" s="21">
        <v>5.8999999999999997E-2</v>
      </c>
      <c r="AJ11" s="11" t="s">
        <v>6</v>
      </c>
      <c r="AK11" s="11">
        <v>10020</v>
      </c>
      <c r="AL11" s="27">
        <v>1.038</v>
      </c>
    </row>
    <row r="13" spans="1:42">
      <c r="H13" s="18" t="s">
        <v>136</v>
      </c>
    </row>
    <row r="14" spans="1:42">
      <c r="A14" t="s">
        <v>15</v>
      </c>
      <c r="G14" t="s">
        <v>0</v>
      </c>
      <c r="Z14" t="s">
        <v>122</v>
      </c>
      <c r="AA14" t="s">
        <v>123</v>
      </c>
      <c r="AB14">
        <v>43</v>
      </c>
      <c r="AC14" t="s">
        <v>125</v>
      </c>
    </row>
    <row r="15" spans="1:42">
      <c r="G15" t="s">
        <v>1</v>
      </c>
      <c r="Z15" t="s">
        <v>21</v>
      </c>
      <c r="AB15">
        <v>0.45350000000000001</v>
      </c>
      <c r="AC15" t="s">
        <v>124</v>
      </c>
    </row>
    <row r="16" spans="1:42">
      <c r="G16" t="s">
        <v>2</v>
      </c>
      <c r="Z16">
        <v>11</v>
      </c>
      <c r="AA16" t="s">
        <v>37</v>
      </c>
    </row>
    <row r="17" spans="1:27">
      <c r="G17" t="s">
        <v>3</v>
      </c>
      <c r="Z17">
        <v>2.42</v>
      </c>
      <c r="AA17" t="s">
        <v>36</v>
      </c>
    </row>
    <row r="18" spans="1:27">
      <c r="G18" t="s">
        <v>4</v>
      </c>
      <c r="Z18">
        <v>9.5</v>
      </c>
      <c r="AA18" t="s">
        <v>38</v>
      </c>
    </row>
    <row r="19" spans="1:27">
      <c r="A19" t="s">
        <v>59</v>
      </c>
      <c r="B19" t="s">
        <v>57</v>
      </c>
      <c r="G19" t="s">
        <v>5</v>
      </c>
      <c r="Z19">
        <v>8</v>
      </c>
      <c r="AA19" t="s">
        <v>39</v>
      </c>
    </row>
    <row r="20" spans="1:27">
      <c r="A20" t="s">
        <v>58</v>
      </c>
      <c r="G20" t="s">
        <v>6</v>
      </c>
      <c r="Z20">
        <v>12</v>
      </c>
      <c r="AA20" t="s">
        <v>41</v>
      </c>
    </row>
    <row r="21" spans="1:27">
      <c r="Z21">
        <v>2</v>
      </c>
      <c r="AA21" t="s">
        <v>40</v>
      </c>
    </row>
    <row r="22" spans="1:27">
      <c r="Z22">
        <v>6</v>
      </c>
      <c r="AA22" t="s">
        <v>43</v>
      </c>
    </row>
    <row r="25" spans="1:27">
      <c r="A25" t="s">
        <v>63</v>
      </c>
      <c r="E25" s="5" t="s">
        <v>1</v>
      </c>
      <c r="F25" s="5"/>
      <c r="G25" s="5"/>
      <c r="H25" s="5"/>
      <c r="I25" s="5" t="s">
        <v>2</v>
      </c>
      <c r="J25" s="5"/>
      <c r="K25" s="5"/>
      <c r="L25" s="5"/>
      <c r="M25" s="5" t="s">
        <v>3</v>
      </c>
      <c r="N25" s="5"/>
      <c r="O25" s="5"/>
      <c r="P25" s="5"/>
      <c r="Q25" s="5" t="s">
        <v>4</v>
      </c>
      <c r="R25" s="5"/>
      <c r="S25" s="5"/>
      <c r="T25" s="5"/>
      <c r="U25" s="5" t="s">
        <v>5</v>
      </c>
      <c r="V25" s="5"/>
      <c r="W25" s="5"/>
      <c r="X25" s="5"/>
      <c r="Y25" s="5" t="s">
        <v>6</v>
      </c>
      <c r="Z25" s="5"/>
      <c r="AA25" s="5"/>
    </row>
    <row r="26" spans="1:27">
      <c r="A26" s="2" t="s">
        <v>60</v>
      </c>
      <c r="B26" s="3" t="s">
        <v>61</v>
      </c>
      <c r="C26" s="3" t="s">
        <v>62</v>
      </c>
      <c r="E26" s="6" t="s">
        <v>60</v>
      </c>
      <c r="F26" s="7" t="s">
        <v>61</v>
      </c>
      <c r="G26" s="7" t="s">
        <v>62</v>
      </c>
      <c r="H26" s="5"/>
      <c r="I26" s="6" t="s">
        <v>60</v>
      </c>
      <c r="J26" s="7" t="s">
        <v>61</v>
      </c>
      <c r="K26" s="7" t="s">
        <v>62</v>
      </c>
      <c r="L26" s="5"/>
      <c r="M26" s="6" t="s">
        <v>60</v>
      </c>
      <c r="N26" s="7" t="s">
        <v>61</v>
      </c>
      <c r="O26" s="7" t="s">
        <v>62</v>
      </c>
      <c r="P26" s="5"/>
      <c r="Q26" s="6" t="s">
        <v>60</v>
      </c>
      <c r="R26" s="7" t="s">
        <v>61</v>
      </c>
      <c r="S26" s="7" t="s">
        <v>62</v>
      </c>
      <c r="T26" s="5"/>
      <c r="U26" s="6" t="s">
        <v>60</v>
      </c>
      <c r="V26" s="7" t="s">
        <v>61</v>
      </c>
      <c r="W26" s="7" t="s">
        <v>62</v>
      </c>
      <c r="X26" s="5"/>
      <c r="Y26" s="6" t="s">
        <v>60</v>
      </c>
      <c r="Z26" s="7" t="s">
        <v>61</v>
      </c>
      <c r="AA26" s="7" t="s">
        <v>62</v>
      </c>
    </row>
    <row r="27" spans="1:27">
      <c r="A27" s="4">
        <v>34.161577540106947</v>
      </c>
      <c r="B27" s="4">
        <v>50.648663101604278</v>
      </c>
      <c r="C27" s="4">
        <v>32.90061497326203</v>
      </c>
      <c r="E27" s="5">
        <f t="shared" ref="E27:G34" si="6">A27/$AK$5*$AK$6</f>
        <v>10.106582813662925</v>
      </c>
      <c r="F27" s="5">
        <f t="shared" si="6"/>
        <v>14.984229210044694</v>
      </c>
      <c r="G27" s="5">
        <f t="shared" si="6"/>
        <v>9.7335314640352575</v>
      </c>
      <c r="H27" s="5"/>
      <c r="I27" s="5">
        <f t="shared" ref="I27:K34" si="7">A27/$AK$5*$AK$7</f>
        <v>21.922489157387069</v>
      </c>
      <c r="J27" s="5">
        <f t="shared" si="7"/>
        <v>32.502736923594483</v>
      </c>
      <c r="K27" s="5">
        <f t="shared" si="7"/>
        <v>21.113292387505048</v>
      </c>
      <c r="L27" s="5"/>
      <c r="M27" s="5">
        <f t="shared" ref="M27:O34" si="8">A27/$AK$5*$AK$8</f>
        <v>21.856107661074009</v>
      </c>
      <c r="N27" s="5">
        <f t="shared" si="8"/>
        <v>32.40431834093409</v>
      </c>
      <c r="O27" s="5">
        <f t="shared" si="8"/>
        <v>21.04936114636196</v>
      </c>
      <c r="P27" s="5"/>
      <c r="Q27" s="5">
        <f t="shared" ref="Q27:S34" si="9">A27/$AK$5*$AK$9</f>
        <v>29.336472526851619</v>
      </c>
      <c r="R27" s="5">
        <f t="shared" si="9"/>
        <v>43.494862374477023</v>
      </c>
      <c r="S27" s="5">
        <f t="shared" si="9"/>
        <v>28.253612882673767</v>
      </c>
      <c r="T27" s="5"/>
      <c r="U27" s="5">
        <f t="shared" ref="U27:W34" si="10">A27/$AK$5*$AK$10</f>
        <v>5.8872089542642412</v>
      </c>
      <c r="V27" s="5">
        <f t="shared" si="10"/>
        <v>8.7284980496935223</v>
      </c>
      <c r="W27" s="5">
        <f t="shared" si="10"/>
        <v>5.6699019488776807</v>
      </c>
      <c r="X27" s="5"/>
      <c r="Y27" s="5">
        <f t="shared" ref="Y27:AA34" si="11">A27/$AK$5*$AK$11</f>
        <v>4.1571412066051936</v>
      </c>
      <c r="Z27" s="5">
        <f t="shared" si="11"/>
        <v>6.1634637391070539</v>
      </c>
      <c r="AA27" s="5">
        <f t="shared" si="11"/>
        <v>4.0036939765859305</v>
      </c>
    </row>
    <row r="28" spans="1:27">
      <c r="A28" s="4">
        <v>34.161577540106947</v>
      </c>
      <c r="B28" s="4">
        <v>50.648663101604278</v>
      </c>
      <c r="C28" s="4">
        <v>32.90061497326203</v>
      </c>
      <c r="E28" s="5">
        <f t="shared" si="6"/>
        <v>10.106582813662925</v>
      </c>
      <c r="F28" s="5">
        <f t="shared" si="6"/>
        <v>14.984229210044694</v>
      </c>
      <c r="G28" s="5">
        <f t="shared" si="6"/>
        <v>9.7335314640352575</v>
      </c>
      <c r="H28" s="5"/>
      <c r="I28" s="5">
        <f t="shared" si="7"/>
        <v>21.922489157387069</v>
      </c>
      <c r="J28" s="5">
        <f t="shared" si="7"/>
        <v>32.502736923594483</v>
      </c>
      <c r="K28" s="5">
        <f t="shared" si="7"/>
        <v>21.113292387505048</v>
      </c>
      <c r="L28" s="5"/>
      <c r="M28" s="5">
        <f t="shared" si="8"/>
        <v>21.856107661074009</v>
      </c>
      <c r="N28" s="5">
        <f t="shared" si="8"/>
        <v>32.40431834093409</v>
      </c>
      <c r="O28" s="5">
        <f t="shared" si="8"/>
        <v>21.04936114636196</v>
      </c>
      <c r="P28" s="5"/>
      <c r="Q28" s="5">
        <f t="shared" si="9"/>
        <v>29.336472526851619</v>
      </c>
      <c r="R28" s="5">
        <f t="shared" si="9"/>
        <v>43.494862374477023</v>
      </c>
      <c r="S28" s="5">
        <f t="shared" si="9"/>
        <v>28.253612882673767</v>
      </c>
      <c r="T28" s="5"/>
      <c r="U28" s="5">
        <f t="shared" si="10"/>
        <v>5.8872089542642412</v>
      </c>
      <c r="V28" s="5">
        <f t="shared" si="10"/>
        <v>8.7284980496935223</v>
      </c>
      <c r="W28" s="5">
        <f t="shared" si="10"/>
        <v>5.6699019488776807</v>
      </c>
      <c r="X28" s="5"/>
      <c r="Y28" s="5">
        <f t="shared" si="11"/>
        <v>4.1571412066051936</v>
      </c>
      <c r="Z28" s="5">
        <f t="shared" si="11"/>
        <v>6.1634637391070539</v>
      </c>
      <c r="AA28" s="5">
        <f t="shared" si="11"/>
        <v>4.0036939765859305</v>
      </c>
    </row>
    <row r="29" spans="1:27">
      <c r="A29" s="4">
        <v>34.161577540106947</v>
      </c>
      <c r="B29" s="4">
        <v>50.648663101604278</v>
      </c>
      <c r="C29" s="4">
        <v>32.90061497326203</v>
      </c>
      <c r="E29" s="5">
        <f t="shared" si="6"/>
        <v>10.106582813662925</v>
      </c>
      <c r="F29" s="5">
        <f t="shared" si="6"/>
        <v>14.984229210044694</v>
      </c>
      <c r="G29" s="5">
        <f t="shared" si="6"/>
        <v>9.7335314640352575</v>
      </c>
      <c r="H29" s="5"/>
      <c r="I29" s="5">
        <f t="shared" si="7"/>
        <v>21.922489157387069</v>
      </c>
      <c r="J29" s="5">
        <f t="shared" si="7"/>
        <v>32.502736923594483</v>
      </c>
      <c r="K29" s="5">
        <f t="shared" si="7"/>
        <v>21.113292387505048</v>
      </c>
      <c r="L29" s="5"/>
      <c r="M29" s="5">
        <f t="shared" si="8"/>
        <v>21.856107661074009</v>
      </c>
      <c r="N29" s="5">
        <f t="shared" si="8"/>
        <v>32.40431834093409</v>
      </c>
      <c r="O29" s="5">
        <f t="shared" si="8"/>
        <v>21.04936114636196</v>
      </c>
      <c r="P29" s="5"/>
      <c r="Q29" s="5">
        <f t="shared" si="9"/>
        <v>29.336472526851619</v>
      </c>
      <c r="R29" s="5">
        <f t="shared" si="9"/>
        <v>43.494862374477023</v>
      </c>
      <c r="S29" s="5">
        <f t="shared" si="9"/>
        <v>28.253612882673767</v>
      </c>
      <c r="T29" s="5"/>
      <c r="U29" s="5">
        <f t="shared" si="10"/>
        <v>5.8872089542642412</v>
      </c>
      <c r="V29" s="5">
        <f t="shared" si="10"/>
        <v>8.7284980496935223</v>
      </c>
      <c r="W29" s="5">
        <f t="shared" si="10"/>
        <v>5.6699019488776807</v>
      </c>
      <c r="X29" s="5"/>
      <c r="Y29" s="5">
        <f t="shared" si="11"/>
        <v>4.1571412066051936</v>
      </c>
      <c r="Z29" s="5">
        <f t="shared" si="11"/>
        <v>6.1634637391070539</v>
      </c>
      <c r="AA29" s="5">
        <f t="shared" si="11"/>
        <v>4.0036939765859305</v>
      </c>
    </row>
    <row r="30" spans="1:27">
      <c r="A30" s="4">
        <v>34.161577540106947</v>
      </c>
      <c r="B30" s="4">
        <v>50.648663101604278</v>
      </c>
      <c r="C30" s="4">
        <v>32.90061497326203</v>
      </c>
      <c r="E30" s="5">
        <f t="shared" si="6"/>
        <v>10.106582813662925</v>
      </c>
      <c r="F30" s="5">
        <f t="shared" si="6"/>
        <v>14.984229210044694</v>
      </c>
      <c r="G30" s="5">
        <f t="shared" si="6"/>
        <v>9.7335314640352575</v>
      </c>
      <c r="H30" s="5"/>
      <c r="I30" s="5">
        <f t="shared" si="7"/>
        <v>21.922489157387069</v>
      </c>
      <c r="J30" s="5">
        <f t="shared" si="7"/>
        <v>32.502736923594483</v>
      </c>
      <c r="K30" s="5">
        <f t="shared" si="7"/>
        <v>21.113292387505048</v>
      </c>
      <c r="L30" s="5"/>
      <c r="M30" s="5">
        <f t="shared" si="8"/>
        <v>21.856107661074009</v>
      </c>
      <c r="N30" s="5">
        <f t="shared" si="8"/>
        <v>32.40431834093409</v>
      </c>
      <c r="O30" s="5">
        <f t="shared" si="8"/>
        <v>21.04936114636196</v>
      </c>
      <c r="P30" s="5"/>
      <c r="Q30" s="5">
        <f t="shared" si="9"/>
        <v>29.336472526851619</v>
      </c>
      <c r="R30" s="5">
        <f t="shared" si="9"/>
        <v>43.494862374477023</v>
      </c>
      <c r="S30" s="5">
        <f t="shared" si="9"/>
        <v>28.253612882673767</v>
      </c>
      <c r="T30" s="5"/>
      <c r="U30" s="5">
        <f t="shared" si="10"/>
        <v>5.8872089542642412</v>
      </c>
      <c r="V30" s="5">
        <f t="shared" si="10"/>
        <v>8.7284980496935223</v>
      </c>
      <c r="W30" s="5">
        <f t="shared" si="10"/>
        <v>5.6699019488776807</v>
      </c>
      <c r="X30" s="5"/>
      <c r="Y30" s="5">
        <f t="shared" si="11"/>
        <v>4.1571412066051936</v>
      </c>
      <c r="Z30" s="5">
        <f t="shared" si="11"/>
        <v>6.1634637391070539</v>
      </c>
      <c r="AA30" s="5">
        <f t="shared" si="11"/>
        <v>4.0036939765859305</v>
      </c>
    </row>
    <row r="31" spans="1:27">
      <c r="A31" s="4">
        <v>36.431310160427806</v>
      </c>
      <c r="B31" s="4">
        <v>57.930721925133689</v>
      </c>
      <c r="C31" s="4">
        <v>32.90061497326203</v>
      </c>
      <c r="E31" s="5">
        <f t="shared" si="6"/>
        <v>10.778075242992729</v>
      </c>
      <c r="F31" s="5">
        <f t="shared" si="6"/>
        <v>17.13860075414448</v>
      </c>
      <c r="G31" s="5">
        <f t="shared" si="6"/>
        <v>9.7335314640352575</v>
      </c>
      <c r="H31" s="5"/>
      <c r="I31" s="5">
        <f t="shared" si="7"/>
        <v>23.379043343174704</v>
      </c>
      <c r="J31" s="5">
        <f t="shared" si="7"/>
        <v>37.175848269663156</v>
      </c>
      <c r="K31" s="5">
        <f t="shared" si="7"/>
        <v>21.113292387505048</v>
      </c>
      <c r="L31" s="5"/>
      <c r="M31" s="5">
        <f t="shared" si="8"/>
        <v>23.308251387555707</v>
      </c>
      <c r="N31" s="5">
        <f t="shared" si="8"/>
        <v>37.063279463396192</v>
      </c>
      <c r="O31" s="5">
        <f t="shared" si="8"/>
        <v>21.04936114636196</v>
      </c>
      <c r="P31" s="5"/>
      <c r="Q31" s="5">
        <f t="shared" si="9"/>
        <v>31.285619886371752</v>
      </c>
      <c r="R31" s="5">
        <f t="shared" si="9"/>
        <v>49.748376819604118</v>
      </c>
      <c r="S31" s="5">
        <f t="shared" si="9"/>
        <v>28.253612882673767</v>
      </c>
      <c r="T31" s="5"/>
      <c r="U31" s="5">
        <f t="shared" si="10"/>
        <v>6.2783615639600505</v>
      </c>
      <c r="V31" s="5">
        <f t="shared" si="10"/>
        <v>9.9834460058009107</v>
      </c>
      <c r="W31" s="5">
        <f t="shared" si="10"/>
        <v>5.6699019488776807</v>
      </c>
      <c r="X31" s="5"/>
      <c r="Y31" s="5">
        <f t="shared" si="11"/>
        <v>4.4333462206398666</v>
      </c>
      <c r="Z31" s="5">
        <f t="shared" si="11"/>
        <v>7.0496214924682965</v>
      </c>
      <c r="AA31" s="5">
        <f t="shared" si="11"/>
        <v>4.0036939765859305</v>
      </c>
    </row>
    <row r="32" spans="1:27">
      <c r="A32" s="4">
        <v>38.459358288770055</v>
      </c>
      <c r="B32" s="4">
        <v>64.529759358288771</v>
      </c>
      <c r="C32" s="4">
        <v>42.483930481283423</v>
      </c>
      <c r="E32" s="5">
        <f t="shared" si="6"/>
        <v>11.378066163643897</v>
      </c>
      <c r="F32" s="5">
        <f t="shared" si="6"/>
        <v>19.09090281719595</v>
      </c>
      <c r="G32" s="5">
        <f t="shared" si="6"/>
        <v>12.56872172120554</v>
      </c>
      <c r="H32" s="5"/>
      <c r="I32" s="5">
        <f t="shared" si="7"/>
        <v>24.680501481401624</v>
      </c>
      <c r="J32" s="5">
        <f t="shared" si="7"/>
        <v>41.410644698712396</v>
      </c>
      <c r="K32" s="5">
        <f t="shared" si="7"/>
        <v>27.263187838608403</v>
      </c>
      <c r="L32" s="5"/>
      <c r="M32" s="5">
        <f t="shared" si="8"/>
        <v>24.605768698717593</v>
      </c>
      <c r="N32" s="5">
        <f t="shared" si="8"/>
        <v>41.285252890389266</v>
      </c>
      <c r="O32" s="5">
        <f t="shared" si="8"/>
        <v>27.180634658173556</v>
      </c>
      <c r="P32" s="5"/>
      <c r="Q32" s="5">
        <f t="shared" si="9"/>
        <v>33.027219147424468</v>
      </c>
      <c r="R32" s="5">
        <f t="shared" si="9"/>
        <v>55.41534229080154</v>
      </c>
      <c r="S32" s="5">
        <f t="shared" si="9"/>
        <v>36.483346178425442</v>
      </c>
      <c r="T32" s="5"/>
      <c r="U32" s="5">
        <f t="shared" si="10"/>
        <v>6.6278636642901034</v>
      </c>
      <c r="V32" s="5">
        <f t="shared" si="10"/>
        <v>11.120686000657246</v>
      </c>
      <c r="W32" s="5">
        <f t="shared" si="10"/>
        <v>7.3214351898155421</v>
      </c>
      <c r="X32" s="5"/>
      <c r="Y32" s="5">
        <f t="shared" si="11"/>
        <v>4.6801405155875146</v>
      </c>
      <c r="Z32" s="5">
        <f t="shared" si="11"/>
        <v>7.8526619962357715</v>
      </c>
      <c r="AA32" s="5">
        <f t="shared" si="11"/>
        <v>5.169892924732328</v>
      </c>
    </row>
    <row r="33" spans="1:28">
      <c r="A33" s="4">
        <v>40.151149732620318</v>
      </c>
      <c r="B33" s="4">
        <v>75.300481283422457</v>
      </c>
      <c r="C33" s="4">
        <v>42.483930481283423</v>
      </c>
      <c r="E33" s="5">
        <f t="shared" si="6"/>
        <v>11.878576724394351</v>
      </c>
      <c r="F33" s="5">
        <f t="shared" si="6"/>
        <v>22.27738309526562</v>
      </c>
      <c r="G33" s="5">
        <f t="shared" si="6"/>
        <v>12.56872172120554</v>
      </c>
      <c r="H33" s="5"/>
      <c r="I33" s="5">
        <f t="shared" si="7"/>
        <v>25.766173814326663</v>
      </c>
      <c r="J33" s="5">
        <f t="shared" si="7"/>
        <v>48.322533774787985</v>
      </c>
      <c r="K33" s="5">
        <f t="shared" si="7"/>
        <v>27.263187838608403</v>
      </c>
      <c r="L33" s="5"/>
      <c r="M33" s="5">
        <f t="shared" si="8"/>
        <v>25.688153605956259</v>
      </c>
      <c r="N33" s="5">
        <f t="shared" si="8"/>
        <v>48.176212703554711</v>
      </c>
      <c r="O33" s="5">
        <f t="shared" si="8"/>
        <v>27.180634658173556</v>
      </c>
      <c r="P33" s="5"/>
      <c r="Q33" s="5">
        <f t="shared" si="9"/>
        <v>34.480055836696415</v>
      </c>
      <c r="R33" s="5">
        <f t="shared" si="9"/>
        <v>64.664768418154011</v>
      </c>
      <c r="S33" s="5">
        <f t="shared" si="9"/>
        <v>36.483346178425442</v>
      </c>
      <c r="T33" s="5"/>
      <c r="U33" s="5">
        <f t="shared" si="10"/>
        <v>6.9194172298504046</v>
      </c>
      <c r="V33" s="5">
        <f t="shared" si="10"/>
        <v>12.976850005000784</v>
      </c>
      <c r="W33" s="5">
        <f t="shared" si="10"/>
        <v>7.3214351898155421</v>
      </c>
      <c r="X33" s="5"/>
      <c r="Y33" s="5">
        <f t="shared" si="11"/>
        <v>4.8860155491966912</v>
      </c>
      <c r="Z33" s="5">
        <f t="shared" si="11"/>
        <v>9.1633570859836411</v>
      </c>
      <c r="AA33" s="5">
        <f t="shared" si="11"/>
        <v>5.169892924732328</v>
      </c>
    </row>
    <row r="34" spans="1:28">
      <c r="A34" s="4">
        <v>46.928823529411758</v>
      </c>
      <c r="B34" s="4">
        <v>80.449411764705886</v>
      </c>
      <c r="C34" s="4">
        <v>42.483930481283423</v>
      </c>
      <c r="E34" s="5">
        <f t="shared" si="6"/>
        <v>13.883727728643072</v>
      </c>
      <c r="F34" s="5">
        <f t="shared" si="6"/>
        <v>23.80067610624527</v>
      </c>
      <c r="G34" s="5">
        <f t="shared" si="6"/>
        <v>12.56872172120554</v>
      </c>
      <c r="H34" s="5"/>
      <c r="I34" s="5">
        <f t="shared" si="7"/>
        <v>30.115606452442524</v>
      </c>
      <c r="J34" s="5">
        <f t="shared" si="7"/>
        <v>51.626753918472907</v>
      </c>
      <c r="K34" s="5">
        <f t="shared" si="7"/>
        <v>27.263187838608403</v>
      </c>
      <c r="L34" s="5"/>
      <c r="M34" s="5">
        <f t="shared" si="8"/>
        <v>30.024416122533538</v>
      </c>
      <c r="N34" s="5">
        <f t="shared" si="8"/>
        <v>51.470427638628934</v>
      </c>
      <c r="O34" s="5">
        <f t="shared" si="8"/>
        <v>27.180634658173556</v>
      </c>
      <c r="P34" s="5"/>
      <c r="Q34" s="5">
        <f t="shared" si="9"/>
        <v>40.300426424152363</v>
      </c>
      <c r="R34" s="5">
        <f t="shared" si="9"/>
        <v>69.08644529854692</v>
      </c>
      <c r="S34" s="5">
        <f t="shared" si="9"/>
        <v>36.483346178425442</v>
      </c>
      <c r="T34" s="5"/>
      <c r="U34" s="5">
        <f t="shared" si="10"/>
        <v>8.0874423838031682</v>
      </c>
      <c r="V34" s="5">
        <f t="shared" si="10"/>
        <v>13.864186943662576</v>
      </c>
      <c r="W34" s="5">
        <f t="shared" si="10"/>
        <v>7.3214351898155421</v>
      </c>
      <c r="X34" s="5"/>
      <c r="Y34" s="5">
        <f t="shared" si="11"/>
        <v>5.7107944105502284</v>
      </c>
      <c r="Z34" s="5">
        <f t="shared" si="11"/>
        <v>9.7899332752289645</v>
      </c>
      <c r="AA34" s="5">
        <f t="shared" si="11"/>
        <v>5.169892924732328</v>
      </c>
    </row>
    <row r="41" spans="1:28">
      <c r="A41" t="s">
        <v>83</v>
      </c>
    </row>
    <row r="42" spans="1:28">
      <c r="A42" t="s">
        <v>84</v>
      </c>
    </row>
    <row r="43" spans="1:28">
      <c r="A43" t="s">
        <v>87</v>
      </c>
      <c r="B43" t="s">
        <v>88</v>
      </c>
    </row>
    <row r="45" spans="1:28">
      <c r="F45" t="s">
        <v>89</v>
      </c>
      <c r="U45" t="s">
        <v>29</v>
      </c>
    </row>
    <row r="46" spans="1:28">
      <c r="F46" t="s">
        <v>65</v>
      </c>
      <c r="H46" t="s">
        <v>90</v>
      </c>
      <c r="J46" t="s">
        <v>71</v>
      </c>
      <c r="L46" t="s">
        <v>67</v>
      </c>
      <c r="N46" t="s">
        <v>77</v>
      </c>
      <c r="U46" t="s">
        <v>91</v>
      </c>
      <c r="W46" t="s">
        <v>79</v>
      </c>
      <c r="X46" t="s">
        <v>91</v>
      </c>
    </row>
    <row r="47" spans="1:28">
      <c r="B47" t="s">
        <v>92</v>
      </c>
      <c r="C47" t="s">
        <v>12</v>
      </c>
      <c r="D47" t="s">
        <v>93</v>
      </c>
      <c r="E47" t="s">
        <v>11</v>
      </c>
      <c r="F47" t="s">
        <v>81</v>
      </c>
      <c r="L47" t="s">
        <v>74</v>
      </c>
      <c r="U47" t="s">
        <v>94</v>
      </c>
      <c r="W47" t="s">
        <v>94</v>
      </c>
      <c r="X47" t="s">
        <v>95</v>
      </c>
      <c r="AA47" t="s">
        <v>96</v>
      </c>
    </row>
    <row r="48" spans="1:28">
      <c r="A48" t="s">
        <v>97</v>
      </c>
      <c r="B48">
        <v>4.5599999999999998E-3</v>
      </c>
      <c r="C48" t="s">
        <v>98</v>
      </c>
      <c r="D48" s="5">
        <v>0.152</v>
      </c>
      <c r="E48" t="s">
        <v>99</v>
      </c>
      <c r="F48" s="5">
        <v>1.0844699999999998</v>
      </c>
      <c r="H48" s="5">
        <v>363</v>
      </c>
      <c r="J48" s="5">
        <v>3392.21</v>
      </c>
      <c r="K48" t="s">
        <v>72</v>
      </c>
      <c r="L48" s="5">
        <v>0.28000000000000003</v>
      </c>
      <c r="M48" t="s">
        <v>69</v>
      </c>
      <c r="N48" s="5">
        <v>0.21</v>
      </c>
      <c r="O48" t="s">
        <v>69</v>
      </c>
      <c r="S48" t="s">
        <v>18</v>
      </c>
      <c r="T48" t="s">
        <v>97</v>
      </c>
      <c r="U48" s="32">
        <v>1.98</v>
      </c>
      <c r="V48" t="s">
        <v>33</v>
      </c>
      <c r="W48" s="5">
        <v>0.89793000000000001</v>
      </c>
      <c r="X48" s="32">
        <v>11</v>
      </c>
      <c r="Y48" s="1" t="s">
        <v>153</v>
      </c>
      <c r="AA48" t="s">
        <v>101</v>
      </c>
      <c r="AB48" s="1" t="s">
        <v>149</v>
      </c>
    </row>
    <row r="49" spans="1:28">
      <c r="A49" t="s">
        <v>102</v>
      </c>
      <c r="B49">
        <v>3.8E-3</v>
      </c>
      <c r="C49" t="s">
        <v>98</v>
      </c>
      <c r="D49" s="5">
        <v>8.6999999999999994E-2</v>
      </c>
      <c r="E49" t="s">
        <v>99</v>
      </c>
      <c r="F49" s="5">
        <v>1.228089</v>
      </c>
      <c r="H49" s="5">
        <v>416.66666666666663</v>
      </c>
      <c r="I49" t="s">
        <v>103</v>
      </c>
      <c r="J49" s="5">
        <v>2826.8416666666667</v>
      </c>
      <c r="L49" s="5">
        <v>0.23333333333333336</v>
      </c>
      <c r="N49" s="5">
        <v>0.17500000000000002</v>
      </c>
      <c r="T49" t="s">
        <v>102</v>
      </c>
      <c r="U49" s="32">
        <v>1.61</v>
      </c>
      <c r="V49" t="s">
        <v>104</v>
      </c>
      <c r="W49" s="5">
        <v>0.73013500000000009</v>
      </c>
      <c r="X49" s="32">
        <v>2.42</v>
      </c>
      <c r="Y49" s="1" t="s">
        <v>154</v>
      </c>
      <c r="AA49">
        <v>582</v>
      </c>
      <c r="AB49" s="1" t="s">
        <v>148</v>
      </c>
    </row>
    <row r="50" spans="1:28">
      <c r="A50" t="s">
        <v>105</v>
      </c>
      <c r="B50">
        <v>5.8500000000000002E-3</v>
      </c>
      <c r="C50" t="s">
        <v>98</v>
      </c>
      <c r="D50" s="5">
        <v>0.19500000000000001</v>
      </c>
      <c r="E50" t="s">
        <v>99</v>
      </c>
      <c r="F50" s="5">
        <v>2.4327299999999998</v>
      </c>
      <c r="H50" s="5">
        <v>335</v>
      </c>
      <c r="I50" t="s">
        <v>17</v>
      </c>
      <c r="J50" s="5">
        <v>4351.8483552631578</v>
      </c>
      <c r="L50" s="5">
        <v>0.35921052631578954</v>
      </c>
      <c r="N50" s="5">
        <v>0.26940789473684212</v>
      </c>
      <c r="T50" t="s">
        <v>105</v>
      </c>
      <c r="U50" s="32">
        <v>1.88</v>
      </c>
      <c r="V50" t="s">
        <v>31</v>
      </c>
      <c r="W50" s="5">
        <v>0.85258</v>
      </c>
      <c r="X50" s="32">
        <v>9.5</v>
      </c>
      <c r="Y50" t="s">
        <v>155</v>
      </c>
      <c r="AA50" t="s">
        <v>106</v>
      </c>
      <c r="AB50" t="s">
        <v>159</v>
      </c>
    </row>
    <row r="51" spans="1:28">
      <c r="A51" t="s">
        <v>107</v>
      </c>
      <c r="B51">
        <v>3.1799999999999997E-3</v>
      </c>
      <c r="C51" t="s">
        <v>98</v>
      </c>
      <c r="D51" s="5">
        <v>0.106</v>
      </c>
      <c r="E51" t="s">
        <v>99</v>
      </c>
      <c r="F51" s="5">
        <v>1.7879099999999999</v>
      </c>
      <c r="H51" s="5">
        <v>400</v>
      </c>
      <c r="I51" t="s">
        <v>108</v>
      </c>
      <c r="J51" s="5">
        <v>2365.6201315789472</v>
      </c>
      <c r="L51" s="5">
        <v>0.19526315789473686</v>
      </c>
      <c r="N51" s="5">
        <v>0.14644736842105263</v>
      </c>
      <c r="T51" t="s">
        <v>107</v>
      </c>
      <c r="U51" s="32">
        <v>2.31</v>
      </c>
      <c r="V51" t="s">
        <v>32</v>
      </c>
      <c r="W51" s="5">
        <v>1.047585</v>
      </c>
      <c r="X51" s="32">
        <v>8</v>
      </c>
      <c r="Y51" s="1" t="s">
        <v>156</v>
      </c>
      <c r="AA51">
        <v>950</v>
      </c>
      <c r="AB51" s="1" t="s">
        <v>160</v>
      </c>
    </row>
    <row r="52" spans="1:28">
      <c r="A52" t="s">
        <v>109</v>
      </c>
      <c r="B52">
        <v>8.3999999999999995E-3</v>
      </c>
      <c r="C52" t="s">
        <v>98</v>
      </c>
      <c r="D52" s="5">
        <v>0.255</v>
      </c>
      <c r="E52" t="s">
        <v>99</v>
      </c>
      <c r="F52" s="5">
        <v>2.6378999999999997</v>
      </c>
      <c r="H52" s="5">
        <v>800</v>
      </c>
      <c r="J52" s="5">
        <v>6248.8078947368413</v>
      </c>
      <c r="L52" s="5">
        <v>0.51578947368421058</v>
      </c>
      <c r="N52" s="5">
        <v>0.38684210526315788</v>
      </c>
      <c r="T52" t="s">
        <v>109</v>
      </c>
      <c r="U52" s="32">
        <v>2.39</v>
      </c>
      <c r="V52" t="s">
        <v>33</v>
      </c>
      <c r="W52" s="5">
        <v>1.0838650000000001</v>
      </c>
      <c r="X52" s="32">
        <v>12</v>
      </c>
      <c r="Y52" t="s">
        <v>36</v>
      </c>
      <c r="Z52" t="s">
        <v>42</v>
      </c>
      <c r="AA52" t="s">
        <v>110</v>
      </c>
      <c r="AB52" s="1" t="s">
        <v>161</v>
      </c>
    </row>
    <row r="53" spans="1:28">
      <c r="A53" t="s">
        <v>111</v>
      </c>
      <c r="B53">
        <v>2.2200000000000002E-3</v>
      </c>
      <c r="C53" t="s">
        <v>98</v>
      </c>
      <c r="D53" s="5">
        <v>7.3999999999999996E-2</v>
      </c>
      <c r="E53" t="s">
        <v>99</v>
      </c>
      <c r="F53" s="5">
        <v>0.17399999999999999</v>
      </c>
      <c r="G53" t="s">
        <v>86</v>
      </c>
      <c r="H53" s="5">
        <v>200</v>
      </c>
      <c r="I53" t="s">
        <v>108</v>
      </c>
      <c r="J53" s="5">
        <v>1651.4706578947369</v>
      </c>
      <c r="L53" s="5">
        <v>0.13631578947368425</v>
      </c>
      <c r="N53" s="5">
        <v>0.10223684210526317</v>
      </c>
      <c r="T53" t="s">
        <v>111</v>
      </c>
      <c r="U53" s="32">
        <v>2.08</v>
      </c>
      <c r="V53" t="s">
        <v>34</v>
      </c>
      <c r="W53" s="5">
        <v>0.94328000000000001</v>
      </c>
      <c r="X53" s="32">
        <v>2</v>
      </c>
      <c r="Y53" s="1" t="s">
        <v>157</v>
      </c>
      <c r="AA53">
        <v>600</v>
      </c>
      <c r="AB53" s="1" t="s">
        <v>162</v>
      </c>
    </row>
    <row r="54" spans="1:28">
      <c r="A54" t="s">
        <v>112</v>
      </c>
      <c r="B54">
        <v>3.2000000000000002E-3</v>
      </c>
      <c r="C54" t="s">
        <v>98</v>
      </c>
      <c r="D54" s="5">
        <v>0.122</v>
      </c>
      <c r="E54" t="s">
        <v>99</v>
      </c>
      <c r="F54" s="5">
        <v>1.7292899999999998</v>
      </c>
      <c r="H54" s="5">
        <v>300</v>
      </c>
      <c r="J54" s="5">
        <v>2380.4982456140351</v>
      </c>
      <c r="L54" s="5">
        <v>0.19649122807017549</v>
      </c>
      <c r="N54" s="5">
        <v>0.14736842105263159</v>
      </c>
      <c r="T54" t="s">
        <v>112</v>
      </c>
      <c r="U54" s="32">
        <v>1.71</v>
      </c>
      <c r="V54" t="s">
        <v>113</v>
      </c>
      <c r="W54" s="5">
        <v>0.77548499999999998</v>
      </c>
      <c r="X54" s="32">
        <v>6</v>
      </c>
      <c r="Y54" s="1" t="s">
        <v>158</v>
      </c>
      <c r="AA54">
        <v>480</v>
      </c>
      <c r="AB54" s="1" t="s">
        <v>141</v>
      </c>
    </row>
    <row r="58" spans="1:28">
      <c r="AA58">
        <f>(740+815)/2</f>
        <v>777.5</v>
      </c>
      <c r="AB58" s="32">
        <f>AA58/37</f>
        <v>21.013513513513512</v>
      </c>
    </row>
    <row r="59" spans="1:28">
      <c r="AA59">
        <v>582</v>
      </c>
      <c r="AB59" s="32">
        <f t="shared" ref="AB59:AB64" si="12">AA59/37</f>
        <v>15.72972972972973</v>
      </c>
    </row>
    <row r="60" spans="1:28">
      <c r="AA60">
        <v>900</v>
      </c>
      <c r="AB60" s="32">
        <f t="shared" si="12"/>
        <v>24.324324324324323</v>
      </c>
    </row>
    <row r="61" spans="1:28">
      <c r="AA61">
        <v>950</v>
      </c>
      <c r="AB61" s="32">
        <f t="shared" si="12"/>
        <v>25.675675675675677</v>
      </c>
    </row>
    <row r="62" spans="1:28">
      <c r="AA62">
        <v>1050</v>
      </c>
      <c r="AB62" s="32">
        <f t="shared" si="12"/>
        <v>28.378378378378379</v>
      </c>
    </row>
    <row r="63" spans="1:28">
      <c r="AA63">
        <v>600</v>
      </c>
      <c r="AB63" s="32">
        <f t="shared" si="12"/>
        <v>16.216216216216218</v>
      </c>
    </row>
    <row r="64" spans="1:28">
      <c r="AA64">
        <v>480</v>
      </c>
      <c r="AB64" s="32">
        <f t="shared" si="12"/>
        <v>12.972972972972974</v>
      </c>
    </row>
  </sheetData>
  <phoneticPr fontId="1" type="noConversion"/>
  <hyperlinks>
    <hyperlink ref="I6" r:id="rId1" location=":~:text=%E2%80%94%E2%80%94%E5%8D%B1%E5%BA%9F%E7%84%9A%E7%83%A7%E5%A4%84%E7%90%86%E4%BB%B7%E6%A0%BC%EF%BC%9A%E7%BA%A63000%E5%85%83%2F%E5%90%A8 " xr:uid="{6010478C-40C3-C14A-91C9-458CDBCF52CF}"/>
    <hyperlink ref="X6" r:id="rId2" location=":~:text=The%20price%20trend%20for%20activated,an%20overall%20optimistic%20market%20sentiment " xr:uid="{A974AEE9-109A-244B-A5E9-F2651AA4FD3B}"/>
    <hyperlink ref="X11" r:id="rId3" location=":~:text=Export%20Prices%20by%20Country" xr:uid="{6BEF45D7-0F12-5B48-9070-66A5456CA303}"/>
    <hyperlink ref="AK2" r:id="rId4" xr:uid="{D7961CC0-FC61-7B46-9F5D-0B07E1B7C9FD}"/>
    <hyperlink ref="F3" r:id="rId5" xr:uid="{43AD8CA4-B4EA-BE49-8681-6B15721E9A6A}"/>
    <hyperlink ref="AG3" r:id="rId6" xr:uid="{F600BF73-827E-9B4A-B40E-F6C532C23614}"/>
    <hyperlink ref="AI10" r:id="rId7" xr:uid="{459659AD-F214-7F46-9F80-C9D64D9B4FCE}"/>
    <hyperlink ref="X5" r:id="rId8" location=":~:text=Category%20Region%20Price%20Activated%20Carbon,Specialty%20Chemical%20Germany%202388%20USD%2FMT " xr:uid="{EC1717DC-2D86-0D4C-9055-73A32B8EC34F}"/>
    <hyperlink ref="E4" r:id="rId9" xr:uid="{B3315509-1ED9-9344-A864-C0A0C7EAD260}"/>
    <hyperlink ref="AO2" r:id="rId10" xr:uid="{302B41FD-BDA2-7A42-9FD7-6662B9A42872}"/>
    <hyperlink ref="AB49" r:id="rId11" xr:uid="{50B20D46-4D27-0744-9C78-E3F19299D49B}"/>
    <hyperlink ref="AB48" r:id="rId12" xr:uid="{867D6579-8E1E-7147-B73E-2C11277F3640}"/>
    <hyperlink ref="X7" r:id="rId13" location=":~:text=Activated%20Carbon%20Price%20in%20Japan,2023 " xr:uid="{C07CF469-0563-0C4D-9F99-0ECE8B6026E1}"/>
    <hyperlink ref="X8" r:id="rId14" location=":~:text=Activated%20Carbon%20Price%20in%20South,2023 " xr:uid="{21BD4FA3-3C7C-5B48-8CD8-DA4BA94F2D57}"/>
    <hyperlink ref="X9" r:id="rId15" location=":~:text=Category%20Region%20Price%20Activated%20Carbon,Specialty%20Chemical%20Germany%202388%20USD%2FMT " xr:uid="{F73D0A2C-02FC-7245-A0B4-786D1A10DDD3}"/>
    <hyperlink ref="Y48" r:id="rId16" location=":~:text=performance%20characteristics,cubic%20foot%20for%20SBA%2FWBA%20resins " xr:uid="{75519067-E17E-6849-8FC6-A4F9E7164263}"/>
    <hyperlink ref="Y49" r:id="rId17" xr:uid="{4AA4C760-62C6-F949-8D26-595F315F34EE}"/>
    <hyperlink ref="Y51" r:id="rId18" location=":~:text=Lon%20Exchange%20Resin%20,and%20ultrapure%20water%20for " xr:uid="{026FBBF9-E876-0044-8248-B4F4E7158F6A}"/>
    <hyperlink ref="Y53" r:id="rId19" location=":~:text=RESINEX%20K,2kgs " xr:uid="{00B4CB3B-E85A-ED4D-B021-DA8781B5E363}"/>
    <hyperlink ref="Y54" r:id="rId20" location=":~:text=Anion%20Exchange%20Resin%20worth%20%243%2C805%2C746,were%20imported%20from%209%20countries " xr:uid="{1AECAE48-1C57-1A42-BA40-E68112611012}"/>
    <hyperlink ref="AB51" r:id="rId21" location=":~:text=%2A%205 " xr:uid="{178F0B4C-5A03-914C-93E3-445FE6F5D6C8}"/>
    <hyperlink ref="AB52" r:id="rId22" location=":~:text=shop24.de%20%20Die%20FILMTEC%20BW30,DVGW%20Enth%C3%A4rtungsanlage%20mit%20Zubeh%C3%B6r%20Inkl " xr:uid="{D8EF2AFA-734D-7E41-BC81-681A99C7E2C6}"/>
    <hyperlink ref="AB53" r:id="rId23" location=":~:text=Mi%E1%BB%85n%20ph%C3%AD%3A%20%28 " xr:uid="{2CA7876E-D5EB-F948-9499-30A1F2B4B3BF}"/>
    <hyperlink ref="AB54" r:id="rId24" location=":~:text=There%20are%2050%2B%20RO%20Membrane,8040%20CPA%205%20LD " xr:uid="{1B58E22B-9E7D-AE48-A6EB-F05A06C75044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0265-D0BF-3D46-89C6-0A0B6BAF2254}">
  <dimension ref="A1:AP54"/>
  <sheetViews>
    <sheetView topLeftCell="I4" workbookViewId="0">
      <selection activeCell="I14" sqref="I14"/>
    </sheetView>
  </sheetViews>
  <sheetFormatPr baseColWidth="10" defaultColWidth="8.83203125" defaultRowHeight="15"/>
  <cols>
    <col min="4" max="4" width="13" customWidth="1"/>
    <col min="6" max="6" width="11.33203125" customWidth="1"/>
    <col min="8" max="8" width="15" customWidth="1"/>
    <col min="9" max="9" width="27.33203125" customWidth="1"/>
    <col min="10" max="10" width="22" customWidth="1"/>
    <col min="12" max="12" width="29" customWidth="1"/>
    <col min="14" max="14" width="25" customWidth="1"/>
  </cols>
  <sheetData>
    <row r="1" spans="1:42">
      <c r="AK1">
        <v>2023</v>
      </c>
    </row>
    <row r="2" spans="1:42">
      <c r="F2" t="s">
        <v>66</v>
      </c>
      <c r="P2" t="s">
        <v>118</v>
      </c>
      <c r="W2" t="s">
        <v>29</v>
      </c>
      <c r="AG2" t="s">
        <v>66</v>
      </c>
      <c r="AK2" s="1" t="s">
        <v>76</v>
      </c>
      <c r="AO2" t="s">
        <v>44</v>
      </c>
    </row>
    <row r="3" spans="1:42">
      <c r="F3" s="1" t="s">
        <v>85</v>
      </c>
      <c r="H3" s="10"/>
      <c r="I3" s="8"/>
      <c r="J3" s="10" t="s">
        <v>140</v>
      </c>
      <c r="K3" s="8"/>
      <c r="L3" s="10" t="s">
        <v>143</v>
      </c>
      <c r="M3" s="8"/>
      <c r="N3" s="10"/>
      <c r="P3" t="s">
        <v>114</v>
      </c>
      <c r="W3" t="s">
        <v>28</v>
      </c>
      <c r="Y3" t="s">
        <v>80</v>
      </c>
      <c r="Z3" t="s">
        <v>122</v>
      </c>
      <c r="AG3" s="1" t="s">
        <v>85</v>
      </c>
      <c r="AK3" t="s">
        <v>13</v>
      </c>
      <c r="AN3" t="s">
        <v>23</v>
      </c>
    </row>
    <row r="4" spans="1:42">
      <c r="B4" t="s">
        <v>14</v>
      </c>
      <c r="C4" t="s">
        <v>12</v>
      </c>
      <c r="D4" s="10" t="s">
        <v>7</v>
      </c>
      <c r="E4" s="5" t="s">
        <v>11</v>
      </c>
      <c r="F4" s="9" t="s">
        <v>82</v>
      </c>
      <c r="J4" s="5"/>
      <c r="L4" s="5"/>
      <c r="N4" s="5"/>
      <c r="P4" t="s">
        <v>116</v>
      </c>
      <c r="W4" t="s">
        <v>20</v>
      </c>
      <c r="Y4" s="9" t="s">
        <v>20</v>
      </c>
      <c r="Z4" t="s">
        <v>21</v>
      </c>
      <c r="AC4" s="23" t="s">
        <v>22</v>
      </c>
      <c r="AH4" t="s">
        <v>64</v>
      </c>
      <c r="AK4" t="s">
        <v>8</v>
      </c>
      <c r="AL4" t="s">
        <v>119</v>
      </c>
      <c r="AN4" t="s">
        <v>20</v>
      </c>
      <c r="AO4">
        <v>2.9</v>
      </c>
      <c r="AP4" t="s">
        <v>24</v>
      </c>
    </row>
    <row r="5" spans="1:42">
      <c r="A5" t="s">
        <v>0</v>
      </c>
      <c r="B5">
        <v>4.5599999999999998E-3</v>
      </c>
      <c r="C5" t="s">
        <v>10</v>
      </c>
      <c r="D5" s="5">
        <v>0.152</v>
      </c>
      <c r="E5" s="5" t="s">
        <v>9</v>
      </c>
      <c r="F5" s="5">
        <f>AH5*29.31</f>
        <v>1.0844699999999998</v>
      </c>
      <c r="H5" s="5"/>
      <c r="J5" s="5">
        <v>437901.48342454131</v>
      </c>
      <c r="L5" s="5">
        <f>AC5/400</f>
        <v>1.9437500000000001</v>
      </c>
      <c r="N5" s="5"/>
      <c r="O5" t="s">
        <v>70</v>
      </c>
      <c r="P5">
        <v>200</v>
      </c>
      <c r="Q5" t="s">
        <v>115</v>
      </c>
      <c r="R5" t="s">
        <v>0</v>
      </c>
      <c r="S5">
        <v>473.2</v>
      </c>
      <c r="U5" t="s">
        <v>18</v>
      </c>
      <c r="V5" t="s">
        <v>0</v>
      </c>
      <c r="W5">
        <v>1.98</v>
      </c>
      <c r="X5" t="s">
        <v>33</v>
      </c>
      <c r="Y5">
        <f>W5*0.4535</f>
        <v>0.89793000000000001</v>
      </c>
      <c r="Z5" s="11">
        <f>Z16*43*0.4535</f>
        <v>214.50550000000001</v>
      </c>
      <c r="AC5" s="23">
        <f>(740+815)/2</f>
        <v>777.5</v>
      </c>
      <c r="AD5" s="1" t="s">
        <v>142</v>
      </c>
      <c r="AE5" t="s">
        <v>48</v>
      </c>
      <c r="AG5" t="s">
        <v>0</v>
      </c>
      <c r="AH5" s="19">
        <v>3.6999999999999998E-2</v>
      </c>
      <c r="AJ5" t="s">
        <v>0</v>
      </c>
      <c r="AK5">
        <v>82340</v>
      </c>
      <c r="AL5">
        <v>0.96</v>
      </c>
      <c r="AM5" t="s">
        <v>120</v>
      </c>
      <c r="AN5" t="s">
        <v>21</v>
      </c>
      <c r="AO5">
        <v>15.7</v>
      </c>
      <c r="AP5" t="s">
        <v>24</v>
      </c>
    </row>
    <row r="6" spans="1:42">
      <c r="A6" t="s">
        <v>1</v>
      </c>
      <c r="B6">
        <v>3.8E-3</v>
      </c>
      <c r="C6" t="s">
        <v>10</v>
      </c>
      <c r="D6">
        <v>8.6999999999999994E-2</v>
      </c>
      <c r="E6" t="s">
        <v>9</v>
      </c>
      <c r="F6">
        <f>AH6*29.31</f>
        <v>1.34826</v>
      </c>
      <c r="I6" s="13"/>
      <c r="J6">
        <v>421703.72854583437</v>
      </c>
      <c r="L6">
        <f>AC6/400</f>
        <v>1.4550000000000001</v>
      </c>
      <c r="P6">
        <f>$P$5*S6/$S$5</f>
        <v>27.514792899408281</v>
      </c>
      <c r="R6" t="s">
        <v>1</v>
      </c>
      <c r="S6">
        <v>65.099999999999994</v>
      </c>
      <c r="V6" t="s">
        <v>1</v>
      </c>
      <c r="W6">
        <v>1.61</v>
      </c>
      <c r="X6" s="13" t="s">
        <v>30</v>
      </c>
      <c r="Y6">
        <f t="shared" ref="Y6:Y11" si="0">W6*0.4535</f>
        <v>0.73013500000000009</v>
      </c>
      <c r="Z6">
        <f t="shared" ref="Z6:Z11" si="1">Z17*43*0.4535</f>
        <v>47.191210000000005</v>
      </c>
      <c r="AA6" t="s">
        <v>139</v>
      </c>
      <c r="AC6" s="24">
        <v>582</v>
      </c>
      <c r="AD6" t="s">
        <v>45</v>
      </c>
      <c r="AE6" t="s">
        <v>49</v>
      </c>
      <c r="AG6" t="s">
        <v>1</v>
      </c>
      <c r="AH6" s="20">
        <v>4.5999999999999999E-2</v>
      </c>
      <c r="AI6" t="s">
        <v>137</v>
      </c>
      <c r="AJ6" t="s">
        <v>1</v>
      </c>
      <c r="AK6">
        <v>24360</v>
      </c>
      <c r="AL6">
        <v>1.004</v>
      </c>
      <c r="AN6" t="s">
        <v>22</v>
      </c>
    </row>
    <row r="7" spans="1:42">
      <c r="A7" t="s">
        <v>2</v>
      </c>
      <c r="B7">
        <f>$B$5*D7/$D$5</f>
        <v>5.8500000000000002E-3</v>
      </c>
      <c r="C7" t="s">
        <v>10</v>
      </c>
      <c r="D7">
        <v>0.19500000000000001</v>
      </c>
      <c r="E7" t="s">
        <v>9</v>
      </c>
      <c r="F7">
        <f>AH7*29.31</f>
        <v>2.4327299999999998</v>
      </c>
      <c r="J7">
        <v>579316.99577899894</v>
      </c>
      <c r="L7">
        <f t="shared" ref="L7:L11" si="2">AC7/400</f>
        <v>2.25</v>
      </c>
      <c r="P7">
        <f t="shared" ref="P7:P11" si="3">$P$5*S7/$S$5</f>
        <v>42.265426880811496</v>
      </c>
      <c r="R7" t="s">
        <v>2</v>
      </c>
      <c r="S7">
        <v>100</v>
      </c>
      <c r="T7" t="s">
        <v>117</v>
      </c>
      <c r="V7" t="s">
        <v>2</v>
      </c>
      <c r="W7">
        <v>1.88</v>
      </c>
      <c r="X7" t="s">
        <v>31</v>
      </c>
      <c r="Y7">
        <f t="shared" si="0"/>
        <v>0.85258</v>
      </c>
      <c r="Z7">
        <f t="shared" si="1"/>
        <v>185.25475</v>
      </c>
      <c r="AC7" s="24">
        <f>(800+1000)/2</f>
        <v>900</v>
      </c>
      <c r="AD7" t="s">
        <v>51</v>
      </c>
      <c r="AG7" t="s">
        <v>2</v>
      </c>
      <c r="AH7" s="20">
        <v>8.3000000000000004E-2</v>
      </c>
      <c r="AJ7" t="s">
        <v>2</v>
      </c>
      <c r="AK7">
        <v>52840</v>
      </c>
      <c r="AL7">
        <v>1.095</v>
      </c>
    </row>
    <row r="8" spans="1:42">
      <c r="A8" t="s">
        <v>3</v>
      </c>
      <c r="B8">
        <f>$B$5*D8/$D$5</f>
        <v>3.1799999999999997E-3</v>
      </c>
      <c r="C8" t="s">
        <v>10</v>
      </c>
      <c r="D8">
        <v>0.106</v>
      </c>
      <c r="E8" t="s">
        <v>9</v>
      </c>
      <c r="F8">
        <f>AH8*29.31</f>
        <v>1.7879099999999999</v>
      </c>
      <c r="J8">
        <v>537256.03502355015</v>
      </c>
      <c r="L8">
        <f t="shared" si="2"/>
        <v>2.375</v>
      </c>
      <c r="P8">
        <f t="shared" si="3"/>
        <v>42.265426880811496</v>
      </c>
      <c r="R8" t="s">
        <v>3</v>
      </c>
      <c r="S8">
        <v>100</v>
      </c>
      <c r="T8" t="s">
        <v>117</v>
      </c>
      <c r="V8" t="s">
        <v>3</v>
      </c>
      <c r="W8">
        <v>2.31</v>
      </c>
      <c r="X8" t="s">
        <v>32</v>
      </c>
      <c r="Y8">
        <f t="shared" si="0"/>
        <v>1.047585</v>
      </c>
      <c r="Z8">
        <f t="shared" si="1"/>
        <v>156.00400000000002</v>
      </c>
      <c r="AC8" s="24">
        <v>950</v>
      </c>
      <c r="AD8" t="s">
        <v>52</v>
      </c>
      <c r="AG8" t="s">
        <v>3</v>
      </c>
      <c r="AH8" s="20">
        <v>6.0999999999999999E-2</v>
      </c>
      <c r="AJ8" t="s">
        <v>3</v>
      </c>
      <c r="AK8">
        <v>52680</v>
      </c>
      <c r="AL8">
        <v>1.208</v>
      </c>
      <c r="AN8" t="s">
        <v>25</v>
      </c>
      <c r="AO8">
        <v>120</v>
      </c>
      <c r="AP8" t="s">
        <v>24</v>
      </c>
    </row>
    <row r="9" spans="1:42" s="11" customFormat="1">
      <c r="A9" s="11" t="s">
        <v>4</v>
      </c>
      <c r="B9" s="11">
        <v>8.3999999999999995E-3</v>
      </c>
      <c r="C9" s="11" t="s">
        <v>10</v>
      </c>
      <c r="D9" s="11">
        <v>0.255</v>
      </c>
      <c r="E9" s="11" t="s">
        <v>9</v>
      </c>
      <c r="F9" s="11">
        <f>AH9*29.31</f>
        <v>2.6378999999999997</v>
      </c>
      <c r="J9" s="11">
        <v>654902.4545665544</v>
      </c>
      <c r="L9" s="11">
        <f t="shared" si="2"/>
        <v>2.625</v>
      </c>
      <c r="P9" s="11">
        <f t="shared" si="3"/>
        <v>76.373626373626379</v>
      </c>
      <c r="R9" s="11" t="s">
        <v>4</v>
      </c>
      <c r="S9" s="11">
        <v>180.7</v>
      </c>
      <c r="V9" s="11" t="s">
        <v>4</v>
      </c>
      <c r="W9" s="11">
        <v>2.39</v>
      </c>
      <c r="X9" s="11" t="s">
        <v>33</v>
      </c>
      <c r="Y9" s="11">
        <f t="shared" si="0"/>
        <v>1.0838650000000001</v>
      </c>
      <c r="Z9" s="11">
        <f t="shared" si="1"/>
        <v>234.006</v>
      </c>
      <c r="AB9" s="11" t="s">
        <v>42</v>
      </c>
      <c r="AC9" s="22">
        <f>(900+1200)/2</f>
        <v>1050</v>
      </c>
      <c r="AD9" s="11" t="s">
        <v>55</v>
      </c>
      <c r="AG9" s="11" t="s">
        <v>4</v>
      </c>
      <c r="AH9" s="21">
        <v>0.09</v>
      </c>
      <c r="AJ9" s="11" t="s">
        <v>4</v>
      </c>
      <c r="AK9" s="11">
        <v>70710</v>
      </c>
      <c r="AL9" s="11">
        <v>1.762</v>
      </c>
      <c r="AN9" s="11" t="s">
        <v>26</v>
      </c>
      <c r="AO9" s="11">
        <v>372</v>
      </c>
      <c r="AP9" s="11" t="s">
        <v>24</v>
      </c>
    </row>
    <row r="10" spans="1:42">
      <c r="A10" t="s">
        <v>5</v>
      </c>
      <c r="B10">
        <f>$B$5*D10/$D$5</f>
        <v>2.2200000000000002E-3</v>
      </c>
      <c r="C10" t="s">
        <v>10</v>
      </c>
      <c r="D10">
        <v>7.3999999999999996E-2</v>
      </c>
      <c r="E10" t="s">
        <v>9</v>
      </c>
      <c r="F10">
        <v>0.17399999999999999</v>
      </c>
      <c r="G10" t="s">
        <v>86</v>
      </c>
      <c r="J10">
        <v>351625.29201881425</v>
      </c>
      <c r="L10" s="5">
        <f t="shared" si="2"/>
        <v>1.5</v>
      </c>
      <c r="P10">
        <f t="shared" si="3"/>
        <v>42.265426880811496</v>
      </c>
      <c r="R10" t="s">
        <v>5</v>
      </c>
      <c r="S10">
        <v>100</v>
      </c>
      <c r="T10" t="s">
        <v>117</v>
      </c>
      <c r="V10" t="s">
        <v>5</v>
      </c>
      <c r="W10">
        <v>2.08</v>
      </c>
      <c r="X10" t="s">
        <v>34</v>
      </c>
      <c r="Y10">
        <f t="shared" si="0"/>
        <v>0.94328000000000001</v>
      </c>
      <c r="Z10">
        <f t="shared" si="1"/>
        <v>39.001000000000005</v>
      </c>
      <c r="AC10" s="23">
        <v>600</v>
      </c>
      <c r="AD10" t="s">
        <v>53</v>
      </c>
      <c r="AG10" t="s">
        <v>5</v>
      </c>
      <c r="AH10" s="20">
        <v>1.4200000000000001E-2</v>
      </c>
      <c r="AI10" s="13" t="s">
        <v>138</v>
      </c>
      <c r="AJ10" t="s">
        <v>5</v>
      </c>
      <c r="AK10">
        <v>14190</v>
      </c>
      <c r="AL10">
        <v>0.749</v>
      </c>
      <c r="AN10" t="s">
        <v>27</v>
      </c>
      <c r="AO10">
        <v>1.49</v>
      </c>
      <c r="AP10" t="s">
        <v>24</v>
      </c>
    </row>
    <row r="11" spans="1:42">
      <c r="A11" t="s">
        <v>6</v>
      </c>
      <c r="B11">
        <v>3.2000000000000002E-3</v>
      </c>
      <c r="C11" t="s">
        <v>10</v>
      </c>
      <c r="D11">
        <v>0.122</v>
      </c>
      <c r="E11" t="s">
        <v>9</v>
      </c>
      <c r="F11">
        <f>AH11*29.31</f>
        <v>1.7292899999999998</v>
      </c>
      <c r="J11">
        <v>472535.86637535319</v>
      </c>
      <c r="L11">
        <f t="shared" si="2"/>
        <v>1.2</v>
      </c>
      <c r="P11">
        <f t="shared" si="3"/>
        <v>87.658495350803051</v>
      </c>
      <c r="R11" t="s">
        <v>6</v>
      </c>
      <c r="S11">
        <v>207.4</v>
      </c>
      <c r="V11" t="s">
        <v>6</v>
      </c>
      <c r="W11">
        <v>1.71</v>
      </c>
      <c r="X11" s="13" t="s">
        <v>35</v>
      </c>
      <c r="Y11">
        <f t="shared" si="0"/>
        <v>0.77548499999999998</v>
      </c>
      <c r="Z11">
        <f t="shared" si="1"/>
        <v>117.003</v>
      </c>
      <c r="AC11" s="24">
        <v>480</v>
      </c>
      <c r="AD11" s="13" t="s">
        <v>141</v>
      </c>
      <c r="AG11" t="s">
        <v>6</v>
      </c>
      <c r="AH11" s="20">
        <v>5.8999999999999997E-2</v>
      </c>
      <c r="AJ11" t="s">
        <v>6</v>
      </c>
      <c r="AK11">
        <v>10020</v>
      </c>
      <c r="AL11">
        <v>1.038</v>
      </c>
    </row>
    <row r="13" spans="1:42">
      <c r="H13" s="18" t="s">
        <v>136</v>
      </c>
    </row>
    <row r="14" spans="1:42">
      <c r="A14" t="s">
        <v>15</v>
      </c>
      <c r="G14" t="s">
        <v>0</v>
      </c>
      <c r="Z14" t="s">
        <v>122</v>
      </c>
      <c r="AA14" t="s">
        <v>123</v>
      </c>
      <c r="AB14">
        <v>43</v>
      </c>
      <c r="AC14" t="s">
        <v>125</v>
      </c>
    </row>
    <row r="15" spans="1:42">
      <c r="G15" t="s">
        <v>1</v>
      </c>
      <c r="Z15" t="s">
        <v>21</v>
      </c>
      <c r="AB15">
        <v>0.45350000000000001</v>
      </c>
      <c r="AC15" t="s">
        <v>124</v>
      </c>
    </row>
    <row r="16" spans="1:42">
      <c r="G16" t="s">
        <v>2</v>
      </c>
      <c r="Z16">
        <v>11</v>
      </c>
      <c r="AA16" t="s">
        <v>37</v>
      </c>
    </row>
    <row r="17" spans="1:27">
      <c r="G17" t="s">
        <v>3</v>
      </c>
      <c r="Z17">
        <v>2.42</v>
      </c>
      <c r="AA17" t="s">
        <v>36</v>
      </c>
    </row>
    <row r="18" spans="1:27">
      <c r="G18" t="s">
        <v>4</v>
      </c>
      <c r="Z18">
        <v>9.5</v>
      </c>
      <c r="AA18" t="s">
        <v>38</v>
      </c>
    </row>
    <row r="19" spans="1:27">
      <c r="A19" t="s">
        <v>59</v>
      </c>
      <c r="B19" t="s">
        <v>57</v>
      </c>
      <c r="G19" t="s">
        <v>5</v>
      </c>
      <c r="Z19">
        <v>8</v>
      </c>
      <c r="AA19" t="s">
        <v>39</v>
      </c>
    </row>
    <row r="20" spans="1:27">
      <c r="A20" t="s">
        <v>58</v>
      </c>
      <c r="G20" t="s">
        <v>6</v>
      </c>
      <c r="Z20">
        <v>12</v>
      </c>
      <c r="AA20" t="s">
        <v>41</v>
      </c>
    </row>
    <row r="21" spans="1:27">
      <c r="Z21">
        <v>2</v>
      </c>
      <c r="AA21" t="s">
        <v>40</v>
      </c>
    </row>
    <row r="22" spans="1:27">
      <c r="Z22">
        <v>6</v>
      </c>
      <c r="AA22" t="s">
        <v>43</v>
      </c>
    </row>
    <row r="25" spans="1:27">
      <c r="A25" t="s">
        <v>63</v>
      </c>
      <c r="E25" s="5" t="s">
        <v>1</v>
      </c>
      <c r="F25" s="5"/>
      <c r="G25" s="5"/>
      <c r="H25" s="5"/>
      <c r="I25" s="5" t="s">
        <v>2</v>
      </c>
      <c r="J25" s="5"/>
      <c r="K25" s="5"/>
      <c r="L25" s="5"/>
      <c r="M25" s="5" t="s">
        <v>3</v>
      </c>
      <c r="N25" s="5"/>
      <c r="O25" s="5"/>
      <c r="P25" s="5"/>
      <c r="Q25" s="5" t="s">
        <v>4</v>
      </c>
      <c r="R25" s="5"/>
      <c r="S25" s="5"/>
      <c r="T25" s="5"/>
      <c r="U25" s="5" t="s">
        <v>5</v>
      </c>
      <c r="V25" s="5"/>
      <c r="W25" s="5"/>
      <c r="X25" s="5"/>
      <c r="Y25" s="5" t="s">
        <v>6</v>
      </c>
      <c r="Z25" s="5"/>
      <c r="AA25" s="5"/>
    </row>
    <row r="26" spans="1:27">
      <c r="A26" s="2" t="s">
        <v>60</v>
      </c>
      <c r="B26" s="3" t="s">
        <v>61</v>
      </c>
      <c r="C26" s="3" t="s">
        <v>62</v>
      </c>
      <c r="E26" s="6" t="s">
        <v>60</v>
      </c>
      <c r="F26" s="7" t="s">
        <v>61</v>
      </c>
      <c r="G26" s="7" t="s">
        <v>62</v>
      </c>
      <c r="H26" s="5"/>
      <c r="I26" s="6" t="s">
        <v>60</v>
      </c>
      <c r="J26" s="7" t="s">
        <v>61</v>
      </c>
      <c r="K26" s="7" t="s">
        <v>62</v>
      </c>
      <c r="L26" s="5"/>
      <c r="M26" s="6" t="s">
        <v>60</v>
      </c>
      <c r="N26" s="7" t="s">
        <v>61</v>
      </c>
      <c r="O26" s="7" t="s">
        <v>62</v>
      </c>
      <c r="P26" s="5"/>
      <c r="Q26" s="6" t="s">
        <v>60</v>
      </c>
      <c r="R26" s="7" t="s">
        <v>61</v>
      </c>
      <c r="S26" s="7" t="s">
        <v>62</v>
      </c>
      <c r="T26" s="5"/>
      <c r="U26" s="6" t="s">
        <v>60</v>
      </c>
      <c r="V26" s="7" t="s">
        <v>61</v>
      </c>
      <c r="W26" s="7" t="s">
        <v>62</v>
      </c>
      <c r="X26" s="5"/>
      <c r="Y26" s="6" t="s">
        <v>60</v>
      </c>
      <c r="Z26" s="7" t="s">
        <v>61</v>
      </c>
      <c r="AA26" s="7" t="s">
        <v>62</v>
      </c>
    </row>
    <row r="27" spans="1:27">
      <c r="A27" s="4">
        <v>34.161577540106947</v>
      </c>
      <c r="B27" s="4">
        <v>50.648663101604278</v>
      </c>
      <c r="C27" s="4">
        <v>32.90061497326203</v>
      </c>
      <c r="E27" s="5">
        <f t="shared" ref="E27:G34" si="4">A27/$AK$5*$AK$6</f>
        <v>10.106582813662925</v>
      </c>
      <c r="F27" s="5">
        <f t="shared" si="4"/>
        <v>14.984229210044694</v>
      </c>
      <c r="G27" s="5">
        <f t="shared" si="4"/>
        <v>9.7335314640352575</v>
      </c>
      <c r="H27" s="5"/>
      <c r="I27" s="5">
        <f t="shared" ref="I27:K34" si="5">A27/$AK$5*$AK$7</f>
        <v>21.922489157387069</v>
      </c>
      <c r="J27" s="5">
        <f t="shared" si="5"/>
        <v>32.502736923594483</v>
      </c>
      <c r="K27" s="5">
        <f t="shared" si="5"/>
        <v>21.113292387505048</v>
      </c>
      <c r="L27" s="5"/>
      <c r="M27" s="5">
        <f t="shared" ref="M27:O34" si="6">A27/$AK$5*$AK$8</f>
        <v>21.856107661074009</v>
      </c>
      <c r="N27" s="5">
        <f t="shared" si="6"/>
        <v>32.40431834093409</v>
      </c>
      <c r="O27" s="5">
        <f t="shared" si="6"/>
        <v>21.04936114636196</v>
      </c>
      <c r="P27" s="5"/>
      <c r="Q27" s="5">
        <f t="shared" ref="Q27:S34" si="7">A27/$AK$5*$AK$9</f>
        <v>29.336472526851619</v>
      </c>
      <c r="R27" s="5">
        <f t="shared" si="7"/>
        <v>43.494862374477023</v>
      </c>
      <c r="S27" s="5">
        <f t="shared" si="7"/>
        <v>28.253612882673767</v>
      </c>
      <c r="T27" s="5"/>
      <c r="U27" s="5">
        <f t="shared" ref="U27:W34" si="8">A27/$AK$5*$AK$10</f>
        <v>5.8872089542642412</v>
      </c>
      <c r="V27" s="5">
        <f t="shared" si="8"/>
        <v>8.7284980496935223</v>
      </c>
      <c r="W27" s="5">
        <f t="shared" si="8"/>
        <v>5.6699019488776807</v>
      </c>
      <c r="X27" s="5"/>
      <c r="Y27" s="5">
        <f t="shared" ref="Y27:AA34" si="9">A27/$AK$5*$AK$11</f>
        <v>4.1571412066051936</v>
      </c>
      <c r="Z27" s="5">
        <f t="shared" si="9"/>
        <v>6.1634637391070539</v>
      </c>
      <c r="AA27" s="5">
        <f t="shared" si="9"/>
        <v>4.0036939765859305</v>
      </c>
    </row>
    <row r="28" spans="1:27">
      <c r="A28" s="4">
        <v>34.161577540106947</v>
      </c>
      <c r="B28" s="4">
        <v>50.648663101604278</v>
      </c>
      <c r="C28" s="4">
        <v>32.90061497326203</v>
      </c>
      <c r="E28" s="5">
        <f t="shared" si="4"/>
        <v>10.106582813662925</v>
      </c>
      <c r="F28" s="5">
        <f t="shared" si="4"/>
        <v>14.984229210044694</v>
      </c>
      <c r="G28" s="5">
        <f t="shared" si="4"/>
        <v>9.7335314640352575</v>
      </c>
      <c r="H28" s="5"/>
      <c r="I28" s="5">
        <f t="shared" si="5"/>
        <v>21.922489157387069</v>
      </c>
      <c r="J28" s="5">
        <f t="shared" si="5"/>
        <v>32.502736923594483</v>
      </c>
      <c r="K28" s="5">
        <f t="shared" si="5"/>
        <v>21.113292387505048</v>
      </c>
      <c r="L28" s="5"/>
      <c r="M28" s="5">
        <f t="shared" si="6"/>
        <v>21.856107661074009</v>
      </c>
      <c r="N28" s="5">
        <f t="shared" si="6"/>
        <v>32.40431834093409</v>
      </c>
      <c r="O28" s="5">
        <f t="shared" si="6"/>
        <v>21.04936114636196</v>
      </c>
      <c r="P28" s="5"/>
      <c r="Q28" s="5">
        <f t="shared" si="7"/>
        <v>29.336472526851619</v>
      </c>
      <c r="R28" s="5">
        <f t="shared" si="7"/>
        <v>43.494862374477023</v>
      </c>
      <c r="S28" s="5">
        <f t="shared" si="7"/>
        <v>28.253612882673767</v>
      </c>
      <c r="T28" s="5"/>
      <c r="U28" s="5">
        <f t="shared" si="8"/>
        <v>5.8872089542642412</v>
      </c>
      <c r="V28" s="5">
        <f t="shared" si="8"/>
        <v>8.7284980496935223</v>
      </c>
      <c r="W28" s="5">
        <f t="shared" si="8"/>
        <v>5.6699019488776807</v>
      </c>
      <c r="X28" s="5"/>
      <c r="Y28" s="5">
        <f t="shared" si="9"/>
        <v>4.1571412066051936</v>
      </c>
      <c r="Z28" s="5">
        <f t="shared" si="9"/>
        <v>6.1634637391070539</v>
      </c>
      <c r="AA28" s="5">
        <f t="shared" si="9"/>
        <v>4.0036939765859305</v>
      </c>
    </row>
    <row r="29" spans="1:27">
      <c r="A29" s="4">
        <v>34.161577540106947</v>
      </c>
      <c r="B29" s="4">
        <v>50.648663101604278</v>
      </c>
      <c r="C29" s="4">
        <v>32.90061497326203</v>
      </c>
      <c r="E29" s="5">
        <f t="shared" si="4"/>
        <v>10.106582813662925</v>
      </c>
      <c r="F29" s="5">
        <f t="shared" si="4"/>
        <v>14.984229210044694</v>
      </c>
      <c r="G29" s="5">
        <f t="shared" si="4"/>
        <v>9.7335314640352575</v>
      </c>
      <c r="H29" s="5"/>
      <c r="I29" s="5">
        <f t="shared" si="5"/>
        <v>21.922489157387069</v>
      </c>
      <c r="J29" s="5">
        <f t="shared" si="5"/>
        <v>32.502736923594483</v>
      </c>
      <c r="K29" s="5">
        <f t="shared" si="5"/>
        <v>21.113292387505048</v>
      </c>
      <c r="L29" s="5"/>
      <c r="M29" s="5">
        <f t="shared" si="6"/>
        <v>21.856107661074009</v>
      </c>
      <c r="N29" s="5">
        <f t="shared" si="6"/>
        <v>32.40431834093409</v>
      </c>
      <c r="O29" s="5">
        <f t="shared" si="6"/>
        <v>21.04936114636196</v>
      </c>
      <c r="P29" s="5"/>
      <c r="Q29" s="5">
        <f t="shared" si="7"/>
        <v>29.336472526851619</v>
      </c>
      <c r="R29" s="5">
        <f t="shared" si="7"/>
        <v>43.494862374477023</v>
      </c>
      <c r="S29" s="5">
        <f t="shared" si="7"/>
        <v>28.253612882673767</v>
      </c>
      <c r="T29" s="5"/>
      <c r="U29" s="5">
        <f t="shared" si="8"/>
        <v>5.8872089542642412</v>
      </c>
      <c r="V29" s="5">
        <f t="shared" si="8"/>
        <v>8.7284980496935223</v>
      </c>
      <c r="W29" s="5">
        <f t="shared" si="8"/>
        <v>5.6699019488776807</v>
      </c>
      <c r="X29" s="5"/>
      <c r="Y29" s="5">
        <f t="shared" si="9"/>
        <v>4.1571412066051936</v>
      </c>
      <c r="Z29" s="5">
        <f t="shared" si="9"/>
        <v>6.1634637391070539</v>
      </c>
      <c r="AA29" s="5">
        <f t="shared" si="9"/>
        <v>4.0036939765859305</v>
      </c>
    </row>
    <row r="30" spans="1:27">
      <c r="A30" s="4">
        <v>34.161577540106947</v>
      </c>
      <c r="B30" s="4">
        <v>50.648663101604278</v>
      </c>
      <c r="C30" s="4">
        <v>32.90061497326203</v>
      </c>
      <c r="E30" s="5">
        <f t="shared" si="4"/>
        <v>10.106582813662925</v>
      </c>
      <c r="F30" s="5">
        <f t="shared" si="4"/>
        <v>14.984229210044694</v>
      </c>
      <c r="G30" s="5">
        <f t="shared" si="4"/>
        <v>9.7335314640352575</v>
      </c>
      <c r="H30" s="5"/>
      <c r="I30" s="5">
        <f t="shared" si="5"/>
        <v>21.922489157387069</v>
      </c>
      <c r="J30" s="5">
        <f t="shared" si="5"/>
        <v>32.502736923594483</v>
      </c>
      <c r="K30" s="5">
        <f t="shared" si="5"/>
        <v>21.113292387505048</v>
      </c>
      <c r="L30" s="5"/>
      <c r="M30" s="5">
        <f t="shared" si="6"/>
        <v>21.856107661074009</v>
      </c>
      <c r="N30" s="5">
        <f t="shared" si="6"/>
        <v>32.40431834093409</v>
      </c>
      <c r="O30" s="5">
        <f t="shared" si="6"/>
        <v>21.04936114636196</v>
      </c>
      <c r="P30" s="5"/>
      <c r="Q30" s="5">
        <f t="shared" si="7"/>
        <v>29.336472526851619</v>
      </c>
      <c r="R30" s="5">
        <f t="shared" si="7"/>
        <v>43.494862374477023</v>
      </c>
      <c r="S30" s="5">
        <f t="shared" si="7"/>
        <v>28.253612882673767</v>
      </c>
      <c r="T30" s="5"/>
      <c r="U30" s="5">
        <f t="shared" si="8"/>
        <v>5.8872089542642412</v>
      </c>
      <c r="V30" s="5">
        <f t="shared" si="8"/>
        <v>8.7284980496935223</v>
      </c>
      <c r="W30" s="5">
        <f t="shared" si="8"/>
        <v>5.6699019488776807</v>
      </c>
      <c r="X30" s="5"/>
      <c r="Y30" s="5">
        <f t="shared" si="9"/>
        <v>4.1571412066051936</v>
      </c>
      <c r="Z30" s="5">
        <f t="shared" si="9"/>
        <v>6.1634637391070539</v>
      </c>
      <c r="AA30" s="5">
        <f t="shared" si="9"/>
        <v>4.0036939765859305</v>
      </c>
    </row>
    <row r="31" spans="1:27">
      <c r="A31" s="4">
        <v>36.431310160427806</v>
      </c>
      <c r="B31" s="4">
        <v>57.930721925133689</v>
      </c>
      <c r="C31" s="4">
        <v>32.90061497326203</v>
      </c>
      <c r="E31" s="5">
        <f t="shared" si="4"/>
        <v>10.778075242992729</v>
      </c>
      <c r="F31" s="5">
        <f t="shared" si="4"/>
        <v>17.13860075414448</v>
      </c>
      <c r="G31" s="5">
        <f t="shared" si="4"/>
        <v>9.7335314640352575</v>
      </c>
      <c r="H31" s="5"/>
      <c r="I31" s="5">
        <f t="shared" si="5"/>
        <v>23.379043343174704</v>
      </c>
      <c r="J31" s="5">
        <f t="shared" si="5"/>
        <v>37.175848269663156</v>
      </c>
      <c r="K31" s="5">
        <f t="shared" si="5"/>
        <v>21.113292387505048</v>
      </c>
      <c r="L31" s="5"/>
      <c r="M31" s="5">
        <f t="shared" si="6"/>
        <v>23.308251387555707</v>
      </c>
      <c r="N31" s="5">
        <f t="shared" si="6"/>
        <v>37.063279463396192</v>
      </c>
      <c r="O31" s="5">
        <f t="shared" si="6"/>
        <v>21.04936114636196</v>
      </c>
      <c r="P31" s="5"/>
      <c r="Q31" s="5">
        <f t="shared" si="7"/>
        <v>31.285619886371752</v>
      </c>
      <c r="R31" s="5">
        <f t="shared" si="7"/>
        <v>49.748376819604118</v>
      </c>
      <c r="S31" s="5">
        <f t="shared" si="7"/>
        <v>28.253612882673767</v>
      </c>
      <c r="T31" s="5"/>
      <c r="U31" s="5">
        <f t="shared" si="8"/>
        <v>6.2783615639600505</v>
      </c>
      <c r="V31" s="5">
        <f t="shared" si="8"/>
        <v>9.9834460058009107</v>
      </c>
      <c r="W31" s="5">
        <f t="shared" si="8"/>
        <v>5.6699019488776807</v>
      </c>
      <c r="X31" s="5"/>
      <c r="Y31" s="5">
        <f t="shared" si="9"/>
        <v>4.4333462206398666</v>
      </c>
      <c r="Z31" s="5">
        <f t="shared" si="9"/>
        <v>7.0496214924682965</v>
      </c>
      <c r="AA31" s="5">
        <f t="shared" si="9"/>
        <v>4.0036939765859305</v>
      </c>
    </row>
    <row r="32" spans="1:27">
      <c r="A32" s="4">
        <v>38.459358288770055</v>
      </c>
      <c r="B32" s="4">
        <v>64.529759358288771</v>
      </c>
      <c r="C32" s="4">
        <v>42.483930481283423</v>
      </c>
      <c r="E32" s="5">
        <f t="shared" si="4"/>
        <v>11.378066163643897</v>
      </c>
      <c r="F32" s="5">
        <f t="shared" si="4"/>
        <v>19.09090281719595</v>
      </c>
      <c r="G32" s="5">
        <f t="shared" si="4"/>
        <v>12.56872172120554</v>
      </c>
      <c r="H32" s="5"/>
      <c r="I32" s="5">
        <f t="shared" si="5"/>
        <v>24.680501481401624</v>
      </c>
      <c r="J32" s="5">
        <f t="shared" si="5"/>
        <v>41.410644698712396</v>
      </c>
      <c r="K32" s="5">
        <f t="shared" si="5"/>
        <v>27.263187838608403</v>
      </c>
      <c r="L32" s="5"/>
      <c r="M32" s="5">
        <f t="shared" si="6"/>
        <v>24.605768698717593</v>
      </c>
      <c r="N32" s="5">
        <f t="shared" si="6"/>
        <v>41.285252890389266</v>
      </c>
      <c r="O32" s="5">
        <f t="shared" si="6"/>
        <v>27.180634658173556</v>
      </c>
      <c r="P32" s="5"/>
      <c r="Q32" s="5">
        <f t="shared" si="7"/>
        <v>33.027219147424468</v>
      </c>
      <c r="R32" s="5">
        <f t="shared" si="7"/>
        <v>55.41534229080154</v>
      </c>
      <c r="S32" s="5">
        <f t="shared" si="7"/>
        <v>36.483346178425442</v>
      </c>
      <c r="T32" s="5"/>
      <c r="U32" s="5">
        <f t="shared" si="8"/>
        <v>6.6278636642901034</v>
      </c>
      <c r="V32" s="5">
        <f t="shared" si="8"/>
        <v>11.120686000657246</v>
      </c>
      <c r="W32" s="5">
        <f t="shared" si="8"/>
        <v>7.3214351898155421</v>
      </c>
      <c r="X32" s="5"/>
      <c r="Y32" s="5">
        <f t="shared" si="9"/>
        <v>4.6801405155875146</v>
      </c>
      <c r="Z32" s="5">
        <f t="shared" si="9"/>
        <v>7.8526619962357715</v>
      </c>
      <c r="AA32" s="5">
        <f t="shared" si="9"/>
        <v>5.169892924732328</v>
      </c>
    </row>
    <row r="33" spans="1:28">
      <c r="A33" s="4">
        <v>40.151149732620318</v>
      </c>
      <c r="B33" s="4">
        <v>75.300481283422457</v>
      </c>
      <c r="C33" s="4">
        <v>42.483930481283423</v>
      </c>
      <c r="E33" s="5">
        <f t="shared" si="4"/>
        <v>11.878576724394351</v>
      </c>
      <c r="F33" s="5">
        <f t="shared" si="4"/>
        <v>22.27738309526562</v>
      </c>
      <c r="G33" s="5">
        <f t="shared" si="4"/>
        <v>12.56872172120554</v>
      </c>
      <c r="H33" s="5"/>
      <c r="I33" s="5">
        <f t="shared" si="5"/>
        <v>25.766173814326663</v>
      </c>
      <c r="J33" s="5">
        <f t="shared" si="5"/>
        <v>48.322533774787985</v>
      </c>
      <c r="K33" s="5">
        <f t="shared" si="5"/>
        <v>27.263187838608403</v>
      </c>
      <c r="L33" s="5"/>
      <c r="M33" s="5">
        <f t="shared" si="6"/>
        <v>25.688153605956259</v>
      </c>
      <c r="N33" s="5">
        <f t="shared" si="6"/>
        <v>48.176212703554711</v>
      </c>
      <c r="O33" s="5">
        <f t="shared" si="6"/>
        <v>27.180634658173556</v>
      </c>
      <c r="P33" s="5"/>
      <c r="Q33" s="5">
        <f t="shared" si="7"/>
        <v>34.480055836696415</v>
      </c>
      <c r="R33" s="5">
        <f t="shared" si="7"/>
        <v>64.664768418154011</v>
      </c>
      <c r="S33" s="5">
        <f t="shared" si="7"/>
        <v>36.483346178425442</v>
      </c>
      <c r="T33" s="5"/>
      <c r="U33" s="5">
        <f t="shared" si="8"/>
        <v>6.9194172298504046</v>
      </c>
      <c r="V33" s="5">
        <f t="shared" si="8"/>
        <v>12.976850005000784</v>
      </c>
      <c r="W33" s="5">
        <f t="shared" si="8"/>
        <v>7.3214351898155421</v>
      </c>
      <c r="X33" s="5"/>
      <c r="Y33" s="5">
        <f t="shared" si="9"/>
        <v>4.8860155491966912</v>
      </c>
      <c r="Z33" s="5">
        <f t="shared" si="9"/>
        <v>9.1633570859836411</v>
      </c>
      <c r="AA33" s="5">
        <f t="shared" si="9"/>
        <v>5.169892924732328</v>
      </c>
    </row>
    <row r="34" spans="1:28">
      <c r="A34" s="4">
        <v>46.928823529411758</v>
      </c>
      <c r="B34" s="4">
        <v>80.449411764705886</v>
      </c>
      <c r="C34" s="4">
        <v>42.483930481283423</v>
      </c>
      <c r="E34" s="5">
        <f t="shared" si="4"/>
        <v>13.883727728643072</v>
      </c>
      <c r="F34" s="5">
        <f t="shared" si="4"/>
        <v>23.80067610624527</v>
      </c>
      <c r="G34" s="5">
        <f t="shared" si="4"/>
        <v>12.56872172120554</v>
      </c>
      <c r="H34" s="5"/>
      <c r="I34" s="5">
        <f t="shared" si="5"/>
        <v>30.115606452442524</v>
      </c>
      <c r="J34" s="5">
        <f t="shared" si="5"/>
        <v>51.626753918472907</v>
      </c>
      <c r="K34" s="5">
        <f t="shared" si="5"/>
        <v>27.263187838608403</v>
      </c>
      <c r="L34" s="5"/>
      <c r="M34" s="5">
        <f t="shared" si="6"/>
        <v>30.024416122533538</v>
      </c>
      <c r="N34" s="5">
        <f t="shared" si="6"/>
        <v>51.470427638628934</v>
      </c>
      <c r="O34" s="5">
        <f t="shared" si="6"/>
        <v>27.180634658173556</v>
      </c>
      <c r="P34" s="5"/>
      <c r="Q34" s="5">
        <f t="shared" si="7"/>
        <v>40.300426424152363</v>
      </c>
      <c r="R34" s="5">
        <f t="shared" si="7"/>
        <v>69.08644529854692</v>
      </c>
      <c r="S34" s="5">
        <f t="shared" si="7"/>
        <v>36.483346178425442</v>
      </c>
      <c r="T34" s="5"/>
      <c r="U34" s="5">
        <f t="shared" si="8"/>
        <v>8.0874423838031682</v>
      </c>
      <c r="V34" s="5">
        <f t="shared" si="8"/>
        <v>13.864186943662576</v>
      </c>
      <c r="W34" s="5">
        <f t="shared" si="8"/>
        <v>7.3214351898155421</v>
      </c>
      <c r="X34" s="5"/>
      <c r="Y34" s="5">
        <f t="shared" si="9"/>
        <v>5.7107944105502284</v>
      </c>
      <c r="Z34" s="5">
        <f t="shared" si="9"/>
        <v>9.7899332752289645</v>
      </c>
      <c r="AA34" s="5">
        <f t="shared" si="9"/>
        <v>5.169892924732328</v>
      </c>
    </row>
    <row r="41" spans="1:28">
      <c r="A41" t="s">
        <v>83</v>
      </c>
    </row>
    <row r="42" spans="1:28">
      <c r="A42" t="s">
        <v>84</v>
      </c>
    </row>
    <row r="43" spans="1:28">
      <c r="A43" t="s">
        <v>87</v>
      </c>
      <c r="B43" t="s">
        <v>88</v>
      </c>
    </row>
    <row r="45" spans="1:28">
      <c r="F45" t="s">
        <v>89</v>
      </c>
      <c r="U45" t="s">
        <v>29</v>
      </c>
    </row>
    <row r="46" spans="1:28">
      <c r="F46" t="s">
        <v>65</v>
      </c>
      <c r="H46" t="s">
        <v>90</v>
      </c>
      <c r="J46" t="s">
        <v>71</v>
      </c>
      <c r="L46" t="s">
        <v>67</v>
      </c>
      <c r="N46" t="s">
        <v>77</v>
      </c>
      <c r="U46" t="s">
        <v>91</v>
      </c>
      <c r="W46" t="s">
        <v>79</v>
      </c>
      <c r="X46" t="s">
        <v>91</v>
      </c>
    </row>
    <row r="47" spans="1:28">
      <c r="B47" t="s">
        <v>92</v>
      </c>
      <c r="C47" t="s">
        <v>12</v>
      </c>
      <c r="D47" t="s">
        <v>93</v>
      </c>
      <c r="E47" t="s">
        <v>11</v>
      </c>
      <c r="F47" t="s">
        <v>81</v>
      </c>
      <c r="L47" t="s">
        <v>74</v>
      </c>
      <c r="U47" t="s">
        <v>94</v>
      </c>
      <c r="W47" t="s">
        <v>94</v>
      </c>
      <c r="X47" t="s">
        <v>95</v>
      </c>
      <c r="AA47" t="s">
        <v>96</v>
      </c>
    </row>
    <row r="48" spans="1:28">
      <c r="A48" t="s">
        <v>97</v>
      </c>
      <c r="B48">
        <v>4.5599999999999998E-3</v>
      </c>
      <c r="C48" t="s">
        <v>98</v>
      </c>
      <c r="D48" s="5">
        <v>0.152</v>
      </c>
      <c r="E48" t="s">
        <v>99</v>
      </c>
      <c r="F48" s="5">
        <v>1.0844699999999998</v>
      </c>
      <c r="H48" s="5">
        <v>363</v>
      </c>
      <c r="I48" t="s">
        <v>100</v>
      </c>
      <c r="J48" s="5">
        <v>3392.21</v>
      </c>
      <c r="K48" t="s">
        <v>72</v>
      </c>
      <c r="L48" s="5">
        <v>0.28000000000000003</v>
      </c>
      <c r="M48" t="s">
        <v>69</v>
      </c>
      <c r="N48" s="5">
        <v>0.21</v>
      </c>
      <c r="O48" t="s">
        <v>69</v>
      </c>
      <c r="S48" t="s">
        <v>18</v>
      </c>
      <c r="T48" t="s">
        <v>97</v>
      </c>
      <c r="U48">
        <v>1.98</v>
      </c>
      <c r="V48" t="s">
        <v>33</v>
      </c>
      <c r="W48" s="5">
        <v>0.89793000000000001</v>
      </c>
      <c r="X48">
        <v>11</v>
      </c>
      <c r="Y48" t="s">
        <v>37</v>
      </c>
      <c r="AA48" t="s">
        <v>101</v>
      </c>
      <c r="AB48" t="s">
        <v>46</v>
      </c>
    </row>
    <row r="49" spans="1:28">
      <c r="A49" t="s">
        <v>102</v>
      </c>
      <c r="B49">
        <v>3.8E-3</v>
      </c>
      <c r="C49" t="s">
        <v>98</v>
      </c>
      <c r="D49" s="5">
        <v>8.6999999999999994E-2</v>
      </c>
      <c r="E49" t="s">
        <v>99</v>
      </c>
      <c r="F49" s="5">
        <v>1.228089</v>
      </c>
      <c r="H49" s="5">
        <v>416.66666666666663</v>
      </c>
      <c r="I49" t="s">
        <v>103</v>
      </c>
      <c r="J49" s="5">
        <v>2826.8416666666667</v>
      </c>
      <c r="L49" s="5">
        <v>0.23333333333333336</v>
      </c>
      <c r="N49" s="5">
        <v>0.17500000000000002</v>
      </c>
      <c r="T49" t="s">
        <v>102</v>
      </c>
      <c r="U49">
        <v>1.61</v>
      </c>
      <c r="V49" t="s">
        <v>104</v>
      </c>
      <c r="W49" s="5">
        <v>0.73013500000000009</v>
      </c>
      <c r="X49">
        <v>2.42</v>
      </c>
      <c r="Y49" t="s">
        <v>36</v>
      </c>
      <c r="AA49">
        <v>582</v>
      </c>
      <c r="AB49" t="s">
        <v>45</v>
      </c>
    </row>
    <row r="50" spans="1:28">
      <c r="A50" t="s">
        <v>105</v>
      </c>
      <c r="B50">
        <v>5.8500000000000002E-3</v>
      </c>
      <c r="C50" t="s">
        <v>98</v>
      </c>
      <c r="D50" s="5">
        <v>0.19500000000000001</v>
      </c>
      <c r="E50" t="s">
        <v>99</v>
      </c>
      <c r="F50" s="5">
        <v>2.4327299999999998</v>
      </c>
      <c r="H50" s="5">
        <v>335</v>
      </c>
      <c r="I50" t="s">
        <v>17</v>
      </c>
      <c r="J50" s="5">
        <v>4351.8483552631578</v>
      </c>
      <c r="L50" s="5">
        <v>0.35921052631578954</v>
      </c>
      <c r="N50" s="5">
        <v>0.26940789473684212</v>
      </c>
      <c r="T50" t="s">
        <v>105</v>
      </c>
      <c r="U50">
        <v>1.88</v>
      </c>
      <c r="V50" t="s">
        <v>31</v>
      </c>
      <c r="W50" s="5">
        <v>0.85258</v>
      </c>
      <c r="X50">
        <v>9.5</v>
      </c>
      <c r="Y50" t="s">
        <v>38</v>
      </c>
      <c r="AA50" t="s">
        <v>106</v>
      </c>
      <c r="AB50" t="s">
        <v>51</v>
      </c>
    </row>
    <row r="51" spans="1:28">
      <c r="A51" t="s">
        <v>107</v>
      </c>
      <c r="B51">
        <v>3.1799999999999997E-3</v>
      </c>
      <c r="C51" t="s">
        <v>98</v>
      </c>
      <c r="D51" s="5">
        <v>0.106</v>
      </c>
      <c r="E51" t="s">
        <v>99</v>
      </c>
      <c r="F51" s="5">
        <v>1.7879099999999999</v>
      </c>
      <c r="H51" s="5">
        <v>400</v>
      </c>
      <c r="I51" t="s">
        <v>108</v>
      </c>
      <c r="J51" s="5">
        <v>2365.6201315789472</v>
      </c>
      <c r="L51" s="5">
        <v>0.19526315789473686</v>
      </c>
      <c r="N51" s="5">
        <v>0.14644736842105263</v>
      </c>
      <c r="T51" t="s">
        <v>107</v>
      </c>
      <c r="U51">
        <v>2.31</v>
      </c>
      <c r="V51" t="s">
        <v>32</v>
      </c>
      <c r="W51" s="5">
        <v>1.047585</v>
      </c>
      <c r="X51">
        <v>8</v>
      </c>
      <c r="Y51" t="s">
        <v>39</v>
      </c>
      <c r="AA51">
        <v>950</v>
      </c>
      <c r="AB51" t="s">
        <v>52</v>
      </c>
    </row>
    <row r="52" spans="1:28">
      <c r="A52" t="s">
        <v>109</v>
      </c>
      <c r="B52">
        <v>8.3999999999999995E-3</v>
      </c>
      <c r="C52" t="s">
        <v>98</v>
      </c>
      <c r="D52" s="5">
        <v>0.255</v>
      </c>
      <c r="E52" t="s">
        <v>99</v>
      </c>
      <c r="F52" s="5">
        <v>2.6378999999999997</v>
      </c>
      <c r="H52" s="5">
        <v>800</v>
      </c>
      <c r="J52" s="5">
        <v>6248.8078947368413</v>
      </c>
      <c r="L52" s="5">
        <v>0.51578947368421058</v>
      </c>
      <c r="N52" s="5">
        <v>0.38684210526315788</v>
      </c>
      <c r="T52" t="s">
        <v>109</v>
      </c>
      <c r="U52">
        <v>2.39</v>
      </c>
      <c r="V52" t="s">
        <v>33</v>
      </c>
      <c r="W52" s="5">
        <v>1.0838650000000001</v>
      </c>
      <c r="X52">
        <v>12</v>
      </c>
      <c r="Y52" t="s">
        <v>36</v>
      </c>
      <c r="Z52" t="s">
        <v>42</v>
      </c>
      <c r="AA52" t="s">
        <v>110</v>
      </c>
      <c r="AB52" t="s">
        <v>55</v>
      </c>
    </row>
    <row r="53" spans="1:28">
      <c r="A53" t="s">
        <v>111</v>
      </c>
      <c r="B53">
        <v>2.2200000000000002E-3</v>
      </c>
      <c r="C53" t="s">
        <v>98</v>
      </c>
      <c r="D53" s="5">
        <v>7.3999999999999996E-2</v>
      </c>
      <c r="E53" t="s">
        <v>99</v>
      </c>
      <c r="F53" s="5">
        <v>0.17399999999999999</v>
      </c>
      <c r="G53" t="s">
        <v>86</v>
      </c>
      <c r="H53" s="5">
        <v>200</v>
      </c>
      <c r="I53" t="s">
        <v>108</v>
      </c>
      <c r="J53" s="5">
        <v>1651.4706578947369</v>
      </c>
      <c r="L53" s="5">
        <v>0.13631578947368425</v>
      </c>
      <c r="N53" s="5">
        <v>0.10223684210526317</v>
      </c>
      <c r="T53" t="s">
        <v>111</v>
      </c>
      <c r="U53">
        <v>2.08</v>
      </c>
      <c r="V53" t="s">
        <v>34</v>
      </c>
      <c r="W53" s="5">
        <v>0.94328000000000001</v>
      </c>
      <c r="X53">
        <v>2</v>
      </c>
      <c r="Y53" t="s">
        <v>40</v>
      </c>
      <c r="AA53">
        <v>600</v>
      </c>
      <c r="AB53" t="s">
        <v>53</v>
      </c>
    </row>
    <row r="54" spans="1:28">
      <c r="A54" t="s">
        <v>112</v>
      </c>
      <c r="B54">
        <v>3.2000000000000002E-3</v>
      </c>
      <c r="C54" t="s">
        <v>98</v>
      </c>
      <c r="D54" s="5">
        <v>0.122</v>
      </c>
      <c r="E54" t="s">
        <v>99</v>
      </c>
      <c r="F54" s="5">
        <v>1.7292899999999998</v>
      </c>
      <c r="H54" s="5">
        <v>300</v>
      </c>
      <c r="J54" s="5">
        <v>2380.4982456140351</v>
      </c>
      <c r="L54" s="5">
        <v>0.19649122807017549</v>
      </c>
      <c r="N54" s="5">
        <v>0.14736842105263159</v>
      </c>
      <c r="T54" t="s">
        <v>112</v>
      </c>
      <c r="U54">
        <v>1.71</v>
      </c>
      <c r="V54" t="s">
        <v>113</v>
      </c>
      <c r="W54" s="5">
        <v>0.77548499999999998</v>
      </c>
      <c r="X54">
        <v>6</v>
      </c>
      <c r="Y54" t="s">
        <v>43</v>
      </c>
      <c r="AA54">
        <v>480</v>
      </c>
      <c r="AB54" t="s">
        <v>56</v>
      </c>
    </row>
  </sheetData>
  <phoneticPr fontId="1" type="noConversion"/>
  <hyperlinks>
    <hyperlink ref="X6" r:id="rId1" location=":~:text=The%20price%20trend%20for%20activated,an%20overall%20optimistic%20market%20sentiment " xr:uid="{B3FF9773-514C-4D4C-83B2-6262293E5CE4}"/>
    <hyperlink ref="X11" r:id="rId2" location=":~:text=Export%20Prices%20by%20Country" xr:uid="{A885E05B-2D25-274C-B7A7-33493280964C}"/>
    <hyperlink ref="AK2" r:id="rId3" xr:uid="{845F0B1D-2890-D641-AB1E-A6CE1FF55D28}"/>
    <hyperlink ref="F3" r:id="rId4" xr:uid="{EE6E73B4-B475-BA41-8D0E-268422C90F55}"/>
    <hyperlink ref="AG3" r:id="rId5" xr:uid="{34E04C0A-94CE-DD46-B38B-EBA6D8DD1BAA}"/>
    <hyperlink ref="AI10" r:id="rId6" xr:uid="{EA3AF21C-AB0F-144C-8DCE-0D5510549357}"/>
    <hyperlink ref="AD11" r:id="rId7" location=":~:text=There%20are%2050%2B%20RO%20Membrane,8040%20CPA%205%20LD " xr:uid="{3F014EF9-2F13-124A-9125-D915E59FF9FF}"/>
    <hyperlink ref="AD5" r:id="rId8" xr:uid="{24C21FE8-D48B-AB4B-96B4-10DA3C5AC8AB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5753E-B5CD-EC4D-9E10-39F0FC0E55E7}">
  <dimension ref="A1:D10"/>
  <sheetViews>
    <sheetView zoomScale="86" zoomScaleNormal="130" workbookViewId="0">
      <selection activeCell="E4" sqref="E4"/>
    </sheetView>
  </sheetViews>
  <sheetFormatPr baseColWidth="10" defaultRowHeight="14"/>
  <cols>
    <col min="1" max="1" width="31.5" style="14" customWidth="1"/>
    <col min="2" max="16384" width="10.83203125" style="14"/>
  </cols>
  <sheetData>
    <row r="1" spans="1:4">
      <c r="A1" s="14" t="s">
        <v>126</v>
      </c>
      <c r="B1" s="14">
        <v>1300</v>
      </c>
      <c r="C1" s="14" t="s">
        <v>24</v>
      </c>
      <c r="D1" s="14" t="s">
        <v>127</v>
      </c>
    </row>
    <row r="3" spans="1:4" ht="15">
      <c r="A3" s="16" t="s">
        <v>135</v>
      </c>
      <c r="B3" s="17">
        <v>2300000</v>
      </c>
      <c r="C3" s="34">
        <f>B3/SUM($B$3:$B$10)</f>
        <v>4.951560818083961E-2</v>
      </c>
      <c r="D3" s="14">
        <f>1-C3-C5-C6</f>
        <v>0.41872981700753498</v>
      </c>
    </row>
    <row r="4" spans="1:4" ht="15">
      <c r="A4" t="s">
        <v>128</v>
      </c>
      <c r="B4" s="15">
        <v>18000000</v>
      </c>
      <c r="C4" s="35">
        <f t="shared" ref="C4:C10" si="0">B4/SUM($B$3:$B$10)</f>
        <v>0.38751345532831</v>
      </c>
    </row>
    <row r="5" spans="1:4" ht="15">
      <c r="A5" s="16" t="s">
        <v>129</v>
      </c>
      <c r="B5" s="17">
        <v>1700000</v>
      </c>
      <c r="C5" s="34">
        <f t="shared" si="0"/>
        <v>3.6598493003229281E-2</v>
      </c>
    </row>
    <row r="6" spans="1:4" ht="15">
      <c r="A6" s="16" t="s">
        <v>130</v>
      </c>
      <c r="B6" s="17">
        <v>23000000</v>
      </c>
      <c r="C6" s="34">
        <f t="shared" si="0"/>
        <v>0.4951560818083961</v>
      </c>
    </row>
    <row r="7" spans="1:4">
      <c r="A7" s="14" t="s">
        <v>131</v>
      </c>
      <c r="B7" s="15">
        <v>170000</v>
      </c>
      <c r="C7" s="35">
        <f t="shared" si="0"/>
        <v>3.6598493003229277E-3</v>
      </c>
    </row>
    <row r="8" spans="1:4">
      <c r="A8" s="14" t="s">
        <v>132</v>
      </c>
      <c r="B8" s="15">
        <v>300000</v>
      </c>
      <c r="C8" s="35">
        <f t="shared" si="0"/>
        <v>6.4585575888051671E-3</v>
      </c>
    </row>
    <row r="9" spans="1:4" ht="15">
      <c r="A9" t="s">
        <v>133</v>
      </c>
      <c r="B9" s="15">
        <v>980000</v>
      </c>
      <c r="C9" s="35">
        <f t="shared" si="0"/>
        <v>2.1097954790096879E-2</v>
      </c>
    </row>
    <row r="10" spans="1:4">
      <c r="A10" s="14" t="s">
        <v>134</v>
      </c>
      <c r="B10" s="15">
        <v>0</v>
      </c>
      <c r="C10" s="14">
        <f t="shared" si="0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94F9-48B8-45EC-B761-2EF83DAD6C52}">
  <dimension ref="A1"/>
  <sheetViews>
    <sheetView tabSelected="1" workbookViewId="0">
      <selection activeCell="H20" sqref="H20"/>
    </sheetView>
  </sheetViews>
  <sheetFormatPr baseColWidth="10" defaultColWidth="8.83203125"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Labor-transport-energy-dispoal</vt:lpstr>
      <vt:lpstr>labor for RO</vt:lpstr>
      <vt:lpstr>incineration</vt:lpstr>
      <vt:lpstr>transport</vt:lpstr>
      <vt:lpstr>electricity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Bingzheng Wang</dc:creator>
  <cp:lastModifiedBy>Bingzheng Wang</cp:lastModifiedBy>
  <dcterms:created xsi:type="dcterms:W3CDTF">2015-06-05T18:19:34Z</dcterms:created>
  <dcterms:modified xsi:type="dcterms:W3CDTF">2025-04-14T13:21:18Z</dcterms:modified>
</cp:coreProperties>
</file>